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600" windowHeight="7650" activeTab="1"/>
  </bookViews>
  <sheets>
    <sheet name="Payroll" sheetId="9" r:id="rId1"/>
    <sheet name="Trainee" sheetId="2" r:id="rId2"/>
    <sheet name="Structure" sheetId="7" r:id="rId3"/>
  </sheets>
  <definedNames>
    <definedName name="_xlnm._FilterDatabase" localSheetId="0" hidden="1">Payroll!$A$2:$BH$225</definedName>
    <definedName name="_xlnm._FilterDatabase" localSheetId="1" hidden="1">Trainee!$A$2:$AD$54</definedName>
  </definedNames>
  <calcPr calcId="144525" iterate="1"/>
</workbook>
</file>

<file path=xl/calcChain.xml><?xml version="1.0" encoding="utf-8"?>
<calcChain xmlns="http://schemas.openxmlformats.org/spreadsheetml/2006/main">
  <c r="AX28" i="9" l="1"/>
  <c r="AC220" i="9" l="1"/>
  <c r="AC219" i="9"/>
  <c r="AC218" i="9"/>
  <c r="AC156" i="9" l="1"/>
  <c r="AC116" i="9"/>
  <c r="AC95" i="9"/>
  <c r="AC195" i="9" l="1"/>
  <c r="S94" i="9" l="1"/>
  <c r="S135" i="9"/>
  <c r="X185" i="9"/>
  <c r="S185" i="9"/>
  <c r="S93" i="9"/>
  <c r="S40" i="9"/>
  <c r="S60" i="9"/>
  <c r="S29" i="9"/>
  <c r="S145" i="9"/>
  <c r="S104" i="9"/>
  <c r="S179" i="9"/>
  <c r="S155" i="9"/>
  <c r="Y177" i="9"/>
  <c r="S177" i="9"/>
  <c r="AW162" i="9"/>
  <c r="X162" i="9"/>
  <c r="S162" i="9"/>
  <c r="S20" i="9"/>
  <c r="S98" i="9"/>
  <c r="S181" i="9"/>
  <c r="S167" i="9"/>
  <c r="S163" i="9"/>
  <c r="S154" i="9"/>
  <c r="S144" i="9"/>
  <c r="S92" i="9"/>
  <c r="S122" i="9"/>
  <c r="S106" i="9"/>
  <c r="S90" i="9"/>
  <c r="S41" i="9"/>
  <c r="S18" i="9"/>
  <c r="S152" i="9"/>
  <c r="S81" i="9"/>
  <c r="S166" i="9"/>
  <c r="S139" i="9"/>
  <c r="S72" i="9"/>
  <c r="S170" i="9"/>
  <c r="S169" i="9"/>
  <c r="S46" i="9"/>
  <c r="S42" i="9"/>
  <c r="S99" i="9"/>
  <c r="S207" i="9"/>
  <c r="S160" i="9"/>
  <c r="S138" i="9"/>
  <c r="S108" i="9"/>
  <c r="S153" i="9"/>
  <c r="S31" i="9"/>
  <c r="S11" i="9"/>
  <c r="S5" i="9"/>
  <c r="S115" i="9"/>
  <c r="S101" i="9"/>
  <c r="S102" i="9"/>
  <c r="S149" i="9"/>
  <c r="S35" i="9"/>
  <c r="S54" i="9" l="1"/>
  <c r="S151" i="9"/>
  <c r="S38" i="9"/>
  <c r="S157" i="9"/>
  <c r="S19" i="9"/>
  <c r="D33" i="7"/>
  <c r="D36" i="7"/>
  <c r="S186" i="9"/>
  <c r="R49" i="2" l="1"/>
  <c r="S49" i="2" s="1"/>
  <c r="T49" i="2" s="1"/>
  <c r="L49" i="2"/>
  <c r="R48" i="2"/>
  <c r="S48" i="2" s="1"/>
  <c r="T48" i="2" s="1"/>
  <c r="L48" i="2"/>
  <c r="R47" i="2"/>
  <c r="S47" i="2" s="1"/>
  <c r="T47" i="2" s="1"/>
  <c r="L47" i="2"/>
  <c r="R46" i="2"/>
  <c r="S46" i="2" s="1"/>
  <c r="T46" i="2" s="1"/>
  <c r="L46" i="2"/>
  <c r="R45" i="2"/>
  <c r="S45" i="2" s="1"/>
  <c r="T45" i="2" s="1"/>
  <c r="L45" i="2"/>
  <c r="R44" i="2"/>
  <c r="S44" i="2" s="1"/>
  <c r="T44" i="2" s="1"/>
  <c r="L44" i="2"/>
  <c r="R43" i="2"/>
  <c r="S43" i="2" s="1"/>
  <c r="T43" i="2" s="1"/>
  <c r="L43" i="2"/>
  <c r="R42" i="2"/>
  <c r="S42" i="2" s="1"/>
  <c r="T42" i="2" s="1"/>
  <c r="L42" i="2"/>
  <c r="R41" i="2"/>
  <c r="S41" i="2" s="1"/>
  <c r="T41" i="2" s="1"/>
  <c r="L41" i="2"/>
  <c r="R40" i="2"/>
  <c r="S40" i="2" s="1"/>
  <c r="T40" i="2" s="1"/>
  <c r="L40" i="2"/>
  <c r="R39" i="2"/>
  <c r="S39" i="2" s="1"/>
  <c r="T39" i="2" s="1"/>
  <c r="L39" i="2"/>
  <c r="R38" i="2"/>
  <c r="S38" i="2" s="1"/>
  <c r="T38" i="2" s="1"/>
  <c r="L38" i="2"/>
  <c r="R37" i="2"/>
  <c r="S37" i="2" s="1"/>
  <c r="T37" i="2" s="1"/>
  <c r="L37" i="2"/>
  <c r="R36" i="2"/>
  <c r="S36" i="2" s="1"/>
  <c r="T36" i="2" s="1"/>
  <c r="L36" i="2"/>
  <c r="R35" i="2"/>
  <c r="S35" i="2" s="1"/>
  <c r="T35" i="2" s="1"/>
  <c r="L35" i="2"/>
  <c r="R34" i="2"/>
  <c r="S34" i="2" s="1"/>
  <c r="T34" i="2" s="1"/>
  <c r="L34" i="2"/>
  <c r="R33" i="2"/>
  <c r="S33" i="2" s="1"/>
  <c r="T33" i="2" s="1"/>
  <c r="L33" i="2"/>
  <c r="R32" i="2"/>
  <c r="S32" i="2" s="1"/>
  <c r="T32" i="2" s="1"/>
  <c r="L32" i="2"/>
  <c r="R31" i="2"/>
  <c r="S31" i="2" s="1"/>
  <c r="T31" i="2" s="1"/>
  <c r="L31" i="2"/>
  <c r="R30" i="2"/>
  <c r="S30" i="2" s="1"/>
  <c r="T30" i="2" s="1"/>
  <c r="L30" i="2"/>
  <c r="R29" i="2"/>
  <c r="S29" i="2" s="1"/>
  <c r="T29" i="2" s="1"/>
  <c r="L29" i="2"/>
  <c r="R28" i="2"/>
  <c r="S28" i="2" s="1"/>
  <c r="T28" i="2" s="1"/>
  <c r="L28" i="2"/>
  <c r="R27" i="2"/>
  <c r="S27" i="2" s="1"/>
  <c r="T27" i="2" s="1"/>
  <c r="L27" i="2"/>
  <c r="R26" i="2"/>
  <c r="S26" i="2" s="1"/>
  <c r="R25" i="2"/>
  <c r="S25" i="2" s="1"/>
  <c r="R24" i="2"/>
  <c r="S24" i="2" s="1"/>
  <c r="R23" i="2"/>
  <c r="S23" i="2" s="1"/>
  <c r="R22" i="2"/>
  <c r="S22" i="2" s="1"/>
  <c r="R21" i="2"/>
  <c r="S21" i="2" s="1"/>
  <c r="R20" i="2"/>
  <c r="S20" i="2" s="1"/>
  <c r="R19" i="2"/>
  <c r="S19" i="2" s="1"/>
  <c r="R18" i="2"/>
  <c r="S18" i="2" s="1"/>
  <c r="R17" i="2"/>
  <c r="S17" i="2" s="1"/>
  <c r="T17" i="2" s="1"/>
  <c r="L17" i="2"/>
  <c r="R16" i="2"/>
  <c r="S16" i="2" s="1"/>
  <c r="T16" i="2" s="1"/>
  <c r="L16" i="2"/>
  <c r="R15" i="2"/>
  <c r="S15" i="2" s="1"/>
  <c r="T15" i="2" s="1"/>
  <c r="L15" i="2"/>
  <c r="R14" i="2"/>
  <c r="S14" i="2" s="1"/>
  <c r="T14" i="2" s="1"/>
  <c r="L14" i="2"/>
  <c r="R13" i="2"/>
  <c r="S13" i="2" s="1"/>
  <c r="T13" i="2" s="1"/>
  <c r="L13" i="2"/>
  <c r="R12" i="2"/>
  <c r="S12" i="2" s="1"/>
  <c r="T12" i="2" s="1"/>
  <c r="L12" i="2"/>
  <c r="R11" i="2"/>
  <c r="S11" i="2" s="1"/>
  <c r="T11" i="2" s="1"/>
  <c r="L11" i="2"/>
  <c r="R10" i="2"/>
  <c r="S10" i="2" s="1"/>
  <c r="T10" i="2" s="1"/>
  <c r="L10" i="2"/>
  <c r="R9" i="2"/>
  <c r="S9" i="2" s="1"/>
  <c r="T9" i="2" s="1"/>
  <c r="L9" i="2"/>
  <c r="R8" i="2"/>
  <c r="S8" i="2" s="1"/>
  <c r="T8" i="2" s="1"/>
  <c r="L8" i="2"/>
  <c r="R7" i="2"/>
  <c r="S7" i="2" s="1"/>
  <c r="T7" i="2" s="1"/>
  <c r="L7" i="2"/>
  <c r="R6" i="2"/>
  <c r="S6" i="2" s="1"/>
  <c r="T6" i="2" s="1"/>
  <c r="L6" i="2"/>
  <c r="R5" i="2"/>
  <c r="S5" i="2" s="1"/>
  <c r="T5" i="2" s="1"/>
  <c r="L5" i="2"/>
  <c r="R4" i="2"/>
  <c r="S4" i="2" s="1"/>
  <c r="T4" i="2" s="1"/>
  <c r="L4" i="2"/>
  <c r="A4" i="2"/>
  <c r="A5" i="2" s="1"/>
  <c r="A6" i="2" s="1"/>
  <c r="A7" i="2" s="1"/>
  <c r="A8" i="2" s="1"/>
  <c r="A9" i="2" s="1"/>
  <c r="A10" i="2" s="1"/>
  <c r="A11" i="2" s="1"/>
  <c r="R3" i="2"/>
  <c r="S3" i="2" s="1"/>
  <c r="T3" i="2" s="1"/>
  <c r="L3" i="2"/>
  <c r="L50" i="2"/>
  <c r="R50" i="2"/>
  <c r="S50" i="2" s="1"/>
  <c r="T50" i="2" s="1"/>
  <c r="L51" i="2"/>
  <c r="R51" i="2"/>
  <c r="S51" i="2" s="1"/>
  <c r="T51" i="2" s="1"/>
  <c r="L52" i="2"/>
  <c r="R52" i="2"/>
  <c r="S52" i="2" s="1"/>
  <c r="T52" i="2" s="1"/>
  <c r="L53" i="2"/>
  <c r="R53" i="2"/>
  <c r="S53" i="2" s="1"/>
  <c r="T53" i="2" s="1"/>
  <c r="L54" i="2"/>
  <c r="R54" i="2"/>
  <c r="S54" i="2" s="1"/>
  <c r="T54" i="2" s="1"/>
  <c r="T18" i="2" l="1"/>
  <c r="U18" i="2" s="1"/>
  <c r="Y18" i="2" s="1"/>
  <c r="T22" i="2"/>
  <c r="U22" i="2" s="1"/>
  <c r="Y22" i="2" s="1"/>
  <c r="T26" i="2"/>
  <c r="U26" i="2" s="1"/>
  <c r="Y26" i="2" s="1"/>
  <c r="T25" i="2"/>
  <c r="U25" i="2" s="1"/>
  <c r="Y25" i="2" s="1"/>
  <c r="T19" i="2"/>
  <c r="U19" i="2" s="1"/>
  <c r="Y19" i="2" s="1"/>
  <c r="T23" i="2"/>
  <c r="U23" i="2" s="1"/>
  <c r="Y23" i="2" s="1"/>
  <c r="T21" i="2"/>
  <c r="U21" i="2" s="1"/>
  <c r="Y21" i="2" s="1"/>
  <c r="T20" i="2"/>
  <c r="U20" i="2" s="1"/>
  <c r="Y20" i="2" s="1"/>
  <c r="T24" i="2"/>
  <c r="U24" i="2" s="1"/>
  <c r="Y24" i="2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U33" i="2"/>
  <c r="Y33" i="2" s="1"/>
  <c r="U40" i="2"/>
  <c r="Y40" i="2" s="1"/>
  <c r="U46" i="2"/>
  <c r="Y46" i="2" s="1"/>
  <c r="U10" i="2"/>
  <c r="Y10" i="2" s="1"/>
  <c r="U7" i="2"/>
  <c r="Y7" i="2" s="1"/>
  <c r="U28" i="2"/>
  <c r="Y28" i="2" s="1"/>
  <c r="U42" i="2"/>
  <c r="Y42" i="2" s="1"/>
  <c r="U14" i="2"/>
  <c r="Y14" i="2" s="1"/>
  <c r="U36" i="2"/>
  <c r="Y36" i="2" s="1"/>
  <c r="U17" i="2"/>
  <c r="Y17" i="2" s="1"/>
  <c r="U31" i="2"/>
  <c r="Y31" i="2" s="1"/>
  <c r="U13" i="2"/>
  <c r="Y13" i="2" s="1"/>
  <c r="U32" i="2"/>
  <c r="Y32" i="2" s="1"/>
  <c r="U3" i="2"/>
  <c r="Y3" i="2" s="1"/>
  <c r="U39" i="2"/>
  <c r="Y39" i="2" s="1"/>
  <c r="U29" i="2"/>
  <c r="Y29" i="2" s="1"/>
  <c r="U5" i="2"/>
  <c r="Y5" i="2" s="1"/>
  <c r="U6" i="2"/>
  <c r="Y6" i="2" s="1"/>
  <c r="U12" i="2"/>
  <c r="Y12" i="2" s="1"/>
  <c r="U11" i="2"/>
  <c r="Y11" i="2" s="1"/>
  <c r="U35" i="2"/>
  <c r="Y35" i="2" s="1"/>
  <c r="U49" i="2"/>
  <c r="Y49" i="2" s="1"/>
  <c r="U9" i="2"/>
  <c r="Y9" i="2" s="1"/>
  <c r="U16" i="2"/>
  <c r="Y16" i="2" s="1"/>
  <c r="U27" i="2"/>
  <c r="Y27" i="2" s="1"/>
  <c r="U45" i="2"/>
  <c r="Y45" i="2" s="1"/>
  <c r="U15" i="2"/>
  <c r="Y15" i="2" s="1"/>
  <c r="U8" i="2"/>
  <c r="Y8" i="2" s="1"/>
  <c r="U34" i="2"/>
  <c r="Y34" i="2" s="1"/>
  <c r="U4" i="2"/>
  <c r="Y4" i="2" s="1"/>
  <c r="U37" i="2"/>
  <c r="Y37" i="2" s="1"/>
  <c r="U43" i="2"/>
  <c r="Y43" i="2" s="1"/>
  <c r="U38" i="2"/>
  <c r="Y38" i="2" s="1"/>
  <c r="U44" i="2"/>
  <c r="Y44" i="2" s="1"/>
  <c r="U47" i="2"/>
  <c r="Y47" i="2" s="1"/>
  <c r="U30" i="2"/>
  <c r="Y30" i="2" s="1"/>
  <c r="U41" i="2"/>
  <c r="Y41" i="2" s="1"/>
  <c r="U48" i="2"/>
  <c r="Y48" i="2" s="1"/>
  <c r="U54" i="2"/>
  <c r="Y54" i="2" s="1"/>
  <c r="U50" i="2"/>
  <c r="Y50" i="2" s="1"/>
  <c r="U51" i="2"/>
  <c r="Y51" i="2" s="1"/>
  <c r="U53" i="2"/>
  <c r="Y53" i="2" s="1"/>
  <c r="U52" i="2"/>
  <c r="Y52" i="2" s="1"/>
  <c r="A34" i="2" l="1"/>
  <c r="A35" i="2" s="1"/>
  <c r="A36" i="2" s="1"/>
  <c r="A37" i="2" s="1"/>
  <c r="A38" i="2" s="1"/>
  <c r="A39" i="2" s="1"/>
  <c r="A40" i="2" s="1"/>
  <c r="A41" i="2" l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X225" i="9" l="1"/>
  <c r="AF225" i="9"/>
  <c r="AG225" i="9" s="1"/>
  <c r="AH225" i="9" s="1"/>
  <c r="W225" i="9"/>
  <c r="AX224" i="9"/>
  <c r="AF224" i="9"/>
  <c r="AG224" i="9" s="1"/>
  <c r="AH224" i="9" s="1"/>
  <c r="AX223" i="9"/>
  <c r="AF223" i="9"/>
  <c r="AG223" i="9" s="1"/>
  <c r="AH223" i="9" s="1"/>
  <c r="U223" i="9"/>
  <c r="W223" i="9" s="1"/>
  <c r="AX222" i="9"/>
  <c r="AF222" i="9"/>
  <c r="AG222" i="9" s="1"/>
  <c r="AH222" i="9" s="1"/>
  <c r="U222" i="9"/>
  <c r="W222" i="9" s="1"/>
  <c r="AX221" i="9"/>
  <c r="AF221" i="9"/>
  <c r="AG221" i="9" s="1"/>
  <c r="AH221" i="9" s="1"/>
  <c r="U221" i="9"/>
  <c r="W221" i="9" s="1"/>
  <c r="AX220" i="9"/>
  <c r="AF220" i="9"/>
  <c r="AG220" i="9" s="1"/>
  <c r="AH220" i="9" s="1"/>
  <c r="U220" i="9"/>
  <c r="AX219" i="9"/>
  <c r="AF219" i="9"/>
  <c r="AG219" i="9" s="1"/>
  <c r="AH219" i="9" s="1"/>
  <c r="U219" i="9"/>
  <c r="AX218" i="9"/>
  <c r="AF218" i="9"/>
  <c r="AG218" i="9" s="1"/>
  <c r="AH218" i="9" s="1"/>
  <c r="U218" i="9"/>
  <c r="AX217" i="9"/>
  <c r="AF217" i="9"/>
  <c r="AG217" i="9" s="1"/>
  <c r="AH217" i="9" s="1"/>
  <c r="U217" i="9"/>
  <c r="W217" i="9" s="1"/>
  <c r="AX216" i="9"/>
  <c r="AR216" i="9"/>
  <c r="AN216" i="9"/>
  <c r="AS216" i="9" s="1"/>
  <c r="AF216" i="9"/>
  <c r="AG216" i="9" s="1"/>
  <c r="AH216" i="9" s="1"/>
  <c r="U216" i="9"/>
  <c r="W216" i="9" s="1"/>
  <c r="AI218" i="9" l="1"/>
  <c r="AI220" i="9"/>
  <c r="AI217" i="9"/>
  <c r="W218" i="9"/>
  <c r="AK221" i="9"/>
  <c r="X221" i="9"/>
  <c r="AL221" i="9" s="1"/>
  <c r="AK219" i="9"/>
  <c r="X219" i="9"/>
  <c r="AL219" i="9" s="1"/>
  <c r="AI222" i="9"/>
  <c r="AK223" i="9"/>
  <c r="X223" i="9"/>
  <c r="AL223" i="9" s="1"/>
  <c r="AK224" i="9"/>
  <c r="X224" i="9"/>
  <c r="AL224" i="9" s="1"/>
  <c r="AI224" i="9"/>
  <c r="AK217" i="9"/>
  <c r="AI221" i="9"/>
  <c r="AK222" i="9"/>
  <c r="AI223" i="9"/>
  <c r="AK225" i="9"/>
  <c r="X217" i="9"/>
  <c r="AL217" i="9" s="1"/>
  <c r="AI219" i="9"/>
  <c r="X220" i="9"/>
  <c r="AL220" i="9" s="1"/>
  <c r="AK220" i="9"/>
  <c r="X222" i="9"/>
  <c r="AL222" i="9" s="1"/>
  <c r="X225" i="9"/>
  <c r="AL225" i="9" s="1"/>
  <c r="AI225" i="9"/>
  <c r="AK216" i="9"/>
  <c r="X216" i="9"/>
  <c r="AL216" i="9" s="1"/>
  <c r="AI216" i="9"/>
  <c r="AX33" i="9"/>
  <c r="Y216" i="9" l="1"/>
  <c r="AM216" i="9" s="1"/>
  <c r="AK218" i="9"/>
  <c r="AO218" i="9" s="1"/>
  <c r="X218" i="9"/>
  <c r="AL218" i="9" s="1"/>
  <c r="Y220" i="9"/>
  <c r="AM220" i="9" s="1"/>
  <c r="Y219" i="9"/>
  <c r="AM219" i="9" s="1"/>
  <c r="AO220" i="9"/>
  <c r="AO217" i="9"/>
  <c r="Y224" i="9"/>
  <c r="AM224" i="9" s="1"/>
  <c r="Y225" i="9"/>
  <c r="AM225" i="9" s="1"/>
  <c r="AO222" i="9"/>
  <c r="Y223" i="9"/>
  <c r="Y221" i="9"/>
  <c r="AM221" i="9" s="1"/>
  <c r="AO219" i="9"/>
  <c r="AO225" i="9"/>
  <c r="AO223" i="9"/>
  <c r="Y222" i="9"/>
  <c r="AM222" i="9" s="1"/>
  <c r="AO221" i="9"/>
  <c r="Y217" i="9"/>
  <c r="AM217" i="9" s="1"/>
  <c r="AO216" i="9"/>
  <c r="AW112" i="9"/>
  <c r="Z220" i="9" l="1"/>
  <c r="AJ220" i="9" s="1"/>
  <c r="AN220" i="9" s="1"/>
  <c r="AS220" i="9" s="1"/>
  <c r="Z225" i="9"/>
  <c r="AJ225" i="9" s="1"/>
  <c r="AN225" i="9" s="1"/>
  <c r="AS225" i="9" s="1"/>
  <c r="Z221" i="9"/>
  <c r="AJ221" i="9" s="1"/>
  <c r="AR221" i="9" s="1"/>
  <c r="Z216" i="9"/>
  <c r="AJ216" i="9" s="1"/>
  <c r="Z219" i="9"/>
  <c r="AJ219" i="9" s="1"/>
  <c r="AN219" i="9" s="1"/>
  <c r="AS219" i="9" s="1"/>
  <c r="Y218" i="9"/>
  <c r="AM218" i="9" s="1"/>
  <c r="Z224" i="9"/>
  <c r="AJ224" i="9" s="1"/>
  <c r="Z217" i="9"/>
  <c r="AJ217" i="9" s="1"/>
  <c r="AM223" i="9"/>
  <c r="Z223" i="9"/>
  <c r="AJ223" i="9" s="1"/>
  <c r="AU224" i="9"/>
  <c r="AT224" i="9"/>
  <c r="AU217" i="9"/>
  <c r="AT217" i="9"/>
  <c r="AU221" i="9"/>
  <c r="AT221" i="9"/>
  <c r="Z222" i="9"/>
  <c r="AJ222" i="9" s="1"/>
  <c r="AU222" i="9"/>
  <c r="AT222" i="9"/>
  <c r="AU220" i="9"/>
  <c r="AT220" i="9"/>
  <c r="AU225" i="9"/>
  <c r="AT225" i="9"/>
  <c r="AU219" i="9"/>
  <c r="AT219" i="9"/>
  <c r="AU218" i="9"/>
  <c r="AT218" i="9"/>
  <c r="AU223" i="9"/>
  <c r="AT223" i="9"/>
  <c r="AU216" i="9"/>
  <c r="AT216" i="9"/>
  <c r="AP216" i="9"/>
  <c r="AX112" i="9"/>
  <c r="AV32" i="9"/>
  <c r="AV31" i="9"/>
  <c r="AX155" i="9"/>
  <c r="AR220" i="9" l="1"/>
  <c r="AR225" i="9"/>
  <c r="AR219" i="9"/>
  <c r="AP220" i="9"/>
  <c r="AN221" i="9"/>
  <c r="AS221" i="9" s="1"/>
  <c r="AP225" i="9"/>
  <c r="Z218" i="9"/>
  <c r="AJ218" i="9" s="1"/>
  <c r="AN223" i="9"/>
  <c r="AS223" i="9" s="1"/>
  <c r="AR223" i="9"/>
  <c r="AP219" i="9"/>
  <c r="AR222" i="9"/>
  <c r="AN222" i="9"/>
  <c r="AR217" i="9"/>
  <c r="AN217" i="9"/>
  <c r="BA216" i="9"/>
  <c r="AX97" i="9"/>
  <c r="AF97" i="9"/>
  <c r="AG97" i="9" s="1"/>
  <c r="AH97" i="9" s="1"/>
  <c r="X97" i="9"/>
  <c r="R97" i="9"/>
  <c r="U97" i="9" s="1"/>
  <c r="BA225" i="9" l="1"/>
  <c r="BA219" i="9"/>
  <c r="AP221" i="9"/>
  <c r="BA221" i="9" s="1"/>
  <c r="BA220" i="9"/>
  <c r="AP223" i="9"/>
  <c r="BA223" i="9" s="1"/>
  <c r="AR218" i="9"/>
  <c r="AN218" i="9"/>
  <c r="AS222" i="9"/>
  <c r="AP222" i="9"/>
  <c r="AP224" i="9"/>
  <c r="AS217" i="9"/>
  <c r="AP217" i="9"/>
  <c r="Y97" i="9"/>
  <c r="Z97" i="9" s="1"/>
  <c r="AK97" i="9"/>
  <c r="AO97" i="9" s="1"/>
  <c r="BA224" i="9" l="1"/>
  <c r="BA217" i="9"/>
  <c r="AS218" i="9"/>
  <c r="AP218" i="9"/>
  <c r="BA222" i="9"/>
  <c r="AI97" i="9"/>
  <c r="AJ97" i="9"/>
  <c r="AR97" i="9" s="1"/>
  <c r="AL97" i="9"/>
  <c r="AU97" i="9"/>
  <c r="AT97" i="9"/>
  <c r="BA218" i="9" l="1"/>
  <c r="AN97" i="9"/>
  <c r="AS97" i="9" s="1"/>
  <c r="AM97" i="9"/>
  <c r="AP97" i="9" l="1"/>
  <c r="BA97" i="9" s="1"/>
  <c r="AX11" i="9"/>
  <c r="AX48" i="9"/>
  <c r="AX60" i="9" l="1"/>
  <c r="AW56" i="9"/>
  <c r="AX56" i="9" s="1"/>
  <c r="AX54" i="9"/>
  <c r="U215" i="9" l="1"/>
  <c r="W215" i="9" s="1"/>
  <c r="X215" i="9" s="1"/>
  <c r="Y215" i="9" s="1"/>
  <c r="Z215" i="9" s="1"/>
  <c r="AX215" i="9"/>
  <c r="AF215" i="9"/>
  <c r="AG215" i="9" s="1"/>
  <c r="AH215" i="9" s="1"/>
  <c r="AX214" i="9"/>
  <c r="AR214" i="9"/>
  <c r="AN214" i="9"/>
  <c r="AS214" i="9" s="1"/>
  <c r="AF214" i="9"/>
  <c r="AG214" i="9" s="1"/>
  <c r="AH214" i="9" s="1"/>
  <c r="X214" i="9"/>
  <c r="Y214" i="9" s="1"/>
  <c r="U214" i="9"/>
  <c r="AJ215" i="9" l="1"/>
  <c r="AN215" i="9" s="1"/>
  <c r="AS215" i="9" s="1"/>
  <c r="AM214" i="9"/>
  <c r="AM215" i="9"/>
  <c r="AL215" i="9"/>
  <c r="AI215" i="9"/>
  <c r="AK215" i="9"/>
  <c r="AK214" i="9"/>
  <c r="AI214" i="9"/>
  <c r="AL214" i="9"/>
  <c r="Z214" i="9"/>
  <c r="AJ214" i="9" s="1"/>
  <c r="AR215" i="9" l="1"/>
  <c r="AO215" i="9"/>
  <c r="AP215" i="9" s="1"/>
  <c r="AO214" i="9"/>
  <c r="AP214" i="9" s="1"/>
  <c r="AX213" i="9"/>
  <c r="AF213" i="9"/>
  <c r="AG213" i="9" s="1"/>
  <c r="AH213" i="9" s="1"/>
  <c r="X213" i="9"/>
  <c r="U213" i="9"/>
  <c r="AX212" i="9"/>
  <c r="AF212" i="9"/>
  <c r="AG212" i="9" s="1"/>
  <c r="AH212" i="9" s="1"/>
  <c r="U212" i="9"/>
  <c r="W212" i="9" s="1"/>
  <c r="X212" i="9" s="1"/>
  <c r="AX211" i="9"/>
  <c r="AF211" i="9"/>
  <c r="AG211" i="9" s="1"/>
  <c r="AH211" i="9" s="1"/>
  <c r="X211" i="9"/>
  <c r="U211" i="9"/>
  <c r="AX210" i="9"/>
  <c r="AF210" i="9"/>
  <c r="AG210" i="9" s="1"/>
  <c r="AH210" i="9" s="1"/>
  <c r="U210" i="9"/>
  <c r="W210" i="9" s="1"/>
  <c r="X210" i="9" s="1"/>
  <c r="Y210" i="9" s="1"/>
  <c r="AX209" i="9"/>
  <c r="AF209" i="9"/>
  <c r="AG209" i="9" s="1"/>
  <c r="AH209" i="9" s="1"/>
  <c r="X209" i="9"/>
  <c r="U209" i="9"/>
  <c r="AX208" i="9"/>
  <c r="AF208" i="9"/>
  <c r="AG208" i="9" s="1"/>
  <c r="AH208" i="9" s="1"/>
  <c r="X208" i="9"/>
  <c r="U208" i="9"/>
  <c r="AX207" i="9"/>
  <c r="AF207" i="9"/>
  <c r="AG207" i="9" s="1"/>
  <c r="AH207" i="9" s="1"/>
  <c r="X207" i="9"/>
  <c r="Y207" i="9" s="1"/>
  <c r="U207" i="9"/>
  <c r="AU215" i="9" l="1"/>
  <c r="AT215" i="9"/>
  <c r="AT214" i="9"/>
  <c r="AU214" i="9"/>
  <c r="AM207" i="9"/>
  <c r="AI208" i="9"/>
  <c r="AL211" i="9"/>
  <c r="AI212" i="9"/>
  <c r="Y208" i="9"/>
  <c r="Z208" i="9" s="1"/>
  <c r="AJ208" i="9" s="1"/>
  <c r="Y212" i="9"/>
  <c r="Z212" i="9" s="1"/>
  <c r="AJ212" i="9" s="1"/>
  <c r="AL208" i="9"/>
  <c r="AK208" i="9"/>
  <c r="AL212" i="9"/>
  <c r="AK212" i="9"/>
  <c r="AK209" i="9"/>
  <c r="AI209" i="9"/>
  <c r="AM210" i="9"/>
  <c r="AK213" i="9"/>
  <c r="AI213" i="9"/>
  <c r="AK210" i="9"/>
  <c r="AL210" i="9"/>
  <c r="AL209" i="9"/>
  <c r="AI210" i="9"/>
  <c r="AI211" i="9"/>
  <c r="AK211" i="9"/>
  <c r="AL213" i="9"/>
  <c r="Z210" i="9"/>
  <c r="AJ210" i="9" s="1"/>
  <c r="Y211" i="9"/>
  <c r="Y209" i="9"/>
  <c r="AM209" i="9" s="1"/>
  <c r="Y213" i="9"/>
  <c r="AM213" i="9" s="1"/>
  <c r="AK207" i="9"/>
  <c r="AI207" i="9"/>
  <c r="AL207" i="9"/>
  <c r="Z207" i="9"/>
  <c r="AJ207" i="9" s="1"/>
  <c r="BA214" i="9" l="1"/>
  <c r="BA215" i="9"/>
  <c r="AN208" i="9"/>
  <c r="AS208" i="9" s="1"/>
  <c r="AR208" i="9"/>
  <c r="AM208" i="9"/>
  <c r="AN212" i="9"/>
  <c r="AS212" i="9" s="1"/>
  <c r="AR212" i="9"/>
  <c r="AM212" i="9"/>
  <c r="Z213" i="9"/>
  <c r="AJ213" i="9" s="1"/>
  <c r="AO209" i="9"/>
  <c r="AO212" i="9"/>
  <c r="AM211" i="9"/>
  <c r="Z211" i="9"/>
  <c r="AJ211" i="9" s="1"/>
  <c r="Z209" i="9"/>
  <c r="AJ209" i="9" s="1"/>
  <c r="AO213" i="9"/>
  <c r="AN210" i="9"/>
  <c r="AS210" i="9" s="1"/>
  <c r="AR210" i="9"/>
  <c r="AO211" i="9"/>
  <c r="AO210" i="9"/>
  <c r="AO208" i="9"/>
  <c r="AO207" i="9"/>
  <c r="AN207" i="9"/>
  <c r="AS207" i="9" s="1"/>
  <c r="AR207" i="9"/>
  <c r="AX162" i="9"/>
  <c r="AP208" i="9" l="1"/>
  <c r="AU209" i="9"/>
  <c r="AT209" i="9"/>
  <c r="AP210" i="9"/>
  <c r="AU211" i="9"/>
  <c r="AT211" i="9"/>
  <c r="AN209" i="9"/>
  <c r="AR209" i="9"/>
  <c r="AT210" i="9"/>
  <c r="AU210" i="9"/>
  <c r="AN211" i="9"/>
  <c r="AR211" i="9"/>
  <c r="AU212" i="9"/>
  <c r="AT212" i="9"/>
  <c r="AN213" i="9"/>
  <c r="AR213" i="9"/>
  <c r="AU208" i="9"/>
  <c r="AT208" i="9"/>
  <c r="AU213" i="9"/>
  <c r="AT213" i="9"/>
  <c r="AP212" i="9"/>
  <c r="AP207" i="9"/>
  <c r="AT207" i="9"/>
  <c r="AU207" i="9"/>
  <c r="BA208" i="9" l="1"/>
  <c r="BA212" i="9"/>
  <c r="BA210" i="9"/>
  <c r="AS213" i="9"/>
  <c r="AP213" i="9"/>
  <c r="AS211" i="9"/>
  <c r="AP211" i="9"/>
  <c r="AS209" i="9"/>
  <c r="AP209" i="9"/>
  <c r="BA207" i="9"/>
  <c r="X200" i="9"/>
  <c r="U200" i="9"/>
  <c r="X201" i="9"/>
  <c r="Y201" i="9" s="1"/>
  <c r="U201" i="9"/>
  <c r="BA211" i="9" l="1"/>
  <c r="BA209" i="9"/>
  <c r="BA213" i="9"/>
  <c r="Y200" i="9"/>
  <c r="Z200" i="9" s="1"/>
  <c r="X205" i="9"/>
  <c r="AX72" i="9" l="1"/>
  <c r="AX71" i="9"/>
  <c r="AX36" i="9" l="1"/>
  <c r="AX200" i="9" l="1"/>
  <c r="AF200" i="9"/>
  <c r="AG200" i="9" s="1"/>
  <c r="AH200" i="9" s="1"/>
  <c r="AX206" i="9"/>
  <c r="AF206" i="9"/>
  <c r="AG206" i="9" s="1"/>
  <c r="AH206" i="9" s="1"/>
  <c r="U206" i="9"/>
  <c r="AX205" i="9"/>
  <c r="AF205" i="9"/>
  <c r="AG205" i="9" s="1"/>
  <c r="AH205" i="9" s="1"/>
  <c r="U205" i="9"/>
  <c r="AF204" i="9"/>
  <c r="AG204" i="9" s="1"/>
  <c r="AH204" i="9" s="1"/>
  <c r="U204" i="9"/>
  <c r="AX203" i="9"/>
  <c r="AF203" i="9"/>
  <c r="AG203" i="9" s="1"/>
  <c r="AH203" i="9" s="1"/>
  <c r="U203" i="9"/>
  <c r="AX202" i="9"/>
  <c r="AF202" i="9"/>
  <c r="AG202" i="9" s="1"/>
  <c r="AH202" i="9" s="1"/>
  <c r="U202" i="9"/>
  <c r="W202" i="9" s="1"/>
  <c r="AX201" i="9"/>
  <c r="AF201" i="9"/>
  <c r="AG201" i="9" s="1"/>
  <c r="AH201" i="9" s="1"/>
  <c r="AK200" i="9" l="1"/>
  <c r="AO200" i="9" s="1"/>
  <c r="AT200" i="9" s="1"/>
  <c r="AI200" i="9"/>
  <c r="AL200" i="9"/>
  <c r="AM200" i="9"/>
  <c r="AI206" i="9"/>
  <c r="AI203" i="9"/>
  <c r="AI204" i="9"/>
  <c r="AI201" i="9"/>
  <c r="W203" i="9"/>
  <c r="X203" i="9" s="1"/>
  <c r="AL203" i="9" s="1"/>
  <c r="AL201" i="9"/>
  <c r="X204" i="9"/>
  <c r="AL204" i="9" s="1"/>
  <c r="AK206" i="9"/>
  <c r="AO206" i="9" s="1"/>
  <c r="AK205" i="9"/>
  <c r="AL205" i="9"/>
  <c r="AK202" i="9"/>
  <c r="X202" i="9"/>
  <c r="AL202" i="9" s="1"/>
  <c r="AI202" i="9"/>
  <c r="AI205" i="9"/>
  <c r="AJ200" i="9" l="1"/>
  <c r="AR200" i="9" s="1"/>
  <c r="AK201" i="9"/>
  <c r="AO201" i="9" s="1"/>
  <c r="AU201" i="9" s="1"/>
  <c r="AU200" i="9"/>
  <c r="AK203" i="9"/>
  <c r="AO203" i="9" s="1"/>
  <c r="AK204" i="9"/>
  <c r="AO204" i="9" s="1"/>
  <c r="AU204" i="9" s="1"/>
  <c r="X206" i="9"/>
  <c r="AL206" i="9" s="1"/>
  <c r="Y204" i="9"/>
  <c r="AM204" i="9" s="1"/>
  <c r="Y203" i="9"/>
  <c r="AM203" i="9" s="1"/>
  <c r="Y202" i="9"/>
  <c r="AM201" i="9"/>
  <c r="AO205" i="9"/>
  <c r="Y205" i="9"/>
  <c r="AM205" i="9" s="1"/>
  <c r="AO202" i="9"/>
  <c r="AT206" i="9"/>
  <c r="AU206" i="9"/>
  <c r="AN200" i="9" l="1"/>
  <c r="AS200" i="9" s="1"/>
  <c r="AT201" i="9"/>
  <c r="Z204" i="9"/>
  <c r="AJ204" i="9" s="1"/>
  <c r="AN204" i="9" s="1"/>
  <c r="AT204" i="9"/>
  <c r="Y206" i="9"/>
  <c r="AM206" i="9" s="1"/>
  <c r="Z203" i="9"/>
  <c r="AJ203" i="9" s="1"/>
  <c r="AM202" i="9"/>
  <c r="Z202" i="9"/>
  <c r="AJ202" i="9" s="1"/>
  <c r="Z205" i="9"/>
  <c r="AJ205" i="9" s="1"/>
  <c r="Z201" i="9"/>
  <c r="AJ201" i="9" s="1"/>
  <c r="AU202" i="9"/>
  <c r="AT202" i="9"/>
  <c r="AU203" i="9"/>
  <c r="AT203" i="9"/>
  <c r="AU205" i="9"/>
  <c r="AT205" i="9"/>
  <c r="AP200" i="9" l="1"/>
  <c r="BA200" i="9" s="1"/>
  <c r="AR204" i="9"/>
  <c r="Z206" i="9"/>
  <c r="AJ206" i="9" s="1"/>
  <c r="AN206" i="9" s="1"/>
  <c r="AS204" i="9"/>
  <c r="AP204" i="9"/>
  <c r="AR201" i="9"/>
  <c r="AN201" i="9"/>
  <c r="AR203" i="9"/>
  <c r="AN203" i="9"/>
  <c r="AR205" i="9"/>
  <c r="AN205" i="9"/>
  <c r="AN202" i="9"/>
  <c r="AR202" i="9"/>
  <c r="AR206" i="9" l="1"/>
  <c r="BA204" i="9"/>
  <c r="AS205" i="9"/>
  <c r="AP205" i="9"/>
  <c r="AS201" i="9"/>
  <c r="AP201" i="9"/>
  <c r="AS206" i="9"/>
  <c r="AP206" i="9"/>
  <c r="AS202" i="9"/>
  <c r="AP202" i="9"/>
  <c r="AS203" i="9"/>
  <c r="AP203" i="9"/>
  <c r="S17" i="9"/>
  <c r="BA202" i="9" l="1"/>
  <c r="BA201" i="9"/>
  <c r="BA205" i="9"/>
  <c r="BA203" i="9"/>
  <c r="BA206" i="9"/>
  <c r="AX199" i="9" l="1"/>
  <c r="AR199" i="9"/>
  <c r="AN199" i="9"/>
  <c r="AS199" i="9" s="1"/>
  <c r="AF199" i="9"/>
  <c r="AG199" i="9" s="1"/>
  <c r="AH199" i="9" s="1"/>
  <c r="U199" i="9"/>
  <c r="W199" i="9" s="1"/>
  <c r="X199" i="9" s="1"/>
  <c r="Y199" i="9" l="1"/>
  <c r="AM199" i="9" s="1"/>
  <c r="AK199" i="9"/>
  <c r="AL199" i="9"/>
  <c r="AI199" i="9"/>
  <c r="Z199" i="9" l="1"/>
  <c r="AJ199" i="9" s="1"/>
  <c r="AO199" i="9"/>
  <c r="U36" i="9"/>
  <c r="X36" i="9"/>
  <c r="Y36" i="9" s="1"/>
  <c r="AF36" i="9"/>
  <c r="AG36" i="9" s="1"/>
  <c r="AH36" i="9" s="1"/>
  <c r="AN36" i="9"/>
  <c r="AS36" i="9" s="1"/>
  <c r="AR36" i="9"/>
  <c r="AK36" i="9" l="1"/>
  <c r="AO36" i="9" s="1"/>
  <c r="AU199" i="9"/>
  <c r="AT199" i="9"/>
  <c r="AP199" i="9"/>
  <c r="Z36" i="9"/>
  <c r="AX198" i="9"/>
  <c r="AF198" i="9"/>
  <c r="AG198" i="9" s="1"/>
  <c r="AH198" i="9" s="1"/>
  <c r="U198" i="9"/>
  <c r="W198" i="9" s="1"/>
  <c r="AX197" i="9"/>
  <c r="AF197" i="9"/>
  <c r="AG197" i="9" s="1"/>
  <c r="AH197" i="9" s="1"/>
  <c r="U197" i="9"/>
  <c r="W197" i="9" s="1"/>
  <c r="AF196" i="9"/>
  <c r="AG196" i="9" s="1"/>
  <c r="AH196" i="9" s="1"/>
  <c r="U196" i="9"/>
  <c r="W196" i="9" s="1"/>
  <c r="AX195" i="9"/>
  <c r="AF195" i="9"/>
  <c r="AG195" i="9" s="1"/>
  <c r="AH195" i="9" s="1"/>
  <c r="U195" i="9"/>
  <c r="W195" i="9" s="1"/>
  <c r="AX194" i="9"/>
  <c r="AF194" i="9"/>
  <c r="AG194" i="9" s="1"/>
  <c r="AH194" i="9" s="1"/>
  <c r="U194" i="9"/>
  <c r="W194" i="9" s="1"/>
  <c r="AX193" i="9"/>
  <c r="AF193" i="9"/>
  <c r="AG193" i="9" s="1"/>
  <c r="AH193" i="9" s="1"/>
  <c r="U193" i="9"/>
  <c r="W193" i="9" s="1"/>
  <c r="X193" i="9" s="1"/>
  <c r="AM36" i="9" l="1"/>
  <c r="AJ36" i="9"/>
  <c r="AI36" i="9"/>
  <c r="AL36" i="9"/>
  <c r="BA199" i="9"/>
  <c r="X196" i="9"/>
  <c r="Y196" i="9" s="1"/>
  <c r="X195" i="9"/>
  <c r="Y195" i="9" s="1"/>
  <c r="X198" i="9"/>
  <c r="Y198" i="9" s="1"/>
  <c r="X194" i="9"/>
  <c r="Y194" i="9" s="1"/>
  <c r="X197" i="9"/>
  <c r="Y197" i="9" s="1"/>
  <c r="AU36" i="9"/>
  <c r="AT36" i="9"/>
  <c r="Y193" i="9"/>
  <c r="Z193" i="9" s="1"/>
  <c r="AJ193" i="9" s="1"/>
  <c r="AI194" i="9"/>
  <c r="AK194" i="9"/>
  <c r="AK197" i="9"/>
  <c r="AI197" i="9"/>
  <c r="AI195" i="9"/>
  <c r="AK195" i="9"/>
  <c r="AI198" i="9"/>
  <c r="AK198" i="9"/>
  <c r="AI193" i="9"/>
  <c r="AL193" i="9"/>
  <c r="AK193" i="9"/>
  <c r="AI196" i="9"/>
  <c r="AK196" i="9"/>
  <c r="AP36" i="9" l="1"/>
  <c r="BA36" i="9" s="1"/>
  <c r="AL198" i="9"/>
  <c r="AL196" i="9"/>
  <c r="AL194" i="9"/>
  <c r="Z197" i="9"/>
  <c r="AJ197" i="9" s="1"/>
  <c r="AM197" i="9"/>
  <c r="Z195" i="9"/>
  <c r="AJ195" i="9" s="1"/>
  <c r="AR195" i="9" s="1"/>
  <c r="AM195" i="9"/>
  <c r="Z198" i="9"/>
  <c r="AJ198" i="9" s="1"/>
  <c r="AM198" i="9"/>
  <c r="Z194" i="9"/>
  <c r="AJ194" i="9" s="1"/>
  <c r="AM194" i="9"/>
  <c r="Z196" i="9"/>
  <c r="AJ196" i="9" s="1"/>
  <c r="AR196" i="9" s="1"/>
  <c r="AM196" i="9"/>
  <c r="AL195" i="9"/>
  <c r="AL197" i="9"/>
  <c r="AN196" i="9"/>
  <c r="AS196" i="9" s="1"/>
  <c r="AN195" i="9"/>
  <c r="AS195" i="9" s="1"/>
  <c r="AM193" i="9"/>
  <c r="AO198" i="9"/>
  <c r="AR193" i="9"/>
  <c r="AN193" i="9"/>
  <c r="AS193" i="9" s="1"/>
  <c r="AO194" i="9"/>
  <c r="AN197" i="9"/>
  <c r="AS197" i="9" s="1"/>
  <c r="AR197" i="9"/>
  <c r="AO196" i="9"/>
  <c r="AN194" i="9"/>
  <c r="AS194" i="9" s="1"/>
  <c r="AR194" i="9"/>
  <c r="AO195" i="9"/>
  <c r="AR198" i="9"/>
  <c r="AN198" i="9"/>
  <c r="AS198" i="9" s="1"/>
  <c r="AO193" i="9"/>
  <c r="AO197" i="9"/>
  <c r="AP196" i="9" l="1"/>
  <c r="AP195" i="9"/>
  <c r="AP198" i="9"/>
  <c r="AP193" i="9"/>
  <c r="AU197" i="9"/>
  <c r="AT197" i="9"/>
  <c r="AP197" i="9"/>
  <c r="AU193" i="9"/>
  <c r="AT193" i="9"/>
  <c r="AU195" i="9"/>
  <c r="AT195" i="9"/>
  <c r="AU194" i="9"/>
  <c r="AT194" i="9"/>
  <c r="AU198" i="9"/>
  <c r="AT198" i="9"/>
  <c r="AP194" i="9"/>
  <c r="AU196" i="9"/>
  <c r="AT196" i="9"/>
  <c r="AX70" i="9"/>
  <c r="AX88" i="9"/>
  <c r="AX65" i="9"/>
  <c r="BA198" i="9" l="1"/>
  <c r="BA195" i="9"/>
  <c r="BA196" i="9"/>
  <c r="BA193" i="9"/>
  <c r="BA197" i="9"/>
  <c r="BA194" i="9"/>
  <c r="D56" i="7"/>
  <c r="D54" i="7"/>
  <c r="S55" i="9"/>
  <c r="S43" i="9" l="1"/>
  <c r="S30" i="9" l="1"/>
  <c r="S59" i="9" l="1"/>
  <c r="D34" i="7" l="1"/>
  <c r="S123" i="9"/>
  <c r="S141" i="9" l="1"/>
  <c r="S64" i="9" l="1"/>
  <c r="S132" i="9" l="1"/>
  <c r="S57" i="9"/>
  <c r="D11" i="7" l="1"/>
  <c r="S130" i="9" l="1"/>
  <c r="D45" i="7" l="1"/>
  <c r="D40" i="7"/>
  <c r="AX39" i="9"/>
  <c r="AX192" i="9" l="1"/>
  <c r="AF192" i="9"/>
  <c r="AG192" i="9" s="1"/>
  <c r="AH192" i="9" s="1"/>
  <c r="U192" i="9"/>
  <c r="AX191" i="9"/>
  <c r="AF191" i="9"/>
  <c r="AG191" i="9" s="1"/>
  <c r="AH191" i="9" s="1"/>
  <c r="U191" i="9"/>
  <c r="W191" i="9" s="1"/>
  <c r="X191" i="9" s="1"/>
  <c r="Y191" i="9" s="1"/>
  <c r="AX190" i="9"/>
  <c r="AF190" i="9"/>
  <c r="AG190" i="9" s="1"/>
  <c r="AH190" i="9" s="1"/>
  <c r="U190" i="9"/>
  <c r="W190" i="9" s="1"/>
  <c r="X190" i="9" s="1"/>
  <c r="AX189" i="9"/>
  <c r="AF189" i="9"/>
  <c r="AG189" i="9" s="1"/>
  <c r="AH189" i="9" s="1"/>
  <c r="U189" i="9"/>
  <c r="W189" i="9" s="1"/>
  <c r="X189" i="9" s="1"/>
  <c r="AX188" i="9"/>
  <c r="AF188" i="9"/>
  <c r="AG188" i="9" s="1"/>
  <c r="AH188" i="9" s="1"/>
  <c r="X188" i="9"/>
  <c r="U188" i="9"/>
  <c r="U187" i="9"/>
  <c r="AX187" i="9"/>
  <c r="AF187" i="9"/>
  <c r="AG187" i="9" s="1"/>
  <c r="AH187" i="9" s="1"/>
  <c r="X187" i="9"/>
  <c r="Y187" i="9" s="1"/>
  <c r="AK190" i="9" l="1"/>
  <c r="AO190" i="9" s="1"/>
  <c r="AI190" i="9"/>
  <c r="AL190" i="9"/>
  <c r="AK189" i="9"/>
  <c r="AO189" i="9" s="1"/>
  <c r="AL191" i="9"/>
  <c r="AK191" i="9"/>
  <c r="AI191" i="9"/>
  <c r="AI192" i="9"/>
  <c r="AK192" i="9"/>
  <c r="AM191" i="9"/>
  <c r="Y192" i="9"/>
  <c r="AM192" i="9" s="1"/>
  <c r="Z191" i="9"/>
  <c r="AJ191" i="9" s="1"/>
  <c r="AL192" i="9"/>
  <c r="Y190" i="9"/>
  <c r="AM190" i="9" s="1"/>
  <c r="AM187" i="9"/>
  <c r="AK188" i="9"/>
  <c r="AO188" i="9" s="1"/>
  <c r="AI188" i="9"/>
  <c r="Y188" i="9"/>
  <c r="AM188" i="9" s="1"/>
  <c r="AL188" i="9"/>
  <c r="Y189" i="9"/>
  <c r="AL187" i="9"/>
  <c r="AK187" i="9"/>
  <c r="AI187" i="9"/>
  <c r="Z187" i="9"/>
  <c r="AJ187" i="9" s="1"/>
  <c r="S27" i="9"/>
  <c r="S16" i="9"/>
  <c r="AM189" i="9" l="1"/>
  <c r="AL189" i="9"/>
  <c r="AI189" i="9"/>
  <c r="AN191" i="9"/>
  <c r="AS191" i="9" s="1"/>
  <c r="AR191" i="9"/>
  <c r="Z192" i="9"/>
  <c r="AJ192" i="9" s="1"/>
  <c r="AU190" i="9"/>
  <c r="AT190" i="9"/>
  <c r="AO191" i="9"/>
  <c r="Z190" i="9"/>
  <c r="AJ190" i="9" s="1"/>
  <c r="AO192" i="9"/>
  <c r="AU188" i="9"/>
  <c r="AT188" i="9"/>
  <c r="AU189" i="9"/>
  <c r="AT189" i="9"/>
  <c r="Z188" i="9"/>
  <c r="AJ188" i="9" s="1"/>
  <c r="Z189" i="9"/>
  <c r="AJ189" i="9" s="1"/>
  <c r="AO187" i="9"/>
  <c r="AN187" i="9"/>
  <c r="AS187" i="9" s="1"/>
  <c r="AR187" i="9"/>
  <c r="AX90" i="9"/>
  <c r="AR192" i="9" l="1"/>
  <c r="AN192" i="9"/>
  <c r="AU191" i="9"/>
  <c r="AT191" i="9"/>
  <c r="AU192" i="9"/>
  <c r="AT192" i="9"/>
  <c r="AP191" i="9"/>
  <c r="AN190" i="9"/>
  <c r="AR190" i="9"/>
  <c r="AN188" i="9"/>
  <c r="AR188" i="9"/>
  <c r="AR189" i="9"/>
  <c r="AN189" i="9"/>
  <c r="AP187" i="9"/>
  <c r="AT187" i="9"/>
  <c r="AU187" i="9"/>
  <c r="S33" i="9"/>
  <c r="S136" i="9"/>
  <c r="S113" i="9"/>
  <c r="S107" i="9"/>
  <c r="S84" i="9"/>
  <c r="S67" i="9"/>
  <c r="S32" i="9"/>
  <c r="S24" i="9"/>
  <c r="AS192" i="9" l="1"/>
  <c r="AP192" i="9"/>
  <c r="AS190" i="9"/>
  <c r="AP190" i="9"/>
  <c r="BA191" i="9"/>
  <c r="AS188" i="9"/>
  <c r="AP188" i="9"/>
  <c r="AS189" i="9"/>
  <c r="AP189" i="9"/>
  <c r="BA187" i="9"/>
  <c r="S4" i="9"/>
  <c r="S131" i="9"/>
  <c r="S14" i="9"/>
  <c r="S13" i="9"/>
  <c r="BA188" i="9" l="1"/>
  <c r="BA192" i="9"/>
  <c r="BA190" i="9"/>
  <c r="BA189" i="9"/>
  <c r="X166" i="9"/>
  <c r="S150" i="9"/>
  <c r="S137" i="9"/>
  <c r="S120" i="9"/>
  <c r="S100" i="9"/>
  <c r="S91" i="9"/>
  <c r="S88" i="9"/>
  <c r="S80" i="9"/>
  <c r="S77" i="9"/>
  <c r="S62" i="9"/>
  <c r="S51" i="9"/>
  <c r="S28" i="9"/>
  <c r="S26" i="9"/>
  <c r="S23" i="9"/>
  <c r="S140" i="9"/>
  <c r="S125" i="9"/>
  <c r="S124" i="9"/>
  <c r="X116" i="9"/>
  <c r="S116" i="9"/>
  <c r="S111" i="9"/>
  <c r="S89" i="9"/>
  <c r="S87" i="9"/>
  <c r="S86" i="9"/>
  <c r="S83" i="9"/>
  <c r="S82" i="9"/>
  <c r="S78" i="9"/>
  <c r="S53" i="9"/>
  <c r="S52" i="9"/>
  <c r="S48" i="9"/>
  <c r="S15" i="9"/>
  <c r="X161" i="9"/>
  <c r="S161" i="9"/>
  <c r="X160" i="9"/>
  <c r="X156" i="9"/>
  <c r="S156" i="9"/>
  <c r="S147" i="9"/>
  <c r="S129" i="9"/>
  <c r="X127" i="9"/>
  <c r="S127" i="9"/>
  <c r="S119" i="9"/>
  <c r="S109" i="9"/>
  <c r="S85" i="9"/>
  <c r="S73" i="9"/>
  <c r="S66" i="9"/>
  <c r="S63" i="9"/>
  <c r="X45" i="9"/>
  <c r="S45" i="9"/>
  <c r="X143" i="9"/>
  <c r="S143" i="9"/>
  <c r="S134" i="9"/>
  <c r="S58" i="9"/>
  <c r="S44" i="9"/>
  <c r="X167" i="9" l="1"/>
  <c r="X165" i="9"/>
  <c r="S165" i="9"/>
  <c r="S133" i="9"/>
  <c r="S121" i="9"/>
  <c r="X118" i="9"/>
  <c r="S118" i="9"/>
  <c r="X117" i="9"/>
  <c r="S117" i="9"/>
  <c r="S103" i="9"/>
  <c r="S76" i="9"/>
  <c r="S75" i="9"/>
  <c r="X71" i="9"/>
  <c r="S71" i="9"/>
  <c r="S70" i="9"/>
  <c r="U70" i="9" s="1"/>
  <c r="W70" i="9" s="1"/>
  <c r="S96" i="9"/>
  <c r="S74" i="9"/>
  <c r="S114" i="9"/>
  <c r="S61" i="9"/>
  <c r="S49" i="9"/>
  <c r="X182" i="9"/>
  <c r="S182" i="9"/>
  <c r="X159" i="9"/>
  <c r="S159" i="9"/>
  <c r="U159" i="9" s="1"/>
  <c r="X155" i="9"/>
  <c r="S128" i="9"/>
  <c r="S112" i="9"/>
  <c r="S69" i="9"/>
  <c r="S68" i="9"/>
  <c r="S25" i="9" l="1"/>
  <c r="X47" i="9" l="1"/>
  <c r="AX23" i="9" l="1"/>
  <c r="U184" i="9" l="1"/>
  <c r="AX185" i="9"/>
  <c r="AF185" i="9"/>
  <c r="AG185" i="9" s="1"/>
  <c r="AH185" i="9" s="1"/>
  <c r="Y185" i="9"/>
  <c r="U185" i="9"/>
  <c r="X186" i="9"/>
  <c r="Y186" i="9" s="1"/>
  <c r="Z186" i="9" s="1"/>
  <c r="X184" i="9"/>
  <c r="Y184" i="9" s="1"/>
  <c r="X183" i="9"/>
  <c r="Y183" i="9" s="1"/>
  <c r="AF186" i="9"/>
  <c r="AG186" i="9" s="1"/>
  <c r="AH186" i="9" s="1"/>
  <c r="U186" i="9"/>
  <c r="AX184" i="9"/>
  <c r="AF184" i="9"/>
  <c r="AG184" i="9" s="1"/>
  <c r="AH184" i="9" s="1"/>
  <c r="AX183" i="9"/>
  <c r="AF183" i="9"/>
  <c r="AG183" i="9" s="1"/>
  <c r="AH183" i="9" s="1"/>
  <c r="U183" i="9"/>
  <c r="M56" i="2"/>
  <c r="I56" i="2"/>
  <c r="AL185" i="9" l="1"/>
  <c r="AK185" i="9"/>
  <c r="AI185" i="9"/>
  <c r="AM185" i="9"/>
  <c r="Z185" i="9"/>
  <c r="AJ185" i="9" s="1"/>
  <c r="AK183" i="9"/>
  <c r="AL183" i="9"/>
  <c r="AI183" i="9"/>
  <c r="AM183" i="9"/>
  <c r="Z183" i="9"/>
  <c r="AJ183" i="9" s="1"/>
  <c r="AM184" i="9"/>
  <c r="AL186" i="9"/>
  <c r="AK186" i="9"/>
  <c r="AI186" i="9"/>
  <c r="AL184" i="9"/>
  <c r="AI184" i="9"/>
  <c r="AK184" i="9"/>
  <c r="AJ186" i="9"/>
  <c r="Z184" i="9"/>
  <c r="AJ184" i="9" s="1"/>
  <c r="AM186" i="9"/>
  <c r="AO185" i="9" l="1"/>
  <c r="AR185" i="9"/>
  <c r="AN185" i="9"/>
  <c r="AS185" i="9" s="1"/>
  <c r="AN183" i="9"/>
  <c r="AS183" i="9" s="1"/>
  <c r="AR183" i="9"/>
  <c r="AO183" i="9"/>
  <c r="AR184" i="9"/>
  <c r="AN184" i="9"/>
  <c r="AS184" i="9" s="1"/>
  <c r="AO186" i="9"/>
  <c r="AR186" i="9"/>
  <c r="AN186" i="9"/>
  <c r="AS186" i="9" s="1"/>
  <c r="AO184" i="9"/>
  <c r="AP184" i="9" l="1"/>
  <c r="AP185" i="9"/>
  <c r="AT185" i="9"/>
  <c r="AU185" i="9"/>
  <c r="AU183" i="9"/>
  <c r="AT183" i="9"/>
  <c r="AP186" i="9"/>
  <c r="AP183" i="9"/>
  <c r="AT184" i="9"/>
  <c r="AU184" i="9"/>
  <c r="AU186" i="9"/>
  <c r="AT186" i="9"/>
  <c r="BA183" i="9" l="1"/>
  <c r="BA184" i="9"/>
  <c r="BA185" i="9"/>
  <c r="BA186" i="9"/>
  <c r="X181" i="9"/>
  <c r="AF182" i="9" l="1"/>
  <c r="AG182" i="9" s="1"/>
  <c r="AH182" i="9" s="1"/>
  <c r="Y182" i="9"/>
  <c r="U182" i="9"/>
  <c r="AL182" i="9" l="1"/>
  <c r="Z182" i="9"/>
  <c r="AI182" i="9" l="1"/>
  <c r="AM182" i="9"/>
  <c r="AJ182" i="9"/>
  <c r="AR182" i="9" s="1"/>
  <c r="AK182" i="9"/>
  <c r="AO182" i="9" s="1"/>
  <c r="AN182" i="9" l="1"/>
  <c r="AS182" i="9" s="1"/>
  <c r="AU182" i="9"/>
  <c r="AT182" i="9"/>
  <c r="AP182" i="9" l="1"/>
  <c r="BA182" i="9" s="1"/>
  <c r="AZ228" i="9" l="1"/>
  <c r="R65" i="9" l="1"/>
  <c r="S65" i="9"/>
  <c r="X180" i="9" l="1"/>
  <c r="X178" i="9"/>
  <c r="X176" i="9"/>
  <c r="X175" i="9"/>
  <c r="U179" i="9" l="1"/>
  <c r="W179" i="9" s="1"/>
  <c r="X179" i="9" s="1"/>
  <c r="AX181" i="9"/>
  <c r="AF181" i="9"/>
  <c r="AG181" i="9" s="1"/>
  <c r="AH181" i="9" s="1"/>
  <c r="Y181" i="9"/>
  <c r="Z181" i="9" s="1"/>
  <c r="U181" i="9"/>
  <c r="AX180" i="9"/>
  <c r="AF180" i="9"/>
  <c r="AG180" i="9" s="1"/>
  <c r="AH180" i="9" s="1"/>
  <c r="Y180" i="9"/>
  <c r="Z180" i="9" s="1"/>
  <c r="U180" i="9"/>
  <c r="AX179" i="9"/>
  <c r="AF179" i="9"/>
  <c r="AG179" i="9" s="1"/>
  <c r="AH179" i="9" s="1"/>
  <c r="AF178" i="9"/>
  <c r="AG178" i="9" s="1"/>
  <c r="AH178" i="9" s="1"/>
  <c r="Y178" i="9"/>
  <c r="Z178" i="9" s="1"/>
  <c r="U178" i="9"/>
  <c r="AX177" i="9"/>
  <c r="AF177" i="9"/>
  <c r="AG177" i="9" s="1"/>
  <c r="AH177" i="9" s="1"/>
  <c r="U177" i="9"/>
  <c r="AX176" i="9"/>
  <c r="AF176" i="9"/>
  <c r="AG176" i="9" s="1"/>
  <c r="AH176" i="9" s="1"/>
  <c r="Y176" i="9"/>
  <c r="Z176" i="9" s="1"/>
  <c r="U176" i="9"/>
  <c r="AX175" i="9"/>
  <c r="AF175" i="9"/>
  <c r="AG175" i="9" s="1"/>
  <c r="AH175" i="9" s="1"/>
  <c r="Y175" i="9"/>
  <c r="U175" i="9"/>
  <c r="Y179" i="9" l="1"/>
  <c r="Z179" i="9" s="1"/>
  <c r="AK179" i="9"/>
  <c r="AK180" i="9"/>
  <c r="AK181" i="9"/>
  <c r="AO181" i="9" s="1"/>
  <c r="AL181" i="9"/>
  <c r="AK177" i="9"/>
  <c r="AL177" i="9"/>
  <c r="AI177" i="9"/>
  <c r="AJ181" i="9"/>
  <c r="AR181" i="9" s="1"/>
  <c r="AI181" i="9"/>
  <c r="AM177" i="9"/>
  <c r="Z177" i="9"/>
  <c r="AJ177" i="9" s="1"/>
  <c r="AN177" i="9" s="1"/>
  <c r="AL176" i="9"/>
  <c r="AK176" i="9"/>
  <c r="AL178" i="9"/>
  <c r="AM178" i="9"/>
  <c r="AK178" i="9"/>
  <c r="AM181" i="9"/>
  <c r="AI176" i="9"/>
  <c r="AJ178" i="9"/>
  <c r="AM176" i="9"/>
  <c r="AJ176" i="9"/>
  <c r="AI178" i="9"/>
  <c r="AL175" i="9"/>
  <c r="AK175" i="9"/>
  <c r="AI175" i="9"/>
  <c r="AM175" i="9"/>
  <c r="Z175" i="9"/>
  <c r="AJ175" i="9" s="1"/>
  <c r="AJ180" i="9" l="1"/>
  <c r="AN180" i="9" s="1"/>
  <c r="AS180" i="9" s="1"/>
  <c r="AM179" i="9"/>
  <c r="AJ179" i="9"/>
  <c r="AR179" i="9" s="1"/>
  <c r="AI179" i="9"/>
  <c r="AL179" i="9"/>
  <c r="AO179" i="9"/>
  <c r="AT179" i="9" s="1"/>
  <c r="AM180" i="9"/>
  <c r="AL180" i="9"/>
  <c r="AI180" i="9"/>
  <c r="AN181" i="9"/>
  <c r="AS181" i="9" s="1"/>
  <c r="AO177" i="9"/>
  <c r="AP177" i="9" s="1"/>
  <c r="AR177" i="9"/>
  <c r="AS177" i="9"/>
  <c r="AN178" i="9"/>
  <c r="AS178" i="9" s="1"/>
  <c r="AR178" i="9"/>
  <c r="AO178" i="9"/>
  <c r="AN176" i="9"/>
  <c r="AS176" i="9" s="1"/>
  <c r="AR176" i="9"/>
  <c r="AO180" i="9"/>
  <c r="AT181" i="9"/>
  <c r="AU181" i="9"/>
  <c r="AO176" i="9"/>
  <c r="AO175" i="9"/>
  <c r="AR175" i="9"/>
  <c r="AN175" i="9"/>
  <c r="AS175" i="9" s="1"/>
  <c r="AR180" i="9" l="1"/>
  <c r="AU179" i="9"/>
  <c r="AN179" i="9"/>
  <c r="AS179" i="9" s="1"/>
  <c r="AP181" i="9"/>
  <c r="BA181" i="9" s="1"/>
  <c r="AT177" i="9"/>
  <c r="AU177" i="9"/>
  <c r="AP176" i="9"/>
  <c r="AU180" i="9"/>
  <c r="AT180" i="9"/>
  <c r="AP180" i="9"/>
  <c r="AU176" i="9"/>
  <c r="AT176" i="9"/>
  <c r="AU178" i="9"/>
  <c r="AT178" i="9"/>
  <c r="AP178" i="9"/>
  <c r="AP175" i="9"/>
  <c r="AT175" i="9"/>
  <c r="AU175" i="9"/>
  <c r="AP179" i="9" l="1"/>
  <c r="BA179" i="9" s="1"/>
  <c r="BA177" i="9"/>
  <c r="BA176" i="9"/>
  <c r="BA178" i="9"/>
  <c r="BA180" i="9"/>
  <c r="BA175" i="9"/>
  <c r="AQ228" i="9" l="1"/>
  <c r="AY228" i="9"/>
  <c r="AV228" i="9" l="1"/>
  <c r="X171" i="9" l="1"/>
  <c r="AX170" i="9" l="1"/>
  <c r="AF170" i="9"/>
  <c r="AG170" i="9" s="1"/>
  <c r="AH170" i="9" s="1"/>
  <c r="U170" i="9"/>
  <c r="W170" i="9" s="1"/>
  <c r="X170" i="9" s="1"/>
  <c r="AX169" i="9"/>
  <c r="AF169" i="9"/>
  <c r="AG169" i="9" s="1"/>
  <c r="AH169" i="9" s="1"/>
  <c r="X169" i="9"/>
  <c r="U169" i="9"/>
  <c r="AI170" i="9" l="1"/>
  <c r="AK170" i="9"/>
  <c r="AL170" i="9"/>
  <c r="Y170" i="9"/>
  <c r="AM170" i="9" s="1"/>
  <c r="AI169" i="9"/>
  <c r="AK169" i="9"/>
  <c r="AL169" i="9"/>
  <c r="Y169" i="9"/>
  <c r="AM169" i="9" s="1"/>
  <c r="AX174" i="9"/>
  <c r="AF174" i="9"/>
  <c r="AG174" i="9" s="1"/>
  <c r="AH174" i="9" s="1"/>
  <c r="Y174" i="9"/>
  <c r="Z174" i="9" s="1"/>
  <c r="U174" i="9"/>
  <c r="AX173" i="9"/>
  <c r="AF173" i="9"/>
  <c r="AG173" i="9" s="1"/>
  <c r="AH173" i="9" s="1"/>
  <c r="Y173" i="9"/>
  <c r="Z173" i="9" s="1"/>
  <c r="U173" i="9"/>
  <c r="AF172" i="9"/>
  <c r="AG172" i="9" s="1"/>
  <c r="AH172" i="9" s="1"/>
  <c r="Y172" i="9"/>
  <c r="U172" i="9"/>
  <c r="AF171" i="9"/>
  <c r="AG171" i="9" s="1"/>
  <c r="AH171" i="9" s="1"/>
  <c r="Y171" i="9"/>
  <c r="Z171" i="9" s="1"/>
  <c r="U171" i="9"/>
  <c r="Z169" i="9" l="1"/>
  <c r="AJ169" i="9" s="1"/>
  <c r="AR169" i="9" s="1"/>
  <c r="AI174" i="9"/>
  <c r="AJ174" i="9"/>
  <c r="AI172" i="9"/>
  <c r="AJ171" i="9"/>
  <c r="AR171" i="9" s="1"/>
  <c r="AM172" i="9"/>
  <c r="AI173" i="9"/>
  <c r="Z170" i="9"/>
  <c r="AJ170" i="9" s="1"/>
  <c r="AR170" i="9" s="1"/>
  <c r="AO170" i="9"/>
  <c r="AO169" i="9"/>
  <c r="Z172" i="9"/>
  <c r="AJ172" i="9" s="1"/>
  <c r="AR172" i="9" s="1"/>
  <c r="AL171" i="9"/>
  <c r="AI171" i="9"/>
  <c r="AK171" i="9"/>
  <c r="AM173" i="9"/>
  <c r="AL172" i="9"/>
  <c r="AK172" i="9"/>
  <c r="AJ173" i="9"/>
  <c r="AM174" i="9"/>
  <c r="AL174" i="9"/>
  <c r="AK174" i="9"/>
  <c r="AK173" i="9"/>
  <c r="AL173" i="9"/>
  <c r="AR174" i="9"/>
  <c r="AN174" i="9"/>
  <c r="AS174" i="9" s="1"/>
  <c r="AM171" i="9"/>
  <c r="AF168" i="9"/>
  <c r="AG168" i="9" s="1"/>
  <c r="AH168" i="9" s="1"/>
  <c r="Y168" i="9"/>
  <c r="Z168" i="9" s="1"/>
  <c r="U168" i="9"/>
  <c r="AN169" i="9" l="1"/>
  <c r="AS169" i="9" s="1"/>
  <c r="AN172" i="9"/>
  <c r="AS172" i="9" s="1"/>
  <c r="AN171" i="9"/>
  <c r="AS171" i="9" s="1"/>
  <c r="AN170" i="9"/>
  <c r="AS170" i="9" s="1"/>
  <c r="AT170" i="9"/>
  <c r="AU170" i="9"/>
  <c r="AT169" i="9"/>
  <c r="AU169" i="9"/>
  <c r="AO174" i="9"/>
  <c r="AP174" i="9" s="1"/>
  <c r="AO173" i="9"/>
  <c r="AO172" i="9"/>
  <c r="AR173" i="9"/>
  <c r="AN173" i="9"/>
  <c r="AS173" i="9" s="1"/>
  <c r="AO171" i="9"/>
  <c r="AK168" i="9"/>
  <c r="AJ168" i="9"/>
  <c r="AL168" i="9"/>
  <c r="AI168" i="9"/>
  <c r="AM168" i="9"/>
  <c r="AP171" i="9" l="1"/>
  <c r="AP169" i="9"/>
  <c r="BA169" i="9" s="1"/>
  <c r="AP172" i="9"/>
  <c r="AP170" i="9"/>
  <c r="BA170" i="9" s="1"/>
  <c r="AU173" i="9"/>
  <c r="AT173" i="9"/>
  <c r="AU171" i="9"/>
  <c r="AT171" i="9"/>
  <c r="AT172" i="9"/>
  <c r="AU172" i="9"/>
  <c r="AP173" i="9"/>
  <c r="AT174" i="9"/>
  <c r="AU174" i="9"/>
  <c r="AO168" i="9"/>
  <c r="AR168" i="9"/>
  <c r="AN168" i="9"/>
  <c r="AS168" i="9" s="1"/>
  <c r="U98" i="9"/>
  <c r="W98" i="9" s="1"/>
  <c r="BA174" i="9" l="1"/>
  <c r="BA172" i="9"/>
  <c r="BA171" i="9"/>
  <c r="BA173" i="9"/>
  <c r="AP168" i="9"/>
  <c r="AU168" i="9"/>
  <c r="AT168" i="9"/>
  <c r="BA168" i="9" l="1"/>
  <c r="AX51" i="9" l="1"/>
  <c r="U167" i="9" l="1"/>
  <c r="U166" i="9"/>
  <c r="Y165" i="9"/>
  <c r="U165" i="9"/>
  <c r="Z165" i="9" l="1"/>
  <c r="Y167" i="9"/>
  <c r="Z167" i="9" s="1"/>
  <c r="Y166" i="9"/>
  <c r="Z166" i="9" s="1"/>
  <c r="U164" i="9" l="1"/>
  <c r="AX164" i="9" l="1"/>
  <c r="AF167" i="9"/>
  <c r="AG167" i="9" s="1"/>
  <c r="AH167" i="9" s="1"/>
  <c r="AF166" i="9"/>
  <c r="AG166" i="9" s="1"/>
  <c r="AH166" i="9" s="1"/>
  <c r="AF165" i="9"/>
  <c r="AG165" i="9" s="1"/>
  <c r="AH165" i="9" s="1"/>
  <c r="AF164" i="9"/>
  <c r="AG164" i="9" s="1"/>
  <c r="AH164" i="9" s="1"/>
  <c r="X164" i="9"/>
  <c r="Y164" i="9" s="1"/>
  <c r="Z164" i="9" s="1"/>
  <c r="AX167" i="9"/>
  <c r="AK164" i="9" l="1"/>
  <c r="AK166" i="9"/>
  <c r="AJ166" i="9"/>
  <c r="AM166" i="9"/>
  <c r="AL166" i="9"/>
  <c r="AI166" i="9"/>
  <c r="AM167" i="9"/>
  <c r="AL167" i="9"/>
  <c r="AI167" i="9"/>
  <c r="AK167" i="9"/>
  <c r="AJ167" i="9"/>
  <c r="AM165" i="9"/>
  <c r="AL165" i="9"/>
  <c r="AI165" i="9"/>
  <c r="AK165" i="9"/>
  <c r="AJ165" i="9"/>
  <c r="AI164" i="9" l="1"/>
  <c r="AM164" i="9"/>
  <c r="AL164" i="9"/>
  <c r="AO164" i="9"/>
  <c r="AU164" i="9" s="1"/>
  <c r="AJ164" i="9"/>
  <c r="AR164" i="9" s="1"/>
  <c r="AR167" i="9"/>
  <c r="AN167" i="9"/>
  <c r="AS167" i="9" s="1"/>
  <c r="AO167" i="9"/>
  <c r="AR166" i="9"/>
  <c r="AN166" i="9"/>
  <c r="AS166" i="9" s="1"/>
  <c r="AO166" i="9"/>
  <c r="AR165" i="9"/>
  <c r="AN165" i="9"/>
  <c r="AS165" i="9" s="1"/>
  <c r="AO165" i="9"/>
  <c r="AN164" i="9" l="1"/>
  <c r="AS164" i="9" s="1"/>
  <c r="AT164" i="9"/>
  <c r="AP165" i="9"/>
  <c r="AT167" i="9"/>
  <c r="AU167" i="9"/>
  <c r="AP166" i="9"/>
  <c r="AU166" i="9"/>
  <c r="AT166" i="9"/>
  <c r="AP167" i="9"/>
  <c r="AT165" i="9"/>
  <c r="AU165" i="9"/>
  <c r="AP164" i="9" l="1"/>
  <c r="BA164" i="9" s="1"/>
  <c r="BA165" i="9"/>
  <c r="BA167" i="9"/>
  <c r="BA166" i="9"/>
  <c r="AX32" i="9" l="1"/>
  <c r="AX8" i="9" l="1"/>
  <c r="AX125" i="9" l="1"/>
  <c r="X105" i="9" l="1"/>
  <c r="R105" i="9"/>
  <c r="X104" i="9"/>
  <c r="S95" i="9" l="1"/>
  <c r="R22" i="9" l="1"/>
  <c r="R7" i="9" l="1"/>
  <c r="AX163" i="9" l="1"/>
  <c r="AF163" i="9"/>
  <c r="AG163" i="9" s="1"/>
  <c r="AH163" i="9" s="1"/>
  <c r="U163" i="9"/>
  <c r="W163" i="9" s="1"/>
  <c r="X163" i="9" s="1"/>
  <c r="Y163" i="9" l="1"/>
  <c r="Z163" i="9" s="1"/>
  <c r="AJ163" i="9" s="1"/>
  <c r="AL163" i="9"/>
  <c r="AK163" i="9"/>
  <c r="AI163" i="9"/>
  <c r="AM163" i="9" l="1"/>
  <c r="AO163" i="9"/>
  <c r="AR163" i="9"/>
  <c r="AN163" i="9"/>
  <c r="AS163" i="9" s="1"/>
  <c r="AP163" i="9" l="1"/>
  <c r="AT163" i="9"/>
  <c r="AU163" i="9"/>
  <c r="BA163" i="9" l="1"/>
  <c r="AF162" i="9" l="1"/>
  <c r="AG162" i="9" s="1"/>
  <c r="AH162" i="9" s="1"/>
  <c r="Y162" i="9"/>
  <c r="Z162" i="9" s="1"/>
  <c r="U162" i="9"/>
  <c r="AL162" i="9" l="1"/>
  <c r="AK162" i="9"/>
  <c r="AI162" i="9"/>
  <c r="AM162" i="9"/>
  <c r="AJ162" i="9"/>
  <c r="AO162" i="9" l="1"/>
  <c r="AR162" i="9"/>
  <c r="AN162" i="9"/>
  <c r="AS162" i="9" s="1"/>
  <c r="AP162" i="9" l="1"/>
  <c r="AT162" i="9"/>
  <c r="AU162" i="9"/>
  <c r="BA162" i="9" l="1"/>
  <c r="H235" i="9" l="1"/>
  <c r="Y161" i="9" l="1"/>
  <c r="Z161" i="9" s="1"/>
  <c r="U161" i="9"/>
  <c r="Y160" i="9"/>
  <c r="Z160" i="9" s="1"/>
  <c r="U160" i="9"/>
  <c r="Y159" i="9" l="1"/>
  <c r="Z159" i="9" s="1"/>
  <c r="AF158" i="9" l="1"/>
  <c r="AG158" i="9" s="1"/>
  <c r="AH158" i="9" s="1"/>
  <c r="AF160" i="9"/>
  <c r="AG160" i="9" s="1"/>
  <c r="AH160" i="9" s="1"/>
  <c r="AX161" i="9"/>
  <c r="AX160" i="9"/>
  <c r="AX159" i="9"/>
  <c r="X158" i="9"/>
  <c r="Y158" i="9" s="1"/>
  <c r="U158" i="9"/>
  <c r="AF161" i="9"/>
  <c r="AG161" i="9" s="1"/>
  <c r="AH161" i="9" s="1"/>
  <c r="AF159" i="9"/>
  <c r="AG159" i="9" s="1"/>
  <c r="AH159" i="9" s="1"/>
  <c r="AJ159" i="9" l="1"/>
  <c r="AR159" i="9" s="1"/>
  <c r="AM159" i="9"/>
  <c r="AJ161" i="9"/>
  <c r="AR161" i="9" s="1"/>
  <c r="AJ160" i="9"/>
  <c r="AR160" i="9" s="1"/>
  <c r="Z158" i="9"/>
  <c r="AJ158" i="9" s="1"/>
  <c r="AR158" i="9" s="1"/>
  <c r="AI158" i="9"/>
  <c r="AL158" i="9"/>
  <c r="AK158" i="9"/>
  <c r="AM158" i="9"/>
  <c r="AK160" i="9"/>
  <c r="AM160" i="9"/>
  <c r="AI160" i="9"/>
  <c r="AL160" i="9"/>
  <c r="AI161" i="9"/>
  <c r="AL161" i="9"/>
  <c r="AK161" i="9"/>
  <c r="AK159" i="9"/>
  <c r="AL159" i="9"/>
  <c r="AI159" i="9"/>
  <c r="AO161" i="9" l="1"/>
  <c r="AU161" i="9" s="1"/>
  <c r="AO158" i="9"/>
  <c r="AU158" i="9" s="1"/>
  <c r="AO159" i="9"/>
  <c r="AU159" i="9" s="1"/>
  <c r="AM161" i="9"/>
  <c r="AN160" i="9"/>
  <c r="AS160" i="9" s="1"/>
  <c r="AN161" i="9"/>
  <c r="AS161" i="9" s="1"/>
  <c r="AO160" i="9"/>
  <c r="AT160" i="9" s="1"/>
  <c r="AN159" i="9"/>
  <c r="AS159" i="9" s="1"/>
  <c r="AN158" i="9"/>
  <c r="AS158" i="9" s="1"/>
  <c r="AT161" i="9" l="1"/>
  <c r="AT158" i="9"/>
  <c r="AT159" i="9"/>
  <c r="AP160" i="9"/>
  <c r="AP161" i="9"/>
  <c r="AU160" i="9"/>
  <c r="AP159" i="9"/>
  <c r="AP158" i="9"/>
  <c r="BA161" i="9" l="1"/>
  <c r="BA160" i="9"/>
  <c r="BA159" i="9"/>
  <c r="BA158" i="9"/>
  <c r="AW228" i="9" l="1"/>
  <c r="AX31" i="9" l="1"/>
  <c r="AX77" i="9"/>
  <c r="AR28" i="9" l="1"/>
  <c r="AN28" i="9"/>
  <c r="AS28" i="9" s="1"/>
  <c r="AF28" i="9"/>
  <c r="AG28" i="9" s="1"/>
  <c r="AH28" i="9" s="1"/>
  <c r="U28" i="9"/>
  <c r="W28" i="9" s="1"/>
  <c r="X28" i="9" s="1"/>
  <c r="AL28" i="9" l="1"/>
  <c r="AK28" i="9"/>
  <c r="AI28" i="9"/>
  <c r="Y28" i="9"/>
  <c r="Z28" i="9" l="1"/>
  <c r="AJ28" i="9" s="1"/>
  <c r="AM28" i="9"/>
  <c r="AO28" i="9"/>
  <c r="AU28" i="9" l="1"/>
  <c r="AT28" i="9"/>
  <c r="AP28" i="9"/>
  <c r="BA28" i="9" l="1"/>
  <c r="AX110" i="9" l="1"/>
  <c r="AF155" i="9" l="1"/>
  <c r="U101" i="9" l="1"/>
  <c r="W101" i="9" s="1"/>
  <c r="X101" i="9" s="1"/>
  <c r="AX101" i="9"/>
  <c r="Y101" i="9" l="1"/>
  <c r="Z101" i="9" s="1"/>
  <c r="U151" i="9" l="1"/>
  <c r="W151" i="9" s="1"/>
  <c r="AX151" i="9"/>
  <c r="X151" i="9" l="1"/>
  <c r="Y151" i="9" s="1"/>
  <c r="Z151" i="9" l="1"/>
  <c r="P56" i="2" l="1"/>
  <c r="AA56" i="2"/>
  <c r="Z56" i="2"/>
  <c r="X56" i="2"/>
  <c r="W56" i="2"/>
  <c r="V56" i="2"/>
  <c r="Q56" i="2"/>
  <c r="N56" i="2"/>
  <c r="O56" i="2" l="1"/>
  <c r="AX137" i="9" l="1"/>
  <c r="AR137" i="9"/>
  <c r="AN137" i="9"/>
  <c r="AS137" i="9" s="1"/>
  <c r="AF137" i="9"/>
  <c r="AG137" i="9" s="1"/>
  <c r="AH137" i="9" s="1"/>
  <c r="U137" i="9"/>
  <c r="W137" i="9" s="1"/>
  <c r="X137" i="9" s="1"/>
  <c r="Y137" i="9" l="1"/>
  <c r="AM137" i="9" s="1"/>
  <c r="AL137" i="9"/>
  <c r="AK137" i="9"/>
  <c r="AI137" i="9"/>
  <c r="Z137" i="9" l="1"/>
  <c r="AJ137" i="9" s="1"/>
  <c r="AO137" i="9"/>
  <c r="AP137" i="9" s="1"/>
  <c r="AT137" i="9" l="1"/>
  <c r="AU137" i="9"/>
  <c r="BA137" i="9" l="1"/>
  <c r="U157" i="9"/>
  <c r="AX157" i="9"/>
  <c r="AR157" i="9"/>
  <c r="AN157" i="9"/>
  <c r="AS157" i="9" s="1"/>
  <c r="AF157" i="9"/>
  <c r="AG157" i="9" s="1"/>
  <c r="AH157" i="9" s="1"/>
  <c r="X157" i="9"/>
  <c r="AF156" i="9"/>
  <c r="AG156" i="9" s="1"/>
  <c r="AH156" i="9" s="1"/>
  <c r="Y156" i="9"/>
  <c r="U156" i="9"/>
  <c r="AG155" i="9"/>
  <c r="AH155" i="9" s="1"/>
  <c r="Y155" i="9"/>
  <c r="U155" i="9"/>
  <c r="AX154" i="9"/>
  <c r="AF154" i="9"/>
  <c r="AG154" i="9" s="1"/>
  <c r="AH154" i="9" s="1"/>
  <c r="Y154" i="9"/>
  <c r="U154" i="9"/>
  <c r="AL157" i="9" l="1"/>
  <c r="AI157" i="9"/>
  <c r="AK157" i="9"/>
  <c r="Y157" i="9"/>
  <c r="AM157" i="9" s="1"/>
  <c r="AL156" i="9"/>
  <c r="AK156" i="9"/>
  <c r="AI156" i="9"/>
  <c r="AM156" i="9"/>
  <c r="Z156" i="9"/>
  <c r="AJ156" i="9" s="1"/>
  <c r="AM155" i="9"/>
  <c r="AL155" i="9"/>
  <c r="AK155" i="9"/>
  <c r="AI155" i="9"/>
  <c r="Z155" i="9"/>
  <c r="AJ155" i="9" s="1"/>
  <c r="AL154" i="9"/>
  <c r="AK154" i="9"/>
  <c r="AI154" i="9"/>
  <c r="AM154" i="9"/>
  <c r="Z154" i="9"/>
  <c r="AJ154" i="9" s="1"/>
  <c r="Z157" i="9" l="1"/>
  <c r="AJ157" i="9" s="1"/>
  <c r="AO157" i="9"/>
  <c r="AP157" i="9" s="1"/>
  <c r="AO156" i="9"/>
  <c r="AR156" i="9"/>
  <c r="AN156" i="9"/>
  <c r="AS156" i="9" s="1"/>
  <c r="AN155" i="9"/>
  <c r="AS155" i="9" s="1"/>
  <c r="AR155" i="9"/>
  <c r="AO155" i="9"/>
  <c r="AO154" i="9"/>
  <c r="AR154" i="9"/>
  <c r="AN154" i="9"/>
  <c r="AS154" i="9" s="1"/>
  <c r="AT157" i="9" l="1"/>
  <c r="AU157" i="9"/>
  <c r="AP156" i="9"/>
  <c r="AT156" i="9"/>
  <c r="AU156" i="9"/>
  <c r="AT155" i="9"/>
  <c r="AU155" i="9"/>
  <c r="AP155" i="9"/>
  <c r="AP154" i="9"/>
  <c r="AT154" i="9"/>
  <c r="AU154" i="9"/>
  <c r="BA154" i="9" l="1"/>
  <c r="BA155" i="9"/>
  <c r="BA157" i="9"/>
  <c r="BA156" i="9"/>
  <c r="X152" i="9"/>
  <c r="U152" i="9"/>
  <c r="U153" i="9" l="1"/>
  <c r="Y152" i="9"/>
  <c r="Z152" i="9" s="1"/>
  <c r="X149" i="9"/>
  <c r="Y149" i="9" s="1"/>
  <c r="Z149" i="9" s="1"/>
  <c r="U150" i="9"/>
  <c r="W150" i="9" s="1"/>
  <c r="X150" i="9" s="1"/>
  <c r="Y150" i="9" s="1"/>
  <c r="Z150" i="9" s="1"/>
  <c r="U149" i="9"/>
  <c r="Y153" i="9" l="1"/>
  <c r="Z153" i="9" s="1"/>
  <c r="AF153" i="9"/>
  <c r="AG153" i="9" s="1"/>
  <c r="AH153" i="9" s="1"/>
  <c r="AX152" i="9"/>
  <c r="AF152" i="9"/>
  <c r="AG152" i="9" s="1"/>
  <c r="AH152" i="9" s="1"/>
  <c r="AF151" i="9"/>
  <c r="AG151" i="9" s="1"/>
  <c r="AH151" i="9" s="1"/>
  <c r="AF150" i="9"/>
  <c r="AG150" i="9" s="1"/>
  <c r="AH150" i="9" s="1"/>
  <c r="AX149" i="9"/>
  <c r="AF149" i="9"/>
  <c r="AG149" i="9" s="1"/>
  <c r="AH149" i="9" s="1"/>
  <c r="AJ152" i="9" l="1"/>
  <c r="AK150" i="9"/>
  <c r="AI151" i="9"/>
  <c r="AK151" i="9"/>
  <c r="AL151" i="9"/>
  <c r="AM151" i="9"/>
  <c r="AJ151" i="9"/>
  <c r="AL153" i="9"/>
  <c r="AI153" i="9"/>
  <c r="AK153" i="9"/>
  <c r="AM153" i="9"/>
  <c r="AJ153" i="9"/>
  <c r="AM149" i="9"/>
  <c r="AI149" i="9"/>
  <c r="AL149" i="9"/>
  <c r="AK149" i="9"/>
  <c r="AJ149" i="9"/>
  <c r="AI150" i="9" l="1"/>
  <c r="AK152" i="9"/>
  <c r="AL150" i="9"/>
  <c r="AM152" i="9"/>
  <c r="AM150" i="9"/>
  <c r="AJ150" i="9"/>
  <c r="AN150" i="9" s="1"/>
  <c r="AS150" i="9" s="1"/>
  <c r="AR152" i="9"/>
  <c r="AN152" i="9"/>
  <c r="AS152" i="9" s="1"/>
  <c r="AL152" i="9"/>
  <c r="AO150" i="9"/>
  <c r="AU150" i="9" s="1"/>
  <c r="AI152" i="9"/>
  <c r="AO151" i="9"/>
  <c r="AN151" i="9"/>
  <c r="AS151" i="9" s="1"/>
  <c r="AR151" i="9"/>
  <c r="AR153" i="9"/>
  <c r="AN153" i="9"/>
  <c r="AS153" i="9" s="1"/>
  <c r="AO153" i="9"/>
  <c r="AR149" i="9"/>
  <c r="AN149" i="9"/>
  <c r="AS149" i="9" s="1"/>
  <c r="AO149" i="9"/>
  <c r="AR150" i="9" l="1"/>
  <c r="AO152" i="9"/>
  <c r="AT152" i="9" s="1"/>
  <c r="AT150" i="9"/>
  <c r="AP151" i="9"/>
  <c r="AT151" i="9"/>
  <c r="AU151" i="9"/>
  <c r="AP149" i="9"/>
  <c r="AT153" i="9"/>
  <c r="AU153" i="9"/>
  <c r="AP150" i="9"/>
  <c r="AP153" i="9"/>
  <c r="AT149" i="9"/>
  <c r="AU149" i="9"/>
  <c r="AP152" i="9" l="1"/>
  <c r="BA151" i="9"/>
  <c r="AU152" i="9"/>
  <c r="BA150" i="9"/>
  <c r="BA149" i="9"/>
  <c r="BA153" i="9"/>
  <c r="BA152" i="9" l="1"/>
  <c r="U145" i="9" l="1"/>
  <c r="W145" i="9" s="1"/>
  <c r="U148" i="9"/>
  <c r="U147" i="9"/>
  <c r="U146" i="9" l="1"/>
  <c r="AX146" i="9"/>
  <c r="AF146" i="9"/>
  <c r="AG146" i="9" s="1"/>
  <c r="AH146" i="9" s="1"/>
  <c r="Y146" i="9"/>
  <c r="AL146" i="9" l="1"/>
  <c r="AK146" i="9"/>
  <c r="AI146" i="9"/>
  <c r="AM146" i="9"/>
  <c r="Z146" i="9"/>
  <c r="AJ146" i="9" s="1"/>
  <c r="U144" i="9"/>
  <c r="W144" i="9" s="1"/>
  <c r="U143" i="9"/>
  <c r="U142" i="9"/>
  <c r="U141" i="9"/>
  <c r="W141" i="9" s="1"/>
  <c r="U140" i="9"/>
  <c r="AO146" i="9" l="1"/>
  <c r="AN146" i="9"/>
  <c r="AS146" i="9" s="1"/>
  <c r="AR146" i="9"/>
  <c r="AT146" i="9" l="1"/>
  <c r="AU146" i="9"/>
  <c r="AP146" i="9"/>
  <c r="BA146" i="9" l="1"/>
  <c r="L56" i="2"/>
  <c r="AX148" i="9"/>
  <c r="AF148" i="9"/>
  <c r="AG148" i="9" s="1"/>
  <c r="AH148" i="9" s="1"/>
  <c r="X148" i="9"/>
  <c r="Y148" i="9" s="1"/>
  <c r="AX147" i="9"/>
  <c r="AF147" i="9"/>
  <c r="AG147" i="9" s="1"/>
  <c r="AH147" i="9" s="1"/>
  <c r="X147" i="9"/>
  <c r="Y147" i="9" s="1"/>
  <c r="AX145" i="9"/>
  <c r="AF145" i="9"/>
  <c r="AG145" i="9" s="1"/>
  <c r="AH145" i="9" s="1"/>
  <c r="X145" i="9"/>
  <c r="Y145" i="9" s="1"/>
  <c r="AX144" i="9"/>
  <c r="AF144" i="9"/>
  <c r="AG144" i="9" s="1"/>
  <c r="AH144" i="9" s="1"/>
  <c r="X144" i="9"/>
  <c r="Y144" i="9" s="1"/>
  <c r="AX143" i="9"/>
  <c r="AF143" i="9"/>
  <c r="AG143" i="9" s="1"/>
  <c r="AH143" i="9" s="1"/>
  <c r="AF142" i="9"/>
  <c r="AG142" i="9" s="1"/>
  <c r="AH142" i="9" s="1"/>
  <c r="X142" i="9"/>
  <c r="Y142" i="9" s="1"/>
  <c r="AF141" i="9"/>
  <c r="AG141" i="9" s="1"/>
  <c r="AH141" i="9" s="1"/>
  <c r="X141" i="9"/>
  <c r="Y141" i="9" s="1"/>
  <c r="AF140" i="9"/>
  <c r="AG140" i="9" s="1"/>
  <c r="AH140" i="9" s="1"/>
  <c r="X140" i="9"/>
  <c r="Y140" i="9" s="1"/>
  <c r="T56" i="2" l="1"/>
  <c r="S56" i="2"/>
  <c r="AI145" i="9"/>
  <c r="AI141" i="9"/>
  <c r="AM147" i="9"/>
  <c r="AM148" i="9"/>
  <c r="AM140" i="9"/>
  <c r="AI140" i="9"/>
  <c r="AL140" i="9"/>
  <c r="AK140" i="9"/>
  <c r="Z140" i="9"/>
  <c r="AJ140" i="9" s="1"/>
  <c r="Z148" i="9"/>
  <c r="AJ148" i="9" s="1"/>
  <c r="AI142" i="9"/>
  <c r="AL142" i="9"/>
  <c r="AK142" i="9"/>
  <c r="AK143" i="9"/>
  <c r="AI143" i="9"/>
  <c r="AM144" i="9"/>
  <c r="Z144" i="9"/>
  <c r="AJ144" i="9" s="1"/>
  <c r="AK147" i="9"/>
  <c r="AI147" i="9"/>
  <c r="AL143" i="9"/>
  <c r="Y143" i="9"/>
  <c r="AM143" i="9" s="1"/>
  <c r="Z141" i="9"/>
  <c r="AM142" i="9"/>
  <c r="Z142" i="9"/>
  <c r="AJ142" i="9" s="1"/>
  <c r="AI144" i="9"/>
  <c r="AL144" i="9"/>
  <c r="AK144" i="9"/>
  <c r="AL148" i="9"/>
  <c r="AK148" i="9"/>
  <c r="AI148" i="9"/>
  <c r="Z147" i="9"/>
  <c r="AJ147" i="9" s="1"/>
  <c r="AL147" i="9"/>
  <c r="Z145" i="9"/>
  <c r="X87" i="9"/>
  <c r="Y87" i="9" s="1"/>
  <c r="AK145" i="9" l="1"/>
  <c r="AL141" i="9"/>
  <c r="AM145" i="9"/>
  <c r="AJ145" i="9"/>
  <c r="AN145" i="9" s="1"/>
  <c r="AS145" i="9" s="1"/>
  <c r="AL145" i="9"/>
  <c r="AM141" i="9"/>
  <c r="AK141" i="9"/>
  <c r="AJ141" i="9"/>
  <c r="AN141" i="9" s="1"/>
  <c r="AS141" i="9" s="1"/>
  <c r="AR140" i="9"/>
  <c r="AN140" i="9"/>
  <c r="AS140" i="9" s="1"/>
  <c r="AO140" i="9"/>
  <c r="AR147" i="9"/>
  <c r="AN147" i="9"/>
  <c r="AS147" i="9" s="1"/>
  <c r="AN148" i="9"/>
  <c r="AS148" i="9" s="1"/>
  <c r="AR148" i="9"/>
  <c r="AO147" i="9"/>
  <c r="AO143" i="9"/>
  <c r="AO148" i="9"/>
  <c r="AN142" i="9"/>
  <c r="AS142" i="9" s="1"/>
  <c r="AR142" i="9"/>
  <c r="AN144" i="9"/>
  <c r="AS144" i="9" s="1"/>
  <c r="AR144" i="9"/>
  <c r="Z143" i="9"/>
  <c r="AJ143" i="9" s="1"/>
  <c r="AO144" i="9"/>
  <c r="U56" i="2" l="1"/>
  <c r="AO145" i="9"/>
  <c r="AP145" i="9" s="1"/>
  <c r="AR145" i="9"/>
  <c r="AR141" i="9"/>
  <c r="AO141" i="9"/>
  <c r="AP141" i="9" s="1"/>
  <c r="AP144" i="9"/>
  <c r="AP140" i="9"/>
  <c r="AT140" i="9"/>
  <c r="AU140" i="9"/>
  <c r="AP148" i="9"/>
  <c r="AP142" i="9"/>
  <c r="BA142" i="9" s="1"/>
  <c r="AP147" i="9"/>
  <c r="AU148" i="9"/>
  <c r="AT148" i="9"/>
  <c r="AT147" i="9"/>
  <c r="AU147" i="9"/>
  <c r="AT144" i="9"/>
  <c r="AU144" i="9"/>
  <c r="AR143" i="9"/>
  <c r="AN143" i="9"/>
  <c r="AT143" i="9"/>
  <c r="AU143" i="9"/>
  <c r="AU145" i="9" l="1"/>
  <c r="AT145" i="9"/>
  <c r="BA148" i="9"/>
  <c r="BA140" i="9"/>
  <c r="BA144" i="9"/>
  <c r="BA147" i="9"/>
  <c r="AU141" i="9"/>
  <c r="AT141" i="9"/>
  <c r="AS143" i="9"/>
  <c r="AP143" i="9"/>
  <c r="BA145" i="9" l="1"/>
  <c r="BA141" i="9"/>
  <c r="BA143" i="9"/>
  <c r="U58" i="9" l="1"/>
  <c r="W58" i="9" s="1"/>
  <c r="U130" i="9" l="1"/>
  <c r="W130" i="9" s="1"/>
  <c r="AF130" i="9"/>
  <c r="AG130" i="9" s="1"/>
  <c r="AH130" i="9" s="1"/>
  <c r="AX130" i="9"/>
  <c r="X130" i="9" l="1"/>
  <c r="Y130" i="9" s="1"/>
  <c r="AK130" i="9"/>
  <c r="AI130" i="9"/>
  <c r="Z130" i="9" l="1"/>
  <c r="AJ130" i="9" s="1"/>
  <c r="AL130" i="9"/>
  <c r="AM130" i="9"/>
  <c r="AO130" i="9"/>
  <c r="AR130" i="9"/>
  <c r="AN130" i="9"/>
  <c r="AS130" i="9" s="1"/>
  <c r="AP130" i="9" l="1"/>
  <c r="AT130" i="9"/>
  <c r="AU130" i="9"/>
  <c r="BA130" i="9" l="1"/>
  <c r="AF133" i="9"/>
  <c r="AG133" i="9" s="1"/>
  <c r="AH133" i="9" s="1"/>
  <c r="X133" i="9"/>
  <c r="AK133" i="9" l="1"/>
  <c r="Y133" i="9"/>
  <c r="Z133" i="9" s="1"/>
  <c r="AJ133" i="9" l="1"/>
  <c r="AL133" i="9"/>
  <c r="AX139" i="9" l="1"/>
  <c r="AF139" i="9"/>
  <c r="AG139" i="9" s="1"/>
  <c r="AH139" i="9" s="1"/>
  <c r="U139" i="9"/>
  <c r="W139" i="9" s="1"/>
  <c r="X139" i="9" s="1"/>
  <c r="Y139" i="9" s="1"/>
  <c r="Z139" i="9" s="1"/>
  <c r="AF138" i="9"/>
  <c r="AG138" i="9" s="1"/>
  <c r="AH138" i="9" s="1"/>
  <c r="U138" i="9"/>
  <c r="W138" i="9" s="1"/>
  <c r="AF136" i="9"/>
  <c r="AG136" i="9" s="1"/>
  <c r="AH136" i="9" s="1"/>
  <c r="U136" i="9"/>
  <c r="W136" i="9" s="1"/>
  <c r="AF135" i="9"/>
  <c r="AG135" i="9" s="1"/>
  <c r="AH135" i="9" s="1"/>
  <c r="U135" i="9"/>
  <c r="W135" i="9" s="1"/>
  <c r="X135" i="9" s="1"/>
  <c r="AF134" i="9"/>
  <c r="AG134" i="9" s="1"/>
  <c r="AH134" i="9" s="1"/>
  <c r="X134" i="9"/>
  <c r="U134" i="9"/>
  <c r="U133" i="9"/>
  <c r="AI133" i="9" s="1"/>
  <c r="X138" i="9" l="1"/>
  <c r="Y138" i="9" s="1"/>
  <c r="X136" i="9"/>
  <c r="Y136" i="9" s="1"/>
  <c r="AK135" i="9"/>
  <c r="AI136" i="9"/>
  <c r="AK138" i="9"/>
  <c r="Y134" i="9"/>
  <c r="AM134" i="9" s="1"/>
  <c r="AM133" i="9"/>
  <c r="AI139" i="9"/>
  <c r="AL139" i="9"/>
  <c r="AK139" i="9"/>
  <c r="AI134" i="9"/>
  <c r="AK134" i="9"/>
  <c r="AL134" i="9"/>
  <c r="Y135" i="9"/>
  <c r="AL135" i="9"/>
  <c r="AJ139" i="9"/>
  <c r="AM139" i="9"/>
  <c r="AI138" i="9" l="1"/>
  <c r="AM135" i="9"/>
  <c r="AI135" i="9"/>
  <c r="AM138" i="9"/>
  <c r="AL138" i="9"/>
  <c r="AO138" i="9"/>
  <c r="AT138" i="9" s="1"/>
  <c r="AO135" i="9"/>
  <c r="AU135" i="9" s="1"/>
  <c r="AK136" i="9"/>
  <c r="AL136" i="9"/>
  <c r="AM136" i="9"/>
  <c r="Z134" i="9"/>
  <c r="AJ134" i="9" s="1"/>
  <c r="Z136" i="9"/>
  <c r="AJ136" i="9" s="1"/>
  <c r="AN136" i="9" s="1"/>
  <c r="Z135" i="9"/>
  <c r="AJ135" i="9" s="1"/>
  <c r="AR135" i="9" s="1"/>
  <c r="AR133" i="9"/>
  <c r="AN133" i="9"/>
  <c r="AS133" i="9" s="1"/>
  <c r="AO133" i="9"/>
  <c r="AN139" i="9"/>
  <c r="AS139" i="9" s="1"/>
  <c r="AR139" i="9"/>
  <c r="Z138" i="9"/>
  <c r="AJ138" i="9" s="1"/>
  <c r="AO134" i="9"/>
  <c r="AO139" i="9"/>
  <c r="AT135" i="9" l="1"/>
  <c r="AU138" i="9"/>
  <c r="AO136" i="9"/>
  <c r="AP136" i="9" s="1"/>
  <c r="AN135" i="9"/>
  <c r="AS135" i="9" s="1"/>
  <c r="AR134" i="9"/>
  <c r="AN134" i="9"/>
  <c r="AR136" i="9"/>
  <c r="AT139" i="9"/>
  <c r="AU139" i="9"/>
  <c r="AP133" i="9"/>
  <c r="AU134" i="9"/>
  <c r="AT134" i="9"/>
  <c r="AT133" i="9"/>
  <c r="AU133" i="9"/>
  <c r="AP139" i="9"/>
  <c r="AS136" i="9"/>
  <c r="AN138" i="9"/>
  <c r="AR138" i="9"/>
  <c r="BA133" i="9" l="1"/>
  <c r="BA139" i="9"/>
  <c r="AT136" i="9"/>
  <c r="AU136" i="9"/>
  <c r="AP135" i="9"/>
  <c r="BA135" i="9" s="1"/>
  <c r="AS134" i="9"/>
  <c r="AP134" i="9"/>
  <c r="AS138" i="9"/>
  <c r="AP138" i="9"/>
  <c r="BA138" i="9" l="1"/>
  <c r="BA134" i="9"/>
  <c r="BA136" i="9"/>
  <c r="X82" i="9" l="1"/>
  <c r="X81" i="9"/>
  <c r="U132" i="9" l="1"/>
  <c r="U131" i="9"/>
  <c r="U129" i="9"/>
  <c r="AF132" i="9"/>
  <c r="AG132" i="9" s="1"/>
  <c r="AH132" i="9" s="1"/>
  <c r="AX131" i="9"/>
  <c r="AF131" i="9"/>
  <c r="AG131" i="9" s="1"/>
  <c r="AH131" i="9" s="1"/>
  <c r="AX129" i="9"/>
  <c r="AF129" i="9"/>
  <c r="AG129" i="9" s="1"/>
  <c r="AH129" i="9" s="1"/>
  <c r="AX128" i="9"/>
  <c r="AF128" i="9"/>
  <c r="AG128" i="9" s="1"/>
  <c r="AH128" i="9" s="1"/>
  <c r="X132" i="9"/>
  <c r="X131" i="9"/>
  <c r="Y131" i="9" s="1"/>
  <c r="Z131" i="9" s="1"/>
  <c r="X129" i="9"/>
  <c r="Y129" i="9" s="1"/>
  <c r="X128" i="9"/>
  <c r="Y128" i="9" s="1"/>
  <c r="Z128" i="9" s="1"/>
  <c r="U128" i="9"/>
  <c r="AK132" i="9" l="1"/>
  <c r="Y132" i="9"/>
  <c r="Z132" i="9" s="1"/>
  <c r="Z129" i="9"/>
  <c r="AJ129" i="9" s="1"/>
  <c r="AM129" i="9"/>
  <c r="AK129" i="9"/>
  <c r="AI129" i="9"/>
  <c r="AL129" i="9"/>
  <c r="AM128" i="9"/>
  <c r="AL128" i="9"/>
  <c r="AI128" i="9"/>
  <c r="AJ128" i="9"/>
  <c r="AK128" i="9"/>
  <c r="AL131" i="9"/>
  <c r="AI131" i="9"/>
  <c r="AK131" i="9"/>
  <c r="AJ131" i="9"/>
  <c r="AM131" i="9"/>
  <c r="AI132" i="9" l="1"/>
  <c r="AL132" i="9"/>
  <c r="AO132" i="9"/>
  <c r="AT132" i="9" s="1"/>
  <c r="AJ132" i="9"/>
  <c r="AN132" i="9" s="1"/>
  <c r="AS132" i="9" s="1"/>
  <c r="AM132" i="9"/>
  <c r="AR131" i="9"/>
  <c r="AN131" i="9"/>
  <c r="AS131" i="9" s="1"/>
  <c r="AO128" i="9"/>
  <c r="AO131" i="9"/>
  <c r="AN128" i="9"/>
  <c r="AS128" i="9" s="1"/>
  <c r="AR128" i="9"/>
  <c r="AO129" i="9"/>
  <c r="AN129" i="9"/>
  <c r="AS129" i="9" s="1"/>
  <c r="AR129" i="9"/>
  <c r="AU132" i="9" l="1"/>
  <c r="AR132" i="9"/>
  <c r="AP131" i="9"/>
  <c r="AP132" i="9"/>
  <c r="AT128" i="9"/>
  <c r="AU128" i="9"/>
  <c r="AU131" i="9"/>
  <c r="AT131" i="9"/>
  <c r="AP128" i="9"/>
  <c r="AP129" i="9"/>
  <c r="AU129" i="9"/>
  <c r="AT129" i="9"/>
  <c r="BA132" i="9" l="1"/>
  <c r="BA129" i="9"/>
  <c r="BA128" i="9"/>
  <c r="BA131" i="9"/>
  <c r="U79" i="9" l="1"/>
  <c r="U124" i="9" l="1"/>
  <c r="W124" i="9" s="1"/>
  <c r="X124" i="9" s="1"/>
  <c r="Y124" i="9" s="1"/>
  <c r="Z124" i="9" s="1"/>
  <c r="AF124" i="9"/>
  <c r="AG124" i="9" s="1"/>
  <c r="AH124" i="9" s="1"/>
  <c r="AK124" i="9" l="1"/>
  <c r="AL124" i="9"/>
  <c r="AJ124" i="9"/>
  <c r="AM124" i="9"/>
  <c r="AI124" i="9"/>
  <c r="AR124" i="9" l="1"/>
  <c r="AN124" i="9"/>
  <c r="AS124" i="9" s="1"/>
  <c r="AO124" i="9"/>
  <c r="AU124" i="9" l="1"/>
  <c r="AT124" i="9"/>
  <c r="AP124" i="9"/>
  <c r="BA124" i="9" l="1"/>
  <c r="A4" i="9"/>
  <c r="A5" i="9" s="1"/>
  <c r="A6" i="9" s="1"/>
  <c r="A7" i="9" s="1"/>
  <c r="R56" i="2" l="1"/>
  <c r="AX127" i="9" l="1"/>
  <c r="AF127" i="9"/>
  <c r="AG127" i="9" s="1"/>
  <c r="AH127" i="9" s="1"/>
  <c r="U127" i="9"/>
  <c r="Y127" i="9" l="1"/>
  <c r="Z127" i="9" s="1"/>
  <c r="AJ127" i="9" s="1"/>
  <c r="AI127" i="9"/>
  <c r="AL127" i="9"/>
  <c r="AK127" i="9"/>
  <c r="AM127" i="9" l="1"/>
  <c r="AO127" i="9"/>
  <c r="AR127" i="9"/>
  <c r="AN127" i="9"/>
  <c r="AS127" i="9" s="1"/>
  <c r="AU127" i="9" l="1"/>
  <c r="AT127" i="9"/>
  <c r="AP127" i="9"/>
  <c r="BA127" i="9" l="1"/>
  <c r="AX126" i="9" l="1"/>
  <c r="U24" i="9" l="1"/>
  <c r="W24" i="9" s="1"/>
  <c r="X24" i="9" l="1"/>
  <c r="Y24" i="9" s="1"/>
  <c r="Z24" i="9" l="1"/>
  <c r="U102" i="9" l="1"/>
  <c r="W102" i="9" s="1"/>
  <c r="X102" i="9" l="1"/>
  <c r="Y102" i="9" s="1"/>
  <c r="Z102" i="9" s="1"/>
  <c r="U123" i="9"/>
  <c r="W123" i="9" s="1"/>
  <c r="X123" i="9" s="1"/>
  <c r="Y123" i="9" s="1"/>
  <c r="AF123" i="9"/>
  <c r="AG123" i="9" s="1"/>
  <c r="AH123" i="9" s="1"/>
  <c r="AK123" i="9" l="1"/>
  <c r="Z123" i="9"/>
  <c r="AI123" i="9" l="1"/>
  <c r="AO123" i="9"/>
  <c r="AM123" i="9"/>
  <c r="AL123" i="9"/>
  <c r="AJ123" i="9"/>
  <c r="AN123" i="9" s="1"/>
  <c r="AS123" i="9" s="1"/>
  <c r="AF122" i="9"/>
  <c r="U122" i="9"/>
  <c r="W122" i="9" s="1"/>
  <c r="X122" i="9" s="1"/>
  <c r="Y122" i="9" s="1"/>
  <c r="AF125" i="9"/>
  <c r="AG125" i="9" s="1"/>
  <c r="AH125" i="9" s="1"/>
  <c r="X125" i="9"/>
  <c r="U125" i="9"/>
  <c r="AF120" i="9"/>
  <c r="AG120" i="9" s="1"/>
  <c r="AH120" i="9" s="1"/>
  <c r="AF126" i="9"/>
  <c r="AG126" i="9" s="1"/>
  <c r="AH126" i="9" s="1"/>
  <c r="X126" i="9"/>
  <c r="U126" i="9"/>
  <c r="AX121" i="9"/>
  <c r="AF121" i="9"/>
  <c r="AG121" i="9" s="1"/>
  <c r="AH121" i="9" s="1"/>
  <c r="U121" i="9"/>
  <c r="W121" i="9" s="1"/>
  <c r="X121" i="9" s="1"/>
  <c r="U120" i="9"/>
  <c r="W120" i="9" s="1"/>
  <c r="X120" i="9" s="1"/>
  <c r="Y120" i="9" s="1"/>
  <c r="AU123" i="9" l="1"/>
  <c r="AT123" i="9"/>
  <c r="AR123" i="9"/>
  <c r="AP123" i="9"/>
  <c r="AG122" i="9"/>
  <c r="AH122" i="9" s="1"/>
  <c r="AL120" i="9"/>
  <c r="AL121" i="9"/>
  <c r="AM120" i="9"/>
  <c r="Z122" i="9"/>
  <c r="AI125" i="9"/>
  <c r="AK125" i="9"/>
  <c r="AL125" i="9"/>
  <c r="Y125" i="9"/>
  <c r="AM125" i="9" s="1"/>
  <c r="AK120" i="9"/>
  <c r="Z120" i="9"/>
  <c r="AJ120" i="9" s="1"/>
  <c r="AI120" i="9"/>
  <c r="AK121" i="9"/>
  <c r="AL126" i="9"/>
  <c r="AI126" i="9"/>
  <c r="AK126" i="9"/>
  <c r="Y126" i="9"/>
  <c r="AM126" i="9" s="1"/>
  <c r="AI121" i="9"/>
  <c r="Y121" i="9"/>
  <c r="AM121" i="9" s="1"/>
  <c r="BA123" i="9" l="1"/>
  <c r="AM122" i="9"/>
  <c r="AL122" i="9"/>
  <c r="AK122" i="9"/>
  <c r="AI122" i="9"/>
  <c r="AJ122" i="9"/>
  <c r="AN122" i="9" s="1"/>
  <c r="AS122" i="9" s="1"/>
  <c r="Z125" i="9"/>
  <c r="AJ125" i="9" s="1"/>
  <c r="AO125" i="9"/>
  <c r="AO120" i="9"/>
  <c r="AN120" i="9"/>
  <c r="AS120" i="9" s="1"/>
  <c r="AR120" i="9"/>
  <c r="Z121" i="9"/>
  <c r="AJ121" i="9" s="1"/>
  <c r="AN121" i="9" s="1"/>
  <c r="AS121" i="9" s="1"/>
  <c r="Z126" i="9"/>
  <c r="AJ126" i="9" s="1"/>
  <c r="AN126" i="9"/>
  <c r="AS126" i="9" s="1"/>
  <c r="AR126" i="9"/>
  <c r="AO126" i="9"/>
  <c r="AO121" i="9"/>
  <c r="AP126" i="9" l="1"/>
  <c r="AR121" i="9"/>
  <c r="AR122" i="9"/>
  <c r="AO122" i="9"/>
  <c r="AU122" i="9" s="1"/>
  <c r="AP120" i="9"/>
  <c r="AR125" i="9"/>
  <c r="AN125" i="9"/>
  <c r="AT125" i="9"/>
  <c r="AU125" i="9"/>
  <c r="AU120" i="9"/>
  <c r="AT120" i="9"/>
  <c r="AT126" i="9"/>
  <c r="AU126" i="9"/>
  <c r="AU121" i="9"/>
  <c r="AT121" i="9"/>
  <c r="AP121" i="9"/>
  <c r="D8" i="7"/>
  <c r="D9" i="7" s="1"/>
  <c r="BA120" i="9" l="1"/>
  <c r="BA126" i="9"/>
  <c r="BA121" i="9"/>
  <c r="Y56" i="2"/>
  <c r="AI229" i="9" s="1"/>
  <c r="D12" i="7"/>
  <c r="AP122" i="9"/>
  <c r="AT122" i="9"/>
  <c r="AS125" i="9"/>
  <c r="AP125" i="9"/>
  <c r="AN14" i="9"/>
  <c r="D19" i="7" l="1"/>
  <c r="D14" i="7"/>
  <c r="BA125" i="9"/>
  <c r="BA122" i="9"/>
  <c r="AF117" i="9" l="1"/>
  <c r="AF118" i="9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9" i="9"/>
  <c r="AF30" i="9"/>
  <c r="AF31" i="9"/>
  <c r="AF32" i="9"/>
  <c r="AF33" i="9"/>
  <c r="AF34" i="9"/>
  <c r="AF35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8" i="9"/>
  <c r="AF99" i="9"/>
  <c r="AF100" i="9"/>
  <c r="AF101" i="9"/>
  <c r="AF102" i="9"/>
  <c r="AF103" i="9"/>
  <c r="AF104" i="9"/>
  <c r="AF105" i="9"/>
  <c r="AF106" i="9"/>
  <c r="AF107" i="9"/>
  <c r="AF108" i="9"/>
  <c r="AF109" i="9"/>
  <c r="AF110" i="9"/>
  <c r="AF111" i="9"/>
  <c r="AF112" i="9"/>
  <c r="AF113" i="9"/>
  <c r="AF114" i="9"/>
  <c r="AF115" i="9"/>
  <c r="AF116" i="9"/>
  <c r="AF119" i="9"/>
  <c r="AG119" i="9" l="1"/>
  <c r="AH119" i="9" s="1"/>
  <c r="U119" i="9"/>
  <c r="X119" i="9" l="1"/>
  <c r="AL119" i="9" s="1"/>
  <c r="AK119" i="9"/>
  <c r="AI119" i="9"/>
  <c r="AX115" i="9"/>
  <c r="AG115" i="9"/>
  <c r="AH115" i="9" s="1"/>
  <c r="U115" i="9"/>
  <c r="W115" i="9" s="1"/>
  <c r="X115" i="9" s="1"/>
  <c r="Y115" i="9" s="1"/>
  <c r="Z115" i="9" s="1"/>
  <c r="AX114" i="9"/>
  <c r="AG114" i="9"/>
  <c r="AH114" i="9" s="1"/>
  <c r="U114" i="9"/>
  <c r="W114" i="9" s="1"/>
  <c r="X114" i="9" s="1"/>
  <c r="AX113" i="9"/>
  <c r="AR113" i="9"/>
  <c r="AN113" i="9"/>
  <c r="AS113" i="9" s="1"/>
  <c r="AG113" i="9"/>
  <c r="AH113" i="9" s="1"/>
  <c r="U113" i="9"/>
  <c r="W113" i="9" s="1"/>
  <c r="X113" i="9" s="1"/>
  <c r="AG118" i="9"/>
  <c r="AH118" i="9" s="1"/>
  <c r="Y118" i="9"/>
  <c r="U118" i="9"/>
  <c r="AG117" i="9"/>
  <c r="AH117" i="9" s="1"/>
  <c r="Y117" i="9"/>
  <c r="U117" i="9"/>
  <c r="AG116" i="9"/>
  <c r="AH116" i="9" s="1"/>
  <c r="Y116" i="9"/>
  <c r="Z116" i="9" s="1"/>
  <c r="U116" i="9"/>
  <c r="AG112" i="9"/>
  <c r="AH112" i="9" s="1"/>
  <c r="U112" i="9"/>
  <c r="W112" i="9" s="1"/>
  <c r="AX111" i="9"/>
  <c r="AG111" i="9"/>
  <c r="AH111" i="9" s="1"/>
  <c r="U111" i="9"/>
  <c r="W111" i="9" s="1"/>
  <c r="X111" i="9" s="1"/>
  <c r="AR110" i="9"/>
  <c r="AN110" i="9"/>
  <c r="AS110" i="9" s="1"/>
  <c r="AG110" i="9"/>
  <c r="AH110" i="9" s="1"/>
  <c r="U110" i="9"/>
  <c r="W110" i="9" s="1"/>
  <c r="AG109" i="9"/>
  <c r="AH109" i="9" s="1"/>
  <c r="U109" i="9"/>
  <c r="W109" i="9" s="1"/>
  <c r="X109" i="9" s="1"/>
  <c r="Y109" i="9" s="1"/>
  <c r="AG108" i="9"/>
  <c r="AH108" i="9" s="1"/>
  <c r="Y108" i="9"/>
  <c r="Z108" i="9" s="1"/>
  <c r="U108" i="9"/>
  <c r="AG107" i="9"/>
  <c r="AH107" i="9" s="1"/>
  <c r="U107" i="9"/>
  <c r="W107" i="9" s="1"/>
  <c r="AG106" i="9"/>
  <c r="AH106" i="9" s="1"/>
  <c r="U106" i="9"/>
  <c r="W106" i="9" s="1"/>
  <c r="X106" i="9" s="1"/>
  <c r="AG105" i="9"/>
  <c r="AH105" i="9" s="1"/>
  <c r="Y105" i="9"/>
  <c r="Z105" i="9" s="1"/>
  <c r="U105" i="9"/>
  <c r="AX104" i="9"/>
  <c r="AG104" i="9"/>
  <c r="AH104" i="9" s="1"/>
  <c r="Y104" i="9"/>
  <c r="Z104" i="9" s="1"/>
  <c r="U104" i="9"/>
  <c r="AG103" i="9"/>
  <c r="AH103" i="9" s="1"/>
  <c r="U103" i="9"/>
  <c r="W103" i="9" s="1"/>
  <c r="X103" i="9" s="1"/>
  <c r="Y103" i="9" s="1"/>
  <c r="AG102" i="9"/>
  <c r="AH102" i="9" s="1"/>
  <c r="AG101" i="9"/>
  <c r="AH101" i="9" s="1"/>
  <c r="AG100" i="9"/>
  <c r="AH100" i="9" s="1"/>
  <c r="U100" i="9"/>
  <c r="W100" i="9" s="1"/>
  <c r="X100" i="9" s="1"/>
  <c r="AX99" i="9"/>
  <c r="AG99" i="9"/>
  <c r="AH99" i="9" s="1"/>
  <c r="U99" i="9"/>
  <c r="W99" i="9" s="1"/>
  <c r="X99" i="9" s="1"/>
  <c r="Y99" i="9" s="1"/>
  <c r="AR98" i="9"/>
  <c r="AN98" i="9"/>
  <c r="AS98" i="9" s="1"/>
  <c r="AG98" i="9"/>
  <c r="AH98" i="9" s="1"/>
  <c r="AG96" i="9"/>
  <c r="AH96" i="9" s="1"/>
  <c r="U96" i="9"/>
  <c r="W96" i="9" s="1"/>
  <c r="AX95" i="9"/>
  <c r="AG95" i="9"/>
  <c r="AH95" i="9" s="1"/>
  <c r="U95" i="9"/>
  <c r="AG94" i="9"/>
  <c r="AH94" i="9" s="1"/>
  <c r="U94" i="9"/>
  <c r="W94" i="9" s="1"/>
  <c r="X94" i="9" s="1"/>
  <c r="Y94" i="9" s="1"/>
  <c r="AG93" i="9"/>
  <c r="AH93" i="9" s="1"/>
  <c r="U93" i="9"/>
  <c r="W93" i="9" s="1"/>
  <c r="X93" i="9" s="1"/>
  <c r="Y93" i="9" s="1"/>
  <c r="AX92" i="9"/>
  <c r="AG92" i="9"/>
  <c r="AH92" i="9" s="1"/>
  <c r="U92" i="9"/>
  <c r="W92" i="9" s="1"/>
  <c r="X92" i="9" s="1"/>
  <c r="Y92" i="9" s="1"/>
  <c r="Z92" i="9" s="1"/>
  <c r="AG91" i="9"/>
  <c r="AH91" i="9" s="1"/>
  <c r="U91" i="9"/>
  <c r="AR90" i="9"/>
  <c r="AN90" i="9"/>
  <c r="AS90" i="9" s="1"/>
  <c r="AG90" i="9"/>
  <c r="AH90" i="9" s="1"/>
  <c r="U90" i="9"/>
  <c r="W90" i="9" s="1"/>
  <c r="AG89" i="9"/>
  <c r="AH89" i="9" s="1"/>
  <c r="U89" i="9"/>
  <c r="W89" i="9" s="1"/>
  <c r="AG88" i="9"/>
  <c r="AH88" i="9" s="1"/>
  <c r="U88" i="9"/>
  <c r="W88" i="9" s="1"/>
  <c r="X88" i="9" s="1"/>
  <c r="Y88" i="9" s="1"/>
  <c r="AG87" i="9"/>
  <c r="AH87" i="9" s="1"/>
  <c r="Z87" i="9"/>
  <c r="U87" i="9"/>
  <c r="AX86" i="9"/>
  <c r="AG86" i="9"/>
  <c r="AH86" i="9" s="1"/>
  <c r="U86" i="9"/>
  <c r="W86" i="9" s="1"/>
  <c r="Y86" i="9" s="1"/>
  <c r="Z86" i="9" s="1"/>
  <c r="AX85" i="9"/>
  <c r="AG85" i="9"/>
  <c r="AH85" i="9" s="1"/>
  <c r="U85" i="9"/>
  <c r="W85" i="9" s="1"/>
  <c r="X85" i="9" s="1"/>
  <c r="Y85" i="9" s="1"/>
  <c r="AG84" i="9"/>
  <c r="AH84" i="9" s="1"/>
  <c r="U84" i="9"/>
  <c r="W84" i="9" s="1"/>
  <c r="X84" i="9" s="1"/>
  <c r="AG83" i="9"/>
  <c r="AH83" i="9" s="1"/>
  <c r="U83" i="9"/>
  <c r="W83" i="9" s="1"/>
  <c r="X83" i="9" s="1"/>
  <c r="AG82" i="9"/>
  <c r="AH82" i="9" s="1"/>
  <c r="Y82" i="9"/>
  <c r="Z82" i="9" s="1"/>
  <c r="U82" i="9"/>
  <c r="AX81" i="9"/>
  <c r="AG81" i="9"/>
  <c r="AH81" i="9" s="1"/>
  <c r="Y81" i="9"/>
  <c r="U81" i="9"/>
  <c r="AG80" i="9"/>
  <c r="AH80" i="9" s="1"/>
  <c r="U80" i="9"/>
  <c r="AR79" i="9"/>
  <c r="AN79" i="9"/>
  <c r="AS79" i="9" s="1"/>
  <c r="AG79" i="9"/>
  <c r="AH79" i="9" s="1"/>
  <c r="AX78" i="9"/>
  <c r="AR78" i="9"/>
  <c r="AN78" i="9"/>
  <c r="AS78" i="9" s="1"/>
  <c r="AG78" i="9"/>
  <c r="AH78" i="9" s="1"/>
  <c r="U78" i="9"/>
  <c r="W78" i="9" s="1"/>
  <c r="X78" i="9" s="1"/>
  <c r="Y78" i="9" s="1"/>
  <c r="Z78" i="9" s="1"/>
  <c r="AG77" i="9"/>
  <c r="AH77" i="9" s="1"/>
  <c r="U77" i="9"/>
  <c r="W77" i="9" s="1"/>
  <c r="AG76" i="9"/>
  <c r="AH76" i="9" s="1"/>
  <c r="U76" i="9"/>
  <c r="W76" i="9" s="1"/>
  <c r="X76" i="9" s="1"/>
  <c r="Y76" i="9" s="1"/>
  <c r="AG75" i="9"/>
  <c r="AH75" i="9" s="1"/>
  <c r="U75" i="9"/>
  <c r="W75" i="9" s="1"/>
  <c r="X75" i="9" s="1"/>
  <c r="Y75" i="9" s="1"/>
  <c r="AG74" i="9"/>
  <c r="AH74" i="9" s="1"/>
  <c r="U74" i="9"/>
  <c r="W74" i="9" s="1"/>
  <c r="AX73" i="9"/>
  <c r="AG73" i="9"/>
  <c r="AH73" i="9" s="1"/>
  <c r="U73" i="9"/>
  <c r="W73" i="9" s="1"/>
  <c r="AG72" i="9"/>
  <c r="AH72" i="9" s="1"/>
  <c r="U72" i="9"/>
  <c r="W72" i="9" s="1"/>
  <c r="AG71" i="9"/>
  <c r="AH71" i="9" s="1"/>
  <c r="Y71" i="9"/>
  <c r="Z71" i="9" s="1"/>
  <c r="U71" i="9"/>
  <c r="AG70" i="9"/>
  <c r="AH70" i="9" s="1"/>
  <c r="AX69" i="9"/>
  <c r="AG69" i="9"/>
  <c r="AH69" i="9" s="1"/>
  <c r="U69" i="9"/>
  <c r="AX68" i="9"/>
  <c r="AG68" i="9"/>
  <c r="AH68" i="9" s="1"/>
  <c r="U68" i="9"/>
  <c r="W68" i="9" s="1"/>
  <c r="X68" i="9" s="1"/>
  <c r="AX67" i="9"/>
  <c r="AG67" i="9"/>
  <c r="AH67" i="9" s="1"/>
  <c r="U67" i="9"/>
  <c r="W67" i="9" s="1"/>
  <c r="AX66" i="9"/>
  <c r="AG66" i="9"/>
  <c r="AH66" i="9" s="1"/>
  <c r="U66" i="9"/>
  <c r="W66" i="9" s="1"/>
  <c r="AR65" i="9"/>
  <c r="AN65" i="9"/>
  <c r="AS65" i="9" s="1"/>
  <c r="AG65" i="9"/>
  <c r="AH65" i="9" s="1"/>
  <c r="U65" i="9"/>
  <c r="AX64" i="9"/>
  <c r="AG64" i="9"/>
  <c r="AH64" i="9" s="1"/>
  <c r="U64" i="9"/>
  <c r="W64" i="9" s="1"/>
  <c r="AG63" i="9"/>
  <c r="AH63" i="9" s="1"/>
  <c r="U63" i="9"/>
  <c r="W63" i="9" s="1"/>
  <c r="AG62" i="9"/>
  <c r="AH62" i="9" s="1"/>
  <c r="U62" i="9"/>
  <c r="W62" i="9" s="1"/>
  <c r="AG61" i="9"/>
  <c r="AH61" i="9" s="1"/>
  <c r="U61" i="9"/>
  <c r="W61" i="9" s="1"/>
  <c r="AR60" i="9"/>
  <c r="AN60" i="9"/>
  <c r="AS60" i="9" s="1"/>
  <c r="AG60" i="9"/>
  <c r="AH60" i="9" s="1"/>
  <c r="U60" i="9"/>
  <c r="W60" i="9" s="1"/>
  <c r="AG59" i="9"/>
  <c r="AH59" i="9" s="1"/>
  <c r="U59" i="9"/>
  <c r="W59" i="9" s="1"/>
  <c r="AG58" i="9"/>
  <c r="AH58" i="9" s="1"/>
  <c r="AG57" i="9"/>
  <c r="AH57" i="9" s="1"/>
  <c r="U57" i="9"/>
  <c r="W57" i="9" s="1"/>
  <c r="AG56" i="9"/>
  <c r="AH56" i="9" s="1"/>
  <c r="U56" i="9"/>
  <c r="AG55" i="9"/>
  <c r="AH55" i="9" s="1"/>
  <c r="U55" i="9"/>
  <c r="AR54" i="9"/>
  <c r="AN54" i="9"/>
  <c r="AS54" i="9" s="1"/>
  <c r="AG54" i="9"/>
  <c r="AH54" i="9" s="1"/>
  <c r="U54" i="9"/>
  <c r="W54" i="9" s="1"/>
  <c r="AG53" i="9"/>
  <c r="AH53" i="9" s="1"/>
  <c r="U53" i="9"/>
  <c r="W53" i="9" s="1"/>
  <c r="AG52" i="9"/>
  <c r="AH52" i="9" s="1"/>
  <c r="U52" i="9"/>
  <c r="W52" i="9" s="1"/>
  <c r="AG51" i="9"/>
  <c r="AH51" i="9" s="1"/>
  <c r="U51" i="9"/>
  <c r="AR50" i="9"/>
  <c r="AN50" i="9"/>
  <c r="AS50" i="9" s="1"/>
  <c r="AG50" i="9"/>
  <c r="AH50" i="9" s="1"/>
  <c r="U50" i="9"/>
  <c r="AG49" i="9"/>
  <c r="AH49" i="9" s="1"/>
  <c r="U49" i="9"/>
  <c r="W49" i="9" s="1"/>
  <c r="AG48" i="9"/>
  <c r="AH48" i="9" s="1"/>
  <c r="U48" i="9"/>
  <c r="W48" i="9" s="1"/>
  <c r="X48" i="9" s="1"/>
  <c r="Y48" i="9" s="1"/>
  <c r="AX47" i="9"/>
  <c r="AR47" i="9"/>
  <c r="AN47" i="9"/>
  <c r="AS47" i="9" s="1"/>
  <c r="AG47" i="9"/>
  <c r="AH47" i="9" s="1"/>
  <c r="U47" i="9"/>
  <c r="AR46" i="9"/>
  <c r="AN46" i="9"/>
  <c r="AS46" i="9" s="1"/>
  <c r="AG46" i="9"/>
  <c r="AH46" i="9" s="1"/>
  <c r="U46" i="9"/>
  <c r="W46" i="9" s="1"/>
  <c r="AX45" i="9"/>
  <c r="AG45" i="9"/>
  <c r="AH45" i="9" s="1"/>
  <c r="U45" i="9"/>
  <c r="AG44" i="9"/>
  <c r="AH44" i="9" s="1"/>
  <c r="U44" i="9"/>
  <c r="W44" i="9" s="1"/>
  <c r="AG43" i="9"/>
  <c r="AH43" i="9" s="1"/>
  <c r="U43" i="9"/>
  <c r="W43" i="9" s="1"/>
  <c r="AR42" i="9"/>
  <c r="AN42" i="9"/>
  <c r="AS42" i="9" s="1"/>
  <c r="AG42" i="9"/>
  <c r="AH42" i="9" s="1"/>
  <c r="U42" i="9"/>
  <c r="W42" i="9" s="1"/>
  <c r="AX41" i="9"/>
  <c r="AG41" i="9"/>
  <c r="AH41" i="9" s="1"/>
  <c r="U41" i="9"/>
  <c r="W41" i="9" s="1"/>
  <c r="AX40" i="9"/>
  <c r="AR40" i="9"/>
  <c r="AN40" i="9"/>
  <c r="AS40" i="9" s="1"/>
  <c r="AG40" i="9"/>
  <c r="AH40" i="9" s="1"/>
  <c r="U40" i="9"/>
  <c r="W40" i="9" s="1"/>
  <c r="AR39" i="9"/>
  <c r="AN39" i="9"/>
  <c r="AS39" i="9" s="1"/>
  <c r="AG39" i="9"/>
  <c r="AH39" i="9" s="1"/>
  <c r="U39" i="9"/>
  <c r="AR38" i="9"/>
  <c r="AN38" i="9"/>
  <c r="AS38" i="9" s="1"/>
  <c r="AG38" i="9"/>
  <c r="AH38" i="9" s="1"/>
  <c r="U38" i="9"/>
  <c r="W38" i="9" s="1"/>
  <c r="AR37" i="9"/>
  <c r="AN37" i="9"/>
  <c r="AS37" i="9" s="1"/>
  <c r="AG37" i="9"/>
  <c r="AH37" i="9" s="1"/>
  <c r="U37" i="9"/>
  <c r="AR35" i="9"/>
  <c r="AN35" i="9"/>
  <c r="AS35" i="9" s="1"/>
  <c r="AG35" i="9"/>
  <c r="AH35" i="9" s="1"/>
  <c r="U35" i="9"/>
  <c r="AG34" i="9"/>
  <c r="AH34" i="9" s="1"/>
  <c r="U34" i="9"/>
  <c r="W34" i="9" s="1"/>
  <c r="AG33" i="9"/>
  <c r="AH33" i="9" s="1"/>
  <c r="U33" i="9"/>
  <c r="W33" i="9" s="1"/>
  <c r="AR32" i="9"/>
  <c r="AN32" i="9"/>
  <c r="AS32" i="9" s="1"/>
  <c r="AG32" i="9"/>
  <c r="AH32" i="9" s="1"/>
  <c r="U32" i="9"/>
  <c r="W32" i="9" s="1"/>
  <c r="AR31" i="9"/>
  <c r="AN31" i="9"/>
  <c r="AS31" i="9" s="1"/>
  <c r="AG31" i="9"/>
  <c r="AH31" i="9" s="1"/>
  <c r="U31" i="9"/>
  <c r="W31" i="9" s="1"/>
  <c r="X31" i="9" s="1"/>
  <c r="AG30" i="9"/>
  <c r="AH30" i="9" s="1"/>
  <c r="U30" i="9"/>
  <c r="W30" i="9" s="1"/>
  <c r="AR29" i="9"/>
  <c r="AN29" i="9"/>
  <c r="AS29" i="9" s="1"/>
  <c r="AG29" i="9"/>
  <c r="AH29" i="9" s="1"/>
  <c r="U29" i="9"/>
  <c r="AR27" i="9"/>
  <c r="AN27" i="9"/>
  <c r="AS27" i="9" s="1"/>
  <c r="AG27" i="9"/>
  <c r="AH27" i="9" s="1"/>
  <c r="U27" i="9"/>
  <c r="W27" i="9" s="1"/>
  <c r="AG26" i="9"/>
  <c r="AH26" i="9" s="1"/>
  <c r="U26" i="9"/>
  <c r="AX25" i="9"/>
  <c r="AG25" i="9"/>
  <c r="AH25" i="9" s="1"/>
  <c r="U25" i="9"/>
  <c r="W25" i="9" s="1"/>
  <c r="AX24" i="9"/>
  <c r="AR24" i="9"/>
  <c r="AN24" i="9"/>
  <c r="AS24" i="9" s="1"/>
  <c r="AG24" i="9"/>
  <c r="AH24" i="9" s="1"/>
  <c r="AR23" i="9"/>
  <c r="AN23" i="9"/>
  <c r="AS23" i="9" s="1"/>
  <c r="AG23" i="9"/>
  <c r="AH23" i="9" s="1"/>
  <c r="U23" i="9"/>
  <c r="W23" i="9" s="1"/>
  <c r="AX22" i="9"/>
  <c r="AR22" i="9"/>
  <c r="AN22" i="9"/>
  <c r="AS22" i="9" s="1"/>
  <c r="AG22" i="9"/>
  <c r="AH22" i="9" s="1"/>
  <c r="U22" i="9"/>
  <c r="AR21" i="9"/>
  <c r="AN21" i="9"/>
  <c r="AS21" i="9" s="1"/>
  <c r="AG21" i="9"/>
  <c r="AH21" i="9" s="1"/>
  <c r="U21" i="9"/>
  <c r="AR20" i="9"/>
  <c r="AN20" i="9"/>
  <c r="AS20" i="9" s="1"/>
  <c r="AG20" i="9"/>
  <c r="AH20" i="9" s="1"/>
  <c r="U20" i="9"/>
  <c r="W20" i="9" s="1"/>
  <c r="AX19" i="9"/>
  <c r="AR19" i="9"/>
  <c r="AN19" i="9"/>
  <c r="AS19" i="9" s="1"/>
  <c r="AG19" i="9"/>
  <c r="AH19" i="9" s="1"/>
  <c r="U19" i="9"/>
  <c r="W19" i="9" s="1"/>
  <c r="AX18" i="9"/>
  <c r="AR18" i="9"/>
  <c r="AN18" i="9"/>
  <c r="AS18" i="9" s="1"/>
  <c r="AG18" i="9"/>
  <c r="AH18" i="9" s="1"/>
  <c r="U18" i="9"/>
  <c r="W18" i="9" s="1"/>
  <c r="AR17" i="9"/>
  <c r="AN17" i="9"/>
  <c r="AS17" i="9" s="1"/>
  <c r="AG17" i="9"/>
  <c r="AH17" i="9" s="1"/>
  <c r="U17" i="9"/>
  <c r="W17" i="9" s="1"/>
  <c r="AG16" i="9"/>
  <c r="AH16" i="9" s="1"/>
  <c r="U16" i="9"/>
  <c r="W16" i="9" s="1"/>
  <c r="AX15" i="9"/>
  <c r="AR15" i="9"/>
  <c r="AN15" i="9"/>
  <c r="AS15" i="9" s="1"/>
  <c r="AG15" i="9"/>
  <c r="AH15" i="9" s="1"/>
  <c r="U15" i="9"/>
  <c r="W15" i="9" s="1"/>
  <c r="X15" i="9" s="1"/>
  <c r="AX14" i="9"/>
  <c r="AG14" i="9"/>
  <c r="AH14" i="9" s="1"/>
  <c r="U14" i="9"/>
  <c r="W14" i="9" s="1"/>
  <c r="AR13" i="9"/>
  <c r="AN13" i="9"/>
  <c r="AS13" i="9" s="1"/>
  <c r="AG13" i="9"/>
  <c r="AH13" i="9" s="1"/>
  <c r="U13" i="9"/>
  <c r="W13" i="9" s="1"/>
  <c r="AG12" i="9"/>
  <c r="AH12" i="9" s="1"/>
  <c r="U12" i="9"/>
  <c r="AR11" i="9"/>
  <c r="AN11" i="9"/>
  <c r="AS11" i="9" s="1"/>
  <c r="AG11" i="9"/>
  <c r="AH11" i="9" s="1"/>
  <c r="U11" i="9"/>
  <c r="AR10" i="9"/>
  <c r="AN10" i="9"/>
  <c r="AS10" i="9" s="1"/>
  <c r="AG10" i="9"/>
  <c r="AH10" i="9" s="1"/>
  <c r="U10" i="9"/>
  <c r="AR9" i="9"/>
  <c r="AN9" i="9"/>
  <c r="AS9" i="9" s="1"/>
  <c r="AG9" i="9"/>
  <c r="AH9" i="9" s="1"/>
  <c r="U9" i="9"/>
  <c r="AR8" i="9"/>
  <c r="AN8" i="9"/>
  <c r="AS8" i="9" s="1"/>
  <c r="AG8" i="9"/>
  <c r="AH8" i="9" s="1"/>
  <c r="U8" i="9"/>
  <c r="AR7" i="9"/>
  <c r="AN7" i="9"/>
  <c r="AS7" i="9" s="1"/>
  <c r="AG7" i="9"/>
  <c r="AH7" i="9" s="1"/>
  <c r="X7" i="9"/>
  <c r="U7" i="9"/>
  <c r="AR6" i="9"/>
  <c r="AN6" i="9"/>
  <c r="AS6" i="9" s="1"/>
  <c r="AG6" i="9"/>
  <c r="AH6" i="9" s="1"/>
  <c r="U6" i="9"/>
  <c r="AR5" i="9"/>
  <c r="AN5" i="9"/>
  <c r="AS5" i="9" s="1"/>
  <c r="AG5" i="9"/>
  <c r="AH5" i="9" s="1"/>
  <c r="U5" i="9"/>
  <c r="AX4" i="9"/>
  <c r="AU4" i="9"/>
  <c r="AT4" i="9"/>
  <c r="AR4" i="9"/>
  <c r="AN4" i="9"/>
  <c r="AS4" i="9" s="1"/>
  <c r="AG4" i="9"/>
  <c r="AH4" i="9" s="1"/>
  <c r="U4" i="9"/>
  <c r="W4" i="9" s="1"/>
  <c r="AX3" i="9"/>
  <c r="AR3" i="9"/>
  <c r="AN3" i="9"/>
  <c r="AF3" i="9"/>
  <c r="AG3" i="9" s="1"/>
  <c r="AH3" i="9" s="1"/>
  <c r="W3" i="9"/>
  <c r="U3" i="9"/>
  <c r="Z94" i="9" l="1"/>
  <c r="Z93" i="9"/>
  <c r="Z99" i="9"/>
  <c r="X55" i="9"/>
  <c r="AX228" i="9"/>
  <c r="Y84" i="9"/>
  <c r="Z84" i="9" s="1"/>
  <c r="X107" i="9"/>
  <c r="AL107" i="9" s="1"/>
  <c r="Z88" i="9"/>
  <c r="AJ88" i="9" s="1"/>
  <c r="Z48" i="9"/>
  <c r="AJ48" i="9" s="1"/>
  <c r="Y106" i="9"/>
  <c r="Z106" i="9" s="1"/>
  <c r="AJ106" i="9" s="1"/>
  <c r="Z103" i="9"/>
  <c r="AJ103" i="9" s="1"/>
  <c r="W69" i="9"/>
  <c r="X69" i="9" s="1"/>
  <c r="Y69" i="9" s="1"/>
  <c r="AS3" i="9"/>
  <c r="AK101" i="9"/>
  <c r="AI101" i="9"/>
  <c r="AL101" i="9"/>
  <c r="AM101" i="9"/>
  <c r="AJ101" i="9"/>
  <c r="A8" i="9"/>
  <c r="AL75" i="9"/>
  <c r="AK4" i="9"/>
  <c r="AL106" i="9"/>
  <c r="AK106" i="9"/>
  <c r="Y31" i="9"/>
  <c r="Z31" i="9" s="1"/>
  <c r="AJ31" i="9" s="1"/>
  <c r="AL93" i="9"/>
  <c r="AK68" i="9"/>
  <c r="AJ82" i="9"/>
  <c r="AN82" i="9" s="1"/>
  <c r="AS82" i="9" s="1"/>
  <c r="AK84" i="9"/>
  <c r="AI85" i="9"/>
  <c r="AI94" i="9"/>
  <c r="AJ99" i="9"/>
  <c r="AN99" i="9" s="1"/>
  <c r="AS99" i="9" s="1"/>
  <c r="AK100" i="9"/>
  <c r="AK104" i="9"/>
  <c r="AK113" i="9"/>
  <c r="AK114" i="9"/>
  <c r="X14" i="9"/>
  <c r="Y14" i="9" s="1"/>
  <c r="Y119" i="9"/>
  <c r="AM119" i="9" s="1"/>
  <c r="AO119" i="9"/>
  <c r="AI115" i="9"/>
  <c r="AL115" i="9"/>
  <c r="AK115" i="9"/>
  <c r="AJ115" i="9"/>
  <c r="Y113" i="9"/>
  <c r="AM115" i="9"/>
  <c r="Y114" i="9"/>
  <c r="AI62" i="9"/>
  <c r="AI64" i="9"/>
  <c r="AI111" i="9"/>
  <c r="AI8" i="9"/>
  <c r="AJ93" i="9"/>
  <c r="AN93" i="9" s="1"/>
  <c r="AS93" i="9" s="1"/>
  <c r="AI23" i="9"/>
  <c r="Y47" i="9"/>
  <c r="Z47" i="9" s="1"/>
  <c r="AJ47" i="9" s="1"/>
  <c r="AK32" i="9"/>
  <c r="X34" i="9"/>
  <c r="AL34" i="9" s="1"/>
  <c r="X50" i="9"/>
  <c r="AL50" i="9" s="1"/>
  <c r="AI58" i="9"/>
  <c r="X59" i="9"/>
  <c r="Y59" i="9" s="1"/>
  <c r="AM59" i="9" s="1"/>
  <c r="X62" i="9"/>
  <c r="Y62" i="9" s="1"/>
  <c r="AM62" i="9" s="1"/>
  <c r="AI80" i="9"/>
  <c r="AI83" i="9"/>
  <c r="X112" i="9"/>
  <c r="AL112" i="9" s="1"/>
  <c r="X30" i="9"/>
  <c r="AL30" i="9" s="1"/>
  <c r="X54" i="9"/>
  <c r="Y54" i="9" s="1"/>
  <c r="X41" i="9"/>
  <c r="AL41" i="9" s="1"/>
  <c r="AO3" i="9"/>
  <c r="X32" i="9"/>
  <c r="AL32" i="9" s="1"/>
  <c r="AK37" i="9"/>
  <c r="X38" i="9"/>
  <c r="AL38" i="9" s="1"/>
  <c r="X49" i="9"/>
  <c r="AL49" i="9" s="1"/>
  <c r="X52" i="9"/>
  <c r="Y52" i="9" s="1"/>
  <c r="AM52" i="9" s="1"/>
  <c r="X61" i="9"/>
  <c r="Y61" i="9" s="1"/>
  <c r="AM61" i="9" s="1"/>
  <c r="AK72" i="9"/>
  <c r="X89" i="9"/>
  <c r="AL89" i="9" s="1"/>
  <c r="X110" i="9"/>
  <c r="AL110" i="9" s="1"/>
  <c r="AL111" i="9"/>
  <c r="AI9" i="9"/>
  <c r="AI10" i="9"/>
  <c r="AI52" i="9"/>
  <c r="AJ78" i="9"/>
  <c r="AK77" i="9"/>
  <c r="AM81" i="9"/>
  <c r="AI6" i="9"/>
  <c r="AK34" i="9"/>
  <c r="AI54" i="9"/>
  <c r="AI56" i="9"/>
  <c r="AI78" i="9"/>
  <c r="AI81" i="9"/>
  <c r="AI109" i="9"/>
  <c r="AJ116" i="9"/>
  <c r="AN116" i="9" s="1"/>
  <c r="AS116" i="9" s="1"/>
  <c r="AK112" i="9"/>
  <c r="AI46" i="9"/>
  <c r="AI77" i="9"/>
  <c r="AI92" i="9"/>
  <c r="AI96" i="9"/>
  <c r="Y111" i="9"/>
  <c r="Z111" i="9" s="1"/>
  <c r="AJ111" i="9" s="1"/>
  <c r="W10" i="9"/>
  <c r="Y7" i="9"/>
  <c r="AM7" i="9" s="1"/>
  <c r="AK30" i="9"/>
  <c r="AI30" i="9"/>
  <c r="AI34" i="9"/>
  <c r="AK38" i="9"/>
  <c r="AI38" i="9"/>
  <c r="AI45" i="9"/>
  <c r="AK57" i="9"/>
  <c r="X57" i="9"/>
  <c r="AL57" i="9" s="1"/>
  <c r="AK58" i="9"/>
  <c r="AI12" i="9"/>
  <c r="AI18" i="9"/>
  <c r="AI32" i="9"/>
  <c r="AI42" i="9"/>
  <c r="AI43" i="9"/>
  <c r="AK47" i="9"/>
  <c r="AI70" i="9"/>
  <c r="AK70" i="9"/>
  <c r="AK42" i="9"/>
  <c r="AK43" i="9"/>
  <c r="AK56" i="9"/>
  <c r="X56" i="9"/>
  <c r="AL56" i="9" s="1"/>
  <c r="AL105" i="9"/>
  <c r="AK105" i="9"/>
  <c r="AI7" i="9"/>
  <c r="W8" i="9"/>
  <c r="AI19" i="9"/>
  <c r="AK6" i="9"/>
  <c r="AI40" i="9"/>
  <c r="AI50" i="9"/>
  <c r="AI66" i="9"/>
  <c r="AK98" i="9"/>
  <c r="X98" i="9"/>
  <c r="AL98" i="9" s="1"/>
  <c r="AI59" i="9"/>
  <c r="AK61" i="9"/>
  <c r="AI67" i="9"/>
  <c r="Z81" i="9"/>
  <c r="AJ81" i="9" s="1"/>
  <c r="AR81" i="9" s="1"/>
  <c r="AJ92" i="9"/>
  <c r="AR92" i="9" s="1"/>
  <c r="AK89" i="9"/>
  <c r="AI102" i="9"/>
  <c r="AJ105" i="9"/>
  <c r="AR105" i="9" s="1"/>
  <c r="AI87" i="9"/>
  <c r="AI90" i="9"/>
  <c r="AM92" i="9"/>
  <c r="AM102" i="9"/>
  <c r="AI110" i="9"/>
  <c r="AI116" i="9"/>
  <c r="AM71" i="9"/>
  <c r="AM86" i="9"/>
  <c r="AM88" i="9"/>
  <c r="AI91" i="9"/>
  <c r="AL7" i="9"/>
  <c r="AK7" i="9"/>
  <c r="AK25" i="9"/>
  <c r="AK31" i="9"/>
  <c r="AL31" i="9"/>
  <c r="AK24" i="9"/>
  <c r="AI5" i="9"/>
  <c r="AI14" i="9"/>
  <c r="AI15" i="9"/>
  <c r="AK16" i="9"/>
  <c r="X16" i="9"/>
  <c r="AL16" i="9" s="1"/>
  <c r="AI17" i="9"/>
  <c r="AI20" i="9"/>
  <c r="AI22" i="9"/>
  <c r="AK13" i="9"/>
  <c r="X13" i="9"/>
  <c r="AL13" i="9" s="1"/>
  <c r="AK11" i="9"/>
  <c r="X11" i="9"/>
  <c r="AL11" i="9" s="1"/>
  <c r="AI21" i="9"/>
  <c r="AI25" i="9"/>
  <c r="AI26" i="9"/>
  <c r="AI27" i="9"/>
  <c r="AI29" i="9"/>
  <c r="U228" i="9"/>
  <c r="AI3" i="9"/>
  <c r="X4" i="9"/>
  <c r="Y4" i="9" s="1"/>
  <c r="Z4" i="9" s="1"/>
  <c r="X20" i="9"/>
  <c r="AK20" i="9"/>
  <c r="W26" i="9"/>
  <c r="X27" i="9"/>
  <c r="AL27" i="9" s="1"/>
  <c r="AK27" i="9"/>
  <c r="X29" i="9"/>
  <c r="AL29" i="9" s="1"/>
  <c r="AK29" i="9"/>
  <c r="AI39" i="9"/>
  <c r="AI11" i="9"/>
  <c r="AI13" i="9"/>
  <c r="AI16" i="9"/>
  <c r="AI24" i="9"/>
  <c r="AM48" i="9"/>
  <c r="AL48" i="9"/>
  <c r="AK48" i="9"/>
  <c r="X3" i="9"/>
  <c r="AL3" i="9" s="1"/>
  <c r="AK3" i="9"/>
  <c r="AK14" i="9"/>
  <c r="X17" i="9"/>
  <c r="AL17" i="9" s="1"/>
  <c r="AK17" i="9"/>
  <c r="X21" i="9"/>
  <c r="AL21" i="9" s="1"/>
  <c r="AK21" i="9"/>
  <c r="X25" i="9"/>
  <c r="AI33" i="9"/>
  <c r="AI35" i="9"/>
  <c r="X37" i="9"/>
  <c r="AI37" i="9"/>
  <c r="AK44" i="9"/>
  <c r="X44" i="9"/>
  <c r="AL44" i="9" s="1"/>
  <c r="AI31" i="9"/>
  <c r="AK33" i="9"/>
  <c r="X33" i="9"/>
  <c r="AL33" i="9" s="1"/>
  <c r="AK35" i="9"/>
  <c r="X35" i="9"/>
  <c r="AL35" i="9" s="1"/>
  <c r="AK40" i="9"/>
  <c r="X40" i="9"/>
  <c r="AL40" i="9" s="1"/>
  <c r="AK41" i="9"/>
  <c r="AK52" i="9"/>
  <c r="AK54" i="9"/>
  <c r="AI60" i="9"/>
  <c r="AK63" i="9"/>
  <c r="X63" i="9"/>
  <c r="AL63" i="9" s="1"/>
  <c r="AI41" i="9"/>
  <c r="AK45" i="9"/>
  <c r="Y45" i="9"/>
  <c r="AM45" i="9" s="1"/>
  <c r="W51" i="9"/>
  <c r="AI51" i="9"/>
  <c r="X53" i="9"/>
  <c r="AL53" i="9" s="1"/>
  <c r="AK53" i="9"/>
  <c r="X42" i="9"/>
  <c r="Y42" i="9" s="1"/>
  <c r="AM42" i="9" s="1"/>
  <c r="X43" i="9"/>
  <c r="AI44" i="9"/>
  <c r="AI47" i="9"/>
  <c r="AK49" i="9"/>
  <c r="AK55" i="9"/>
  <c r="AI55" i="9"/>
  <c r="AI48" i="9"/>
  <c r="AK50" i="9"/>
  <c r="AK59" i="9"/>
  <c r="AI49" i="9"/>
  <c r="AI57" i="9"/>
  <c r="X58" i="9"/>
  <c r="Y58" i="9" s="1"/>
  <c r="AM58" i="9" s="1"/>
  <c r="AI61" i="9"/>
  <c r="AK62" i="9"/>
  <c r="AO62" i="9" s="1"/>
  <c r="AI63" i="9"/>
  <c r="Y68" i="9"/>
  <c r="AI74" i="9"/>
  <c r="AM76" i="9"/>
  <c r="AK79" i="9"/>
  <c r="AI53" i="9"/>
  <c r="AI65" i="9"/>
  <c r="AJ71" i="9"/>
  <c r="AI72" i="9"/>
  <c r="AK73" i="9"/>
  <c r="X73" i="9"/>
  <c r="AL73" i="9" s="1"/>
  <c r="AK74" i="9"/>
  <c r="AL71" i="9"/>
  <c r="AK71" i="9"/>
  <c r="AK76" i="9"/>
  <c r="AI76" i="9"/>
  <c r="X65" i="9"/>
  <c r="AL65" i="9" s="1"/>
  <c r="AK65" i="9"/>
  <c r="AK67" i="9"/>
  <c r="X67" i="9"/>
  <c r="AL67" i="9" s="1"/>
  <c r="AI71" i="9"/>
  <c r="AK78" i="9"/>
  <c r="AM78" i="9"/>
  <c r="AL78" i="9"/>
  <c r="Z76" i="9"/>
  <c r="AJ76" i="9" s="1"/>
  <c r="AK81" i="9"/>
  <c r="AL81" i="9"/>
  <c r="AI79" i="9"/>
  <c r="AK83" i="9"/>
  <c r="AL83" i="9"/>
  <c r="AJ86" i="9"/>
  <c r="AK88" i="9"/>
  <c r="AL88" i="9"/>
  <c r="AI88" i="9"/>
  <c r="AI73" i="9"/>
  <c r="AL76" i="9"/>
  <c r="AL86" i="9"/>
  <c r="AK86" i="9"/>
  <c r="AL87" i="9"/>
  <c r="AK87" i="9"/>
  <c r="X72" i="9"/>
  <c r="AL72" i="9" s="1"/>
  <c r="X74" i="9"/>
  <c r="AL74" i="9" s="1"/>
  <c r="X77" i="9"/>
  <c r="AL77" i="9" s="1"/>
  <c r="X79" i="9"/>
  <c r="AL79" i="9" s="1"/>
  <c r="AI86" i="9"/>
  <c r="AJ87" i="9"/>
  <c r="AM87" i="9"/>
  <c r="AL102" i="9"/>
  <c r="AK102" i="9"/>
  <c r="AK90" i="9"/>
  <c r="X90" i="9"/>
  <c r="Y90" i="9" s="1"/>
  <c r="AI89" i="9"/>
  <c r="AK91" i="9"/>
  <c r="X91" i="9"/>
  <c r="AL91" i="9" s="1"/>
  <c r="AI95" i="9"/>
  <c r="AL103" i="9"/>
  <c r="AK103" i="9"/>
  <c r="AI103" i="9"/>
  <c r="AM103" i="9"/>
  <c r="AK107" i="9"/>
  <c r="AK108" i="9"/>
  <c r="AM108" i="9"/>
  <c r="AL108" i="9"/>
  <c r="AK92" i="9"/>
  <c r="AL92" i="9"/>
  <c r="AK96" i="9"/>
  <c r="X96" i="9"/>
  <c r="AL96" i="9" s="1"/>
  <c r="AI98" i="9"/>
  <c r="AJ102" i="9"/>
  <c r="AI105" i="9"/>
  <c r="AI106" i="9"/>
  <c r="AI108" i="9"/>
  <c r="AJ108" i="9"/>
  <c r="AK109" i="9"/>
  <c r="AK110" i="9"/>
  <c r="Y100" i="9"/>
  <c r="AI107" i="9"/>
  <c r="AL116" i="9"/>
  <c r="AM116" i="9"/>
  <c r="AK117" i="9"/>
  <c r="AL117" i="9"/>
  <c r="AL118" i="9"/>
  <c r="AK118" i="9"/>
  <c r="AK111" i="9"/>
  <c r="AK116" i="9"/>
  <c r="AM118" i="9"/>
  <c r="AI117" i="9"/>
  <c r="AI112" i="9"/>
  <c r="AM117" i="9"/>
  <c r="Z117" i="9"/>
  <c r="AJ117" i="9" s="1"/>
  <c r="AI118" i="9"/>
  <c r="Z118" i="9"/>
  <c r="AJ118" i="9" s="1"/>
  <c r="AT62" i="9" l="1"/>
  <c r="AU62" i="9"/>
  <c r="Y55" i="9"/>
  <c r="AM55" i="9" s="1"/>
  <c r="AL55" i="9"/>
  <c r="Y107" i="9"/>
  <c r="AM107" i="9" s="1"/>
  <c r="AK69" i="9"/>
  <c r="AO69" i="9" s="1"/>
  <c r="AU69" i="9" s="1"/>
  <c r="Y43" i="9"/>
  <c r="AM43" i="9" s="1"/>
  <c r="AO56" i="9"/>
  <c r="AU56" i="9" s="1"/>
  <c r="AT3" i="9"/>
  <c r="A9" i="9"/>
  <c r="A10" i="9" s="1"/>
  <c r="A11" i="9" s="1"/>
  <c r="AR101" i="9"/>
  <c r="AN101" i="9"/>
  <c r="AS101" i="9" s="1"/>
  <c r="AO101" i="9"/>
  <c r="AI75" i="9"/>
  <c r="AK75" i="9"/>
  <c r="AM75" i="9"/>
  <c r="AJ4" i="9"/>
  <c r="AI4" i="9"/>
  <c r="AM31" i="9"/>
  <c r="AM100" i="9"/>
  <c r="AL100" i="9"/>
  <c r="AI69" i="9"/>
  <c r="AI93" i="9"/>
  <c r="AL69" i="9"/>
  <c r="AJ94" i="9"/>
  <c r="AR94" i="9" s="1"/>
  <c r="AM69" i="9"/>
  <c r="AK93" i="9"/>
  <c r="AL94" i="9"/>
  <c r="AK94" i="9"/>
  <c r="AL68" i="9"/>
  <c r="AM99" i="9"/>
  <c r="AL85" i="9"/>
  <c r="AL99" i="9"/>
  <c r="Y30" i="9"/>
  <c r="AM30" i="9" s="1"/>
  <c r="AO38" i="9"/>
  <c r="AT38" i="9" s="1"/>
  <c r="AO37" i="9"/>
  <c r="AU37" i="9" s="1"/>
  <c r="AO113" i="9"/>
  <c r="AU113" i="9" s="1"/>
  <c r="AO47" i="9"/>
  <c r="AT47" i="9" s="1"/>
  <c r="AO14" i="9"/>
  <c r="AU14" i="9" s="1"/>
  <c r="AO42" i="9"/>
  <c r="AU42" i="9" s="1"/>
  <c r="AO32" i="9"/>
  <c r="AU32" i="9" s="1"/>
  <c r="AO98" i="9"/>
  <c r="AT98" i="9" s="1"/>
  <c r="AL104" i="9"/>
  <c r="AI100" i="9"/>
  <c r="AL113" i="9"/>
  <c r="AI113" i="9"/>
  <c r="AI84" i="9"/>
  <c r="AJ84" i="9"/>
  <c r="AR84" i="9" s="1"/>
  <c r="AM84" i="9"/>
  <c r="AL84" i="9"/>
  <c r="AL14" i="9"/>
  <c r="AJ104" i="9"/>
  <c r="AN104" i="9" s="1"/>
  <c r="AS104" i="9" s="1"/>
  <c r="AI82" i="9"/>
  <c r="AI104" i="9"/>
  <c r="AO104" i="9"/>
  <c r="AT104" i="9" s="1"/>
  <c r="AO100" i="9"/>
  <c r="AU100" i="9" s="1"/>
  <c r="AO84" i="9"/>
  <c r="AT84" i="9" s="1"/>
  <c r="AM94" i="9"/>
  <c r="AO114" i="9"/>
  <c r="AT114" i="9" s="1"/>
  <c r="AO68" i="9"/>
  <c r="AU68" i="9" s="1"/>
  <c r="AI68" i="9"/>
  <c r="AL82" i="9"/>
  <c r="AI99" i="9"/>
  <c r="AI114" i="9"/>
  <c r="AL114" i="9"/>
  <c r="AK99" i="9"/>
  <c r="AK85" i="9"/>
  <c r="AK82" i="9"/>
  <c r="AM93" i="9"/>
  <c r="AM82" i="9"/>
  <c r="AM68" i="9"/>
  <c r="AM114" i="9"/>
  <c r="AR93" i="9"/>
  <c r="Y50" i="9"/>
  <c r="AM50" i="9" s="1"/>
  <c r="AL59" i="9"/>
  <c r="AR99" i="9"/>
  <c r="Y34" i="9"/>
  <c r="AM34" i="9" s="1"/>
  <c r="Y89" i="9"/>
  <c r="AM89" i="9" s="1"/>
  <c r="Y110" i="9"/>
  <c r="AM110" i="9" s="1"/>
  <c r="Y112" i="9"/>
  <c r="AM112" i="9" s="1"/>
  <c r="Z75" i="9"/>
  <c r="AJ75" i="9" s="1"/>
  <c r="AM111" i="9"/>
  <c r="AL61" i="9"/>
  <c r="AU3" i="9"/>
  <c r="Z61" i="9"/>
  <c r="AJ61" i="9" s="1"/>
  <c r="AR61" i="9" s="1"/>
  <c r="Y49" i="9"/>
  <c r="AM49" i="9" s="1"/>
  <c r="Y41" i="9"/>
  <c r="AM41" i="9" s="1"/>
  <c r="AN92" i="9"/>
  <c r="AS92" i="9" s="1"/>
  <c r="AR82" i="9"/>
  <c r="Z119" i="9"/>
  <c r="AJ119" i="9" s="1"/>
  <c r="AK23" i="9"/>
  <c r="AK10" i="9"/>
  <c r="AO89" i="9"/>
  <c r="AU89" i="9" s="1"/>
  <c r="AU119" i="9"/>
  <c r="AT119" i="9"/>
  <c r="AL47" i="9"/>
  <c r="Y57" i="9"/>
  <c r="AM57" i="9" s="1"/>
  <c r="X23" i="9"/>
  <c r="AL23" i="9" s="1"/>
  <c r="AL54" i="9"/>
  <c r="AM47" i="9"/>
  <c r="AO61" i="9"/>
  <c r="AT61" i="9" s="1"/>
  <c r="AO57" i="9"/>
  <c r="AU57" i="9" s="1"/>
  <c r="Z114" i="9"/>
  <c r="AJ114" i="9" s="1"/>
  <c r="AN114" i="9" s="1"/>
  <c r="AS114" i="9" s="1"/>
  <c r="Y32" i="9"/>
  <c r="AM32" i="9" s="1"/>
  <c r="AR115" i="9"/>
  <c r="AN115" i="9"/>
  <c r="AS115" i="9" s="1"/>
  <c r="AN81" i="9"/>
  <c r="AS81" i="9" s="1"/>
  <c r="AL52" i="9"/>
  <c r="Y38" i="9"/>
  <c r="AM38" i="9" s="1"/>
  <c r="AO115" i="9"/>
  <c r="AN105" i="9"/>
  <c r="AS105" i="9" s="1"/>
  <c r="AO72" i="9"/>
  <c r="AU72" i="9" s="1"/>
  <c r="AM113" i="9"/>
  <c r="Z113" i="9"/>
  <c r="AJ113" i="9" s="1"/>
  <c r="AK9" i="9"/>
  <c r="AR116" i="9"/>
  <c r="AK8" i="9"/>
  <c r="AM105" i="9"/>
  <c r="Y56" i="9"/>
  <c r="AM56" i="9" s="1"/>
  <c r="X9" i="9"/>
  <c r="AL9" i="9" s="1"/>
  <c r="X10" i="9"/>
  <c r="AL10" i="9" s="1"/>
  <c r="AL62" i="9"/>
  <c r="Z54" i="9"/>
  <c r="AJ54" i="9" s="1"/>
  <c r="AM54" i="9"/>
  <c r="AO70" i="9"/>
  <c r="AU70" i="9" s="1"/>
  <c r="X46" i="9"/>
  <c r="AL46" i="9" s="1"/>
  <c r="Y98" i="9"/>
  <c r="AM98" i="9" s="1"/>
  <c r="AO77" i="9"/>
  <c r="AU77" i="9" s="1"/>
  <c r="AK46" i="9"/>
  <c r="AO30" i="9"/>
  <c r="AU30" i="9" s="1"/>
  <c r="X6" i="9"/>
  <c r="Y6" i="9" s="1"/>
  <c r="AM6" i="9" s="1"/>
  <c r="AO105" i="9"/>
  <c r="AO58" i="9"/>
  <c r="Y27" i="9"/>
  <c r="AM27" i="9" s="1"/>
  <c r="X8" i="9"/>
  <c r="AL8" i="9" s="1"/>
  <c r="X70" i="9"/>
  <c r="Y11" i="9"/>
  <c r="AM11" i="9" s="1"/>
  <c r="Y16" i="9"/>
  <c r="AM16" i="9" s="1"/>
  <c r="AO43" i="9"/>
  <c r="AO112" i="9"/>
  <c r="AO34" i="9"/>
  <c r="AN111" i="9"/>
  <c r="AS111" i="9" s="1"/>
  <c r="AR111" i="9"/>
  <c r="Y83" i="9"/>
  <c r="AM83" i="9" s="1"/>
  <c r="Z7" i="9"/>
  <c r="AJ7" i="9" s="1"/>
  <c r="Y91" i="9"/>
  <c r="AM91" i="9" s="1"/>
  <c r="Z100" i="9"/>
  <c r="AJ100" i="9" s="1"/>
  <c r="AN100" i="9" s="1"/>
  <c r="AS100" i="9" s="1"/>
  <c r="Y63" i="9"/>
  <c r="AM63" i="9" s="1"/>
  <c r="Y40" i="9"/>
  <c r="AM40" i="9" s="1"/>
  <c r="AR117" i="9"/>
  <c r="AN117" i="9"/>
  <c r="AS117" i="9" s="1"/>
  <c r="AO118" i="9"/>
  <c r="AO110" i="9"/>
  <c r="AO109" i="9"/>
  <c r="Y96" i="9"/>
  <c r="Z96" i="9" s="1"/>
  <c r="AJ96" i="9" s="1"/>
  <c r="AO92" i="9"/>
  <c r="AO108" i="9"/>
  <c r="AO90" i="9"/>
  <c r="AM85" i="9"/>
  <c r="Z85" i="9"/>
  <c r="AJ85" i="9" s="1"/>
  <c r="AO86" i="9"/>
  <c r="AO83" i="9"/>
  <c r="Y79" i="9"/>
  <c r="AM79" i="9" s="1"/>
  <c r="AN76" i="9"/>
  <c r="AS76" i="9" s="1"/>
  <c r="AR76" i="9"/>
  <c r="Y72" i="9"/>
  <c r="AM72" i="9" s="1"/>
  <c r="Y67" i="9"/>
  <c r="AM67" i="9" s="1"/>
  <c r="Y73" i="9"/>
  <c r="AM73" i="9" s="1"/>
  <c r="AO79" i="9"/>
  <c r="AL58" i="9"/>
  <c r="Z58" i="9"/>
  <c r="AJ58" i="9" s="1"/>
  <c r="Z62" i="9"/>
  <c r="AJ62" i="9" s="1"/>
  <c r="Z45" i="9"/>
  <c r="AJ45" i="9" s="1"/>
  <c r="AL45" i="9"/>
  <c r="AO54" i="9"/>
  <c r="AO35" i="9"/>
  <c r="Y44" i="9"/>
  <c r="AM44" i="9" s="1"/>
  <c r="AL37" i="9"/>
  <c r="AO17" i="9"/>
  <c r="AR48" i="9"/>
  <c r="AN48" i="9"/>
  <c r="AS48" i="9" s="1"/>
  <c r="AK18" i="9"/>
  <c r="X18" i="9"/>
  <c r="AL18" i="9" s="1"/>
  <c r="AK15" i="9"/>
  <c r="AL15" i="9"/>
  <c r="Y3" i="9"/>
  <c r="AM3" i="9" s="1"/>
  <c r="Y17" i="9"/>
  <c r="AM17" i="9" s="1"/>
  <c r="AO13" i="9"/>
  <c r="AO31" i="9"/>
  <c r="AO116" i="9"/>
  <c r="AN108" i="9"/>
  <c r="AS108" i="9" s="1"/>
  <c r="AR108" i="9"/>
  <c r="AN102" i="9"/>
  <c r="AS102" i="9" s="1"/>
  <c r="AR102" i="9"/>
  <c r="X95" i="9"/>
  <c r="AL95" i="9" s="1"/>
  <c r="AK95" i="9"/>
  <c r="AR103" i="9"/>
  <c r="AN103" i="9"/>
  <c r="AS103" i="9" s="1"/>
  <c r="Y77" i="9"/>
  <c r="AM77" i="9" s="1"/>
  <c r="AK80" i="9"/>
  <c r="X80" i="9"/>
  <c r="AL80" i="9" s="1"/>
  <c r="AO78" i="9"/>
  <c r="AP78" i="9" s="1"/>
  <c r="AO65" i="9"/>
  <c r="AO76" i="9"/>
  <c r="AO71" i="9"/>
  <c r="Z69" i="9"/>
  <c r="AJ69" i="9" s="1"/>
  <c r="AO74" i="9"/>
  <c r="AK64" i="9"/>
  <c r="X64" i="9"/>
  <c r="AL64" i="9" s="1"/>
  <c r="AK60" i="9"/>
  <c r="X60" i="9"/>
  <c r="AL60" i="9" s="1"/>
  <c r="Y65" i="9"/>
  <c r="AM65" i="9" s="1"/>
  <c r="AO59" i="9"/>
  <c r="AO50" i="9"/>
  <c r="AL43" i="9"/>
  <c r="Y53" i="9"/>
  <c r="AM53" i="9" s="1"/>
  <c r="AO45" i="9"/>
  <c r="Z52" i="9"/>
  <c r="AJ52" i="9" s="1"/>
  <c r="AO44" i="9"/>
  <c r="AL25" i="9"/>
  <c r="Y25" i="9"/>
  <c r="AM25" i="9" s="1"/>
  <c r="Y37" i="9"/>
  <c r="AM37" i="9" s="1"/>
  <c r="Y29" i="9"/>
  <c r="AM29" i="9" s="1"/>
  <c r="AO27" i="9"/>
  <c r="AK22" i="9"/>
  <c r="X22" i="9"/>
  <c r="AL22" i="9" s="1"/>
  <c r="Y13" i="9"/>
  <c r="AM13" i="9" s="1"/>
  <c r="AL24" i="9"/>
  <c r="AN118" i="9"/>
  <c r="AS118" i="9" s="1"/>
  <c r="AR118" i="9"/>
  <c r="AO91" i="9"/>
  <c r="AO106" i="9"/>
  <c r="AR106" i="9"/>
  <c r="AM106" i="9"/>
  <c r="AN106" i="9"/>
  <c r="AS106" i="9" s="1"/>
  <c r="AN87" i="9"/>
  <c r="AS87" i="9" s="1"/>
  <c r="AR87" i="9"/>
  <c r="AO87" i="9"/>
  <c r="AO88" i="9"/>
  <c r="AN86" i="9"/>
  <c r="AS86" i="9" s="1"/>
  <c r="AR86" i="9"/>
  <c r="AO81" i="9"/>
  <c r="AK66" i="9"/>
  <c r="X66" i="9"/>
  <c r="AL66" i="9" s="1"/>
  <c r="AN71" i="9"/>
  <c r="AS71" i="9" s="1"/>
  <c r="AR71" i="9"/>
  <c r="Z68" i="9"/>
  <c r="AJ68" i="9" s="1"/>
  <c r="Z59" i="9"/>
  <c r="AJ59" i="9" s="1"/>
  <c r="AO55" i="9"/>
  <c r="AO49" i="9"/>
  <c r="AL42" i="9"/>
  <c r="Z42" i="9"/>
  <c r="AJ42" i="9" s="1"/>
  <c r="AO53" i="9"/>
  <c r="AO63" i="9"/>
  <c r="AO52" i="9"/>
  <c r="AO41" i="9"/>
  <c r="AO40" i="9"/>
  <c r="AO33" i="9"/>
  <c r="AO21" i="9"/>
  <c r="AO29" i="9"/>
  <c r="AO20" i="9"/>
  <c r="AM14" i="9"/>
  <c r="AS14" i="9"/>
  <c r="AR14" i="9"/>
  <c r="AO6" i="9"/>
  <c r="AM4" i="9"/>
  <c r="AL4" i="9"/>
  <c r="AO11" i="9"/>
  <c r="Y35" i="9"/>
  <c r="AM35" i="9" s="1"/>
  <c r="AO16" i="9"/>
  <c r="AO24" i="9"/>
  <c r="Y33" i="9"/>
  <c r="Y21" i="9"/>
  <c r="AM21" i="9" s="1"/>
  <c r="AO7" i="9"/>
  <c r="AP7" i="9" s="1"/>
  <c r="AO111" i="9"/>
  <c r="AO117" i="9"/>
  <c r="AL109" i="9"/>
  <c r="AM109" i="9"/>
  <c r="AO96" i="9"/>
  <c r="AO107" i="9"/>
  <c r="AO103" i="9"/>
  <c r="AL90" i="9"/>
  <c r="AO102" i="9"/>
  <c r="AR88" i="9"/>
  <c r="AN88" i="9"/>
  <c r="AS88" i="9" s="1"/>
  <c r="Y74" i="9"/>
  <c r="AM74" i="9" s="1"/>
  <c r="AO67" i="9"/>
  <c r="AO73" i="9"/>
  <c r="X51" i="9"/>
  <c r="AL51" i="9" s="1"/>
  <c r="AK51" i="9"/>
  <c r="AO48" i="9"/>
  <c r="AK39" i="9"/>
  <c r="X39" i="9"/>
  <c r="AL39" i="9" s="1"/>
  <c r="AK26" i="9"/>
  <c r="X26" i="9"/>
  <c r="AL26" i="9" s="1"/>
  <c r="AL20" i="9"/>
  <c r="Y20" i="9"/>
  <c r="AM20" i="9" s="1"/>
  <c r="AK19" i="9"/>
  <c r="X19" i="9"/>
  <c r="AL19" i="9" s="1"/>
  <c r="AK12" i="9"/>
  <c r="X12" i="9"/>
  <c r="AL12" i="9" s="1"/>
  <c r="AK5" i="9"/>
  <c r="X5" i="9"/>
  <c r="AL5" i="9" s="1"/>
  <c r="AO25" i="9"/>
  <c r="Z55" i="9" l="1"/>
  <c r="AJ55" i="9" s="1"/>
  <c r="AR55" i="9" s="1"/>
  <c r="AU59" i="9"/>
  <c r="AT59" i="9"/>
  <c r="AU43" i="9"/>
  <c r="AT43" i="9"/>
  <c r="Z43" i="9"/>
  <c r="AJ43" i="9" s="1"/>
  <c r="Z107" i="9"/>
  <c r="AJ107" i="9" s="1"/>
  <c r="AT56" i="9"/>
  <c r="AK228" i="9"/>
  <c r="AI228" i="9"/>
  <c r="A12" i="9"/>
  <c r="A13" i="9" s="1"/>
  <c r="A14" i="9" s="1"/>
  <c r="A15" i="9" s="1"/>
  <c r="AP101" i="9"/>
  <c r="AU101" i="9"/>
  <c r="AT101" i="9"/>
  <c r="AO75" i="9"/>
  <c r="AT75" i="9" s="1"/>
  <c r="AN58" i="9"/>
  <c r="AS58" i="9" s="1"/>
  <c r="AR58" i="9"/>
  <c r="AN94" i="9"/>
  <c r="AS94" i="9" s="1"/>
  <c r="Z30" i="9"/>
  <c r="AJ30" i="9" s="1"/>
  <c r="AN30" i="9" s="1"/>
  <c r="AP31" i="9"/>
  <c r="AN55" i="9"/>
  <c r="AS55" i="9" s="1"/>
  <c r="AO94" i="9"/>
  <c r="AT94" i="9" s="1"/>
  <c r="AO93" i="9"/>
  <c r="AU93" i="9" s="1"/>
  <c r="AT42" i="9"/>
  <c r="AP42" i="9"/>
  <c r="AT113" i="9"/>
  <c r="AU38" i="9"/>
  <c r="AP38" i="9"/>
  <c r="AU98" i="9"/>
  <c r="AT100" i="9"/>
  <c r="AM104" i="9"/>
  <c r="AP104" i="9" s="1"/>
  <c r="AP98" i="9"/>
  <c r="AT14" i="9"/>
  <c r="AU47" i="9"/>
  <c r="AT69" i="9"/>
  <c r="AU84" i="9"/>
  <c r="AN84" i="9"/>
  <c r="AS84" i="9" s="1"/>
  <c r="AP32" i="9"/>
  <c r="AT32" i="9"/>
  <c r="AT37" i="9"/>
  <c r="AO9" i="9"/>
  <c r="AT9" i="9" s="1"/>
  <c r="AO8" i="9"/>
  <c r="AU8" i="9" s="1"/>
  <c r="AO10" i="9"/>
  <c r="AT10" i="9" s="1"/>
  <c r="AO46" i="9"/>
  <c r="AT46" i="9" s="1"/>
  <c r="AO23" i="9"/>
  <c r="AU23" i="9" s="1"/>
  <c r="AT68" i="9"/>
  <c r="AU114" i="9"/>
  <c r="AP113" i="9"/>
  <c r="AR104" i="9"/>
  <c r="AU104" i="9"/>
  <c r="AO82" i="9"/>
  <c r="AO99" i="9"/>
  <c r="AO85" i="9"/>
  <c r="Z50" i="9"/>
  <c r="AJ50" i="9" s="1"/>
  <c r="AP50" i="9"/>
  <c r="Z34" i="9"/>
  <c r="AJ34" i="9" s="1"/>
  <c r="AN34" i="9" s="1"/>
  <c r="AP34" i="9" s="1"/>
  <c r="AP81" i="9"/>
  <c r="AP92" i="9"/>
  <c r="Z89" i="9"/>
  <c r="AJ89" i="9" s="1"/>
  <c r="AN89" i="9" s="1"/>
  <c r="AS89" i="9" s="1"/>
  <c r="Z41" i="9"/>
  <c r="AJ41" i="9" s="1"/>
  <c r="AN41" i="9" s="1"/>
  <c r="Z110" i="9"/>
  <c r="AJ110" i="9" s="1"/>
  <c r="AU61" i="9"/>
  <c r="AP110" i="9"/>
  <c r="Z83" i="9"/>
  <c r="AJ83" i="9" s="1"/>
  <c r="AR83" i="9" s="1"/>
  <c r="Z112" i="9"/>
  <c r="AJ112" i="9" s="1"/>
  <c r="AR112" i="9" s="1"/>
  <c r="AP111" i="9"/>
  <c r="AN61" i="9"/>
  <c r="AS61" i="9" s="1"/>
  <c r="Z49" i="9"/>
  <c r="AJ49" i="9" s="1"/>
  <c r="AR49" i="9" s="1"/>
  <c r="AP27" i="9"/>
  <c r="Z27" i="9"/>
  <c r="AJ27" i="9" s="1"/>
  <c r="AR75" i="9"/>
  <c r="AN75" i="9"/>
  <c r="AS75" i="9" s="1"/>
  <c r="Y23" i="9"/>
  <c r="AM23" i="9" s="1"/>
  <c r="AT72" i="9"/>
  <c r="AL6" i="9"/>
  <c r="AP6" i="9" s="1"/>
  <c r="Y10" i="9"/>
  <c r="AM10" i="9" s="1"/>
  <c r="AP105" i="9"/>
  <c r="Z57" i="9"/>
  <c r="AN119" i="9"/>
  <c r="AR119" i="9"/>
  <c r="AT89" i="9"/>
  <c r="AT57" i="9"/>
  <c r="AR100" i="9"/>
  <c r="AR114" i="9"/>
  <c r="Z32" i="9"/>
  <c r="AJ32" i="9" s="1"/>
  <c r="AP47" i="9"/>
  <c r="Z91" i="9"/>
  <c r="AJ91" i="9" s="1"/>
  <c r="AN91" i="9" s="1"/>
  <c r="Z16" i="9"/>
  <c r="AJ16" i="9" s="1"/>
  <c r="AR16" i="9" s="1"/>
  <c r="AP115" i="9"/>
  <c r="Z63" i="9"/>
  <c r="AJ63" i="9" s="1"/>
  <c r="AR63" i="9" s="1"/>
  <c r="AT30" i="9"/>
  <c r="Z38" i="9"/>
  <c r="AJ38" i="9" s="1"/>
  <c r="AU115" i="9"/>
  <c r="AT115" i="9"/>
  <c r="AP114" i="9"/>
  <c r="Z72" i="9"/>
  <c r="AP54" i="9"/>
  <c r="AT77" i="9"/>
  <c r="AP103" i="9"/>
  <c r="Z77" i="9"/>
  <c r="AJ77" i="9" s="1"/>
  <c r="AN77" i="9" s="1"/>
  <c r="AS77" i="9" s="1"/>
  <c r="Y8" i="9"/>
  <c r="AM8" i="9" s="1"/>
  <c r="AP21" i="9"/>
  <c r="AP117" i="9"/>
  <c r="AP35" i="9"/>
  <c r="AP40" i="9"/>
  <c r="Z98" i="9"/>
  <c r="AJ98" i="9" s="1"/>
  <c r="Z13" i="9"/>
  <c r="AJ13" i="9" s="1"/>
  <c r="Z56" i="9"/>
  <c r="AJ56" i="9" s="1"/>
  <c r="AR56" i="9" s="1"/>
  <c r="Y9" i="9"/>
  <c r="Z17" i="9"/>
  <c r="AJ17" i="9" s="1"/>
  <c r="AP11" i="9"/>
  <c r="Z44" i="9"/>
  <c r="AJ44" i="9" s="1"/>
  <c r="AR44" i="9" s="1"/>
  <c r="AT70" i="9"/>
  <c r="Z11" i="9"/>
  <c r="AJ11" i="9" s="1"/>
  <c r="Y46" i="9"/>
  <c r="AM46" i="9" s="1"/>
  <c r="Y19" i="9"/>
  <c r="AM19" i="9" s="1"/>
  <c r="AP4" i="9"/>
  <c r="BA4" i="9" s="1"/>
  <c r="Z67" i="9"/>
  <c r="AJ67" i="9" s="1"/>
  <c r="AP3" i="9"/>
  <c r="Y95" i="9"/>
  <c r="Z95" i="9" s="1"/>
  <c r="AJ95" i="9" s="1"/>
  <c r="AR95" i="9" s="1"/>
  <c r="Z29" i="9"/>
  <c r="AJ29" i="9" s="1"/>
  <c r="Y60" i="9"/>
  <c r="AM60" i="9" s="1"/>
  <c r="AU112" i="9"/>
  <c r="AT112" i="9"/>
  <c r="AT58" i="9"/>
  <c r="AU58" i="9"/>
  <c r="AL70" i="9"/>
  <c r="Y70" i="9"/>
  <c r="AU34" i="9"/>
  <c r="AT34" i="9"/>
  <c r="AU105" i="9"/>
  <c r="AT105" i="9"/>
  <c r="Z3" i="9"/>
  <c r="AJ3" i="9" s="1"/>
  <c r="AP65" i="9"/>
  <c r="Z73" i="9"/>
  <c r="AJ73" i="9" s="1"/>
  <c r="AN73" i="9" s="1"/>
  <c r="Y18" i="9"/>
  <c r="AM18" i="9" s="1"/>
  <c r="Z40" i="9"/>
  <c r="AJ40" i="9" s="1"/>
  <c r="Y51" i="9"/>
  <c r="AM51" i="9" s="1"/>
  <c r="AP79" i="9"/>
  <c r="Z20" i="9"/>
  <c r="AJ20" i="9" s="1"/>
  <c r="AP14" i="9"/>
  <c r="Y66" i="9"/>
  <c r="AM66" i="9" s="1"/>
  <c r="AP13" i="9"/>
  <c r="AP17" i="9"/>
  <c r="AP20" i="9"/>
  <c r="Y15" i="9"/>
  <c r="AM15" i="9" s="1"/>
  <c r="AO19" i="9"/>
  <c r="AU107" i="9"/>
  <c r="AT107" i="9"/>
  <c r="AU7" i="9"/>
  <c r="AT7" i="9"/>
  <c r="AT16" i="9"/>
  <c r="AU16" i="9"/>
  <c r="AT11" i="9"/>
  <c r="AU11" i="9"/>
  <c r="AU6" i="9"/>
  <c r="AT6" i="9"/>
  <c r="AU40" i="9"/>
  <c r="AT40" i="9"/>
  <c r="AU52" i="9"/>
  <c r="AT52" i="9"/>
  <c r="AT63" i="9"/>
  <c r="AU63" i="9"/>
  <c r="AP88" i="9"/>
  <c r="AP87" i="9"/>
  <c r="AU106" i="9"/>
  <c r="AT106" i="9"/>
  <c r="Y22" i="9"/>
  <c r="AU27" i="9"/>
  <c r="AT27" i="9"/>
  <c r="AT45" i="9"/>
  <c r="AU45" i="9"/>
  <c r="AN43" i="9"/>
  <c r="AS43" i="9" s="1"/>
  <c r="AR43" i="9"/>
  <c r="AU50" i="9"/>
  <c r="AT50" i="9"/>
  <c r="AO60" i="9"/>
  <c r="Y64" i="9"/>
  <c r="AM64" i="9" s="1"/>
  <c r="AN69" i="9"/>
  <c r="AR69" i="9"/>
  <c r="AU65" i="9"/>
  <c r="AT65" i="9"/>
  <c r="Y80" i="9"/>
  <c r="AO15" i="9"/>
  <c r="AO18" i="9"/>
  <c r="Z53" i="9"/>
  <c r="AJ53" i="9" s="1"/>
  <c r="AN62" i="9"/>
  <c r="AR62" i="9"/>
  <c r="Z65" i="9"/>
  <c r="AJ65" i="9" s="1"/>
  <c r="AT83" i="9"/>
  <c r="AU83" i="9"/>
  <c r="AT90" i="9"/>
  <c r="AU90" i="9"/>
  <c r="AP108" i="9"/>
  <c r="AU110" i="9"/>
  <c r="AT110" i="9"/>
  <c r="AJ109" i="9"/>
  <c r="AO5" i="9"/>
  <c r="AU48" i="9"/>
  <c r="AT48" i="9"/>
  <c r="AO51" i="9"/>
  <c r="AT102" i="9"/>
  <c r="AU102" i="9"/>
  <c r="AU96" i="9"/>
  <c r="AT96" i="9"/>
  <c r="AT111" i="9"/>
  <c r="AU111" i="9"/>
  <c r="AT24" i="9"/>
  <c r="AU24" i="9"/>
  <c r="AU29" i="9"/>
  <c r="AT29" i="9"/>
  <c r="AT33" i="9"/>
  <c r="AU33" i="9"/>
  <c r="AN68" i="9"/>
  <c r="AR68" i="9"/>
  <c r="AN96" i="9"/>
  <c r="AS96" i="9" s="1"/>
  <c r="AM96" i="9"/>
  <c r="AR96" i="9"/>
  <c r="AT88" i="9"/>
  <c r="AU88" i="9"/>
  <c r="AU87" i="9"/>
  <c r="AT87" i="9"/>
  <c r="AM24" i="9"/>
  <c r="AP24" i="9" s="1"/>
  <c r="AJ24" i="9"/>
  <c r="Z21" i="9"/>
  <c r="AJ21" i="9" s="1"/>
  <c r="AU71" i="9"/>
  <c r="AT71" i="9"/>
  <c r="AT76" i="9"/>
  <c r="AU76" i="9"/>
  <c r="Z74" i="9"/>
  <c r="AJ74" i="9" s="1"/>
  <c r="AU116" i="9"/>
  <c r="AT116" i="9"/>
  <c r="AT13" i="9"/>
  <c r="AU13" i="9"/>
  <c r="Z37" i="9"/>
  <c r="AJ37" i="9" s="1"/>
  <c r="AT35" i="9"/>
  <c r="AU35" i="9"/>
  <c r="AN45" i="9"/>
  <c r="AR45" i="9"/>
  <c r="AR85" i="9"/>
  <c r="AN85" i="9"/>
  <c r="AS85" i="9" s="1"/>
  <c r="AU108" i="9"/>
  <c r="AT108" i="9"/>
  <c r="AU118" i="9"/>
  <c r="AT118" i="9"/>
  <c r="AP100" i="9"/>
  <c r="AU25" i="9"/>
  <c r="AT25" i="9"/>
  <c r="Y5" i="9"/>
  <c r="AO12" i="9"/>
  <c r="AO26" i="9"/>
  <c r="AO39" i="9"/>
  <c r="AP48" i="9"/>
  <c r="AU73" i="9"/>
  <c r="AT73" i="9"/>
  <c r="AU67" i="9"/>
  <c r="AT67" i="9"/>
  <c r="AP102" i="9"/>
  <c r="AT117" i="9"/>
  <c r="AU117" i="9"/>
  <c r="AP29" i="9"/>
  <c r="Z35" i="9"/>
  <c r="AJ35" i="9" s="1"/>
  <c r="AU41" i="9"/>
  <c r="AT41" i="9"/>
  <c r="AT55" i="9"/>
  <c r="AU55" i="9"/>
  <c r="AR59" i="9"/>
  <c r="AN59" i="9"/>
  <c r="AT91" i="9"/>
  <c r="AU91" i="9"/>
  <c r="AN52" i="9"/>
  <c r="AR52" i="9"/>
  <c r="AP71" i="9"/>
  <c r="AP76" i="9"/>
  <c r="AP116" i="9"/>
  <c r="AT31" i="9"/>
  <c r="AU31" i="9"/>
  <c r="AP37" i="9"/>
  <c r="AU86" i="9"/>
  <c r="AT86" i="9"/>
  <c r="AP118" i="9"/>
  <c r="Z6" i="9"/>
  <c r="AJ6" i="9" s="1"/>
  <c r="Y12" i="9"/>
  <c r="AM12" i="9" s="1"/>
  <c r="Y26" i="9"/>
  <c r="AM26" i="9" s="1"/>
  <c r="Y39" i="9"/>
  <c r="AM39" i="9" s="1"/>
  <c r="AM90" i="9"/>
  <c r="AP90" i="9" s="1"/>
  <c r="Z90" i="9"/>
  <c r="AJ90" i="9" s="1"/>
  <c r="AU103" i="9"/>
  <c r="AT103" i="9"/>
  <c r="AM33" i="9"/>
  <c r="Z33" i="9"/>
  <c r="AJ33" i="9" s="1"/>
  <c r="AU20" i="9"/>
  <c r="AT20" i="9"/>
  <c r="AU21" i="9"/>
  <c r="AT21" i="9"/>
  <c r="AT53" i="9"/>
  <c r="AU53" i="9"/>
  <c r="AT49" i="9"/>
  <c r="AU49" i="9"/>
  <c r="AO66" i="9"/>
  <c r="AT81" i="9"/>
  <c r="AU81" i="9"/>
  <c r="AP106" i="9"/>
  <c r="Z14" i="9"/>
  <c r="AJ14" i="9" s="1"/>
  <c r="AO22" i="9"/>
  <c r="AU44" i="9"/>
  <c r="AT44" i="9"/>
  <c r="AO64" i="9"/>
  <c r="AT74" i="9"/>
  <c r="AU74" i="9"/>
  <c r="AT78" i="9"/>
  <c r="AU78" i="9"/>
  <c r="AO80" i="9"/>
  <c r="AO95" i="9"/>
  <c r="AU17" i="9"/>
  <c r="AT17" i="9"/>
  <c r="AT54" i="9"/>
  <c r="AU54" i="9"/>
  <c r="AU79" i="9"/>
  <c r="AT79" i="9"/>
  <c r="Z79" i="9"/>
  <c r="AJ79" i="9" s="1"/>
  <c r="AP86" i="9"/>
  <c r="AT92" i="9"/>
  <c r="AU92" i="9"/>
  <c r="AT109" i="9"/>
  <c r="AU109" i="9"/>
  <c r="Z25" i="9"/>
  <c r="AJ25" i="9" s="1"/>
  <c r="BA81" i="9" l="1"/>
  <c r="AR57" i="9"/>
  <c r="AJ57" i="9"/>
  <c r="AN107" i="9"/>
  <c r="AR107" i="9"/>
  <c r="AR74" i="9"/>
  <c r="AN74" i="9"/>
  <c r="BA38" i="9"/>
  <c r="BA42" i="9"/>
  <c r="AO228" i="9"/>
  <c r="AL228" i="9"/>
  <c r="BA3" i="9"/>
  <c r="A16" i="9"/>
  <c r="A17" i="9" s="1"/>
  <c r="A18" i="9" s="1"/>
  <c r="A19" i="9" s="1"/>
  <c r="A20" i="9" s="1"/>
  <c r="A21" i="9" s="1"/>
  <c r="BA14" i="9"/>
  <c r="BA100" i="9"/>
  <c r="BA86" i="9"/>
  <c r="BA90" i="9"/>
  <c r="BA116" i="9"/>
  <c r="BA113" i="9"/>
  <c r="BA47" i="9"/>
  <c r="BA71" i="9"/>
  <c r="BA102" i="9"/>
  <c r="BA24" i="9"/>
  <c r="BA17" i="9"/>
  <c r="BA29" i="9"/>
  <c r="BA35" i="9"/>
  <c r="BA11" i="9"/>
  <c r="BA103" i="9"/>
  <c r="BA50" i="9"/>
  <c r="BA32" i="9"/>
  <c r="BA104" i="9"/>
  <c r="BA31" i="9"/>
  <c r="BA101" i="9"/>
  <c r="BA111" i="9"/>
  <c r="BA20" i="9"/>
  <c r="BA65" i="9"/>
  <c r="BA114" i="9"/>
  <c r="BA105" i="9"/>
  <c r="BA6" i="9"/>
  <c r="BA118" i="9"/>
  <c r="BA108" i="9"/>
  <c r="BA13" i="9"/>
  <c r="BA79" i="9"/>
  <c r="BA117" i="9"/>
  <c r="BA115" i="9"/>
  <c r="BA110" i="9"/>
  <c r="BA37" i="9"/>
  <c r="BA76" i="9"/>
  <c r="BA21" i="9"/>
  <c r="BA48" i="9"/>
  <c r="BA87" i="9"/>
  <c r="BA7" i="9"/>
  <c r="BA78" i="9"/>
  <c r="BA40" i="9"/>
  <c r="BA106" i="9"/>
  <c r="BA54" i="9"/>
  <c r="BA98" i="9"/>
  <c r="BA27" i="9"/>
  <c r="BA92" i="9"/>
  <c r="BA88" i="9"/>
  <c r="AU75" i="9"/>
  <c r="AP58" i="9"/>
  <c r="BA58" i="9" s="1"/>
  <c r="AR67" i="9"/>
  <c r="AN67" i="9"/>
  <c r="AJ72" i="9"/>
  <c r="AR72" i="9" s="1"/>
  <c r="AR30" i="9"/>
  <c r="AP55" i="9"/>
  <c r="BA55" i="9" s="1"/>
  <c r="AR33" i="9"/>
  <c r="AN33" i="9"/>
  <c r="AS33" i="9" s="1"/>
  <c r="AP94" i="9"/>
  <c r="AU94" i="9"/>
  <c r="AT93" i="9"/>
  <c r="AP93" i="9"/>
  <c r="AU9" i="9"/>
  <c r="AU46" i="9"/>
  <c r="AT8" i="9"/>
  <c r="AP84" i="9"/>
  <c r="BA84" i="9" s="1"/>
  <c r="AP46" i="9"/>
  <c r="AT23" i="9"/>
  <c r="AP23" i="9"/>
  <c r="AU10" i="9"/>
  <c r="AP10" i="9"/>
  <c r="AP8" i="9"/>
  <c r="AS34" i="9"/>
  <c r="AP99" i="9"/>
  <c r="AT99" i="9"/>
  <c r="AU99" i="9"/>
  <c r="AU85" i="9"/>
  <c r="AT85" i="9"/>
  <c r="AT82" i="9"/>
  <c r="AU82" i="9"/>
  <c r="AP82" i="9"/>
  <c r="Z10" i="9"/>
  <c r="AJ10" i="9" s="1"/>
  <c r="AP89" i="9"/>
  <c r="AR91" i="9"/>
  <c r="AN16" i="9"/>
  <c r="AN83" i="9"/>
  <c r="AP83" i="9" s="1"/>
  <c r="AR34" i="9"/>
  <c r="AN112" i="9"/>
  <c r="AS112" i="9" s="1"/>
  <c r="AN63" i="9"/>
  <c r="AS63" i="9" s="1"/>
  <c r="AR41" i="9"/>
  <c r="AR89" i="9"/>
  <c r="AP61" i="9"/>
  <c r="BA61" i="9" s="1"/>
  <c r="AN49" i="9"/>
  <c r="AS49" i="9" s="1"/>
  <c r="Z23" i="9"/>
  <c r="AJ23" i="9" s="1"/>
  <c r="AP75" i="9"/>
  <c r="AN44" i="9"/>
  <c r="AS44" i="9" s="1"/>
  <c r="AN57" i="9"/>
  <c r="AS57" i="9" s="1"/>
  <c r="AS119" i="9"/>
  <c r="AP119" i="9"/>
  <c r="Z46" i="9"/>
  <c r="AJ46" i="9" s="1"/>
  <c r="Z18" i="9"/>
  <c r="AJ18" i="9" s="1"/>
  <c r="AR77" i="9"/>
  <c r="AR73" i="9"/>
  <c r="Z8" i="9"/>
  <c r="AJ8" i="9" s="1"/>
  <c r="Z60" i="9"/>
  <c r="AJ60" i="9" s="1"/>
  <c r="Z64" i="9"/>
  <c r="AJ64" i="9" s="1"/>
  <c r="AR64" i="9" s="1"/>
  <c r="AM9" i="9"/>
  <c r="AP9" i="9" s="1"/>
  <c r="Z9" i="9"/>
  <c r="AJ9" i="9" s="1"/>
  <c r="AN56" i="9"/>
  <c r="AS56" i="9" s="1"/>
  <c r="AP19" i="9"/>
  <c r="Z51" i="9"/>
  <c r="AJ51" i="9" s="1"/>
  <c r="AN51" i="9" s="1"/>
  <c r="Z15" i="9"/>
  <c r="AJ15" i="9" s="1"/>
  <c r="Z19" i="9"/>
  <c r="AJ19" i="9" s="1"/>
  <c r="AN95" i="9"/>
  <c r="AS95" i="9" s="1"/>
  <c r="AM70" i="9"/>
  <c r="Z70" i="9"/>
  <c r="AJ70" i="9" s="1"/>
  <c r="AM95" i="9"/>
  <c r="AP18" i="9"/>
  <c r="AP43" i="9"/>
  <c r="BA43" i="9" s="1"/>
  <c r="AP15" i="9"/>
  <c r="AP39" i="9"/>
  <c r="Z66" i="9"/>
  <c r="AJ66" i="9" s="1"/>
  <c r="AN66" i="9" s="1"/>
  <c r="AS59" i="9"/>
  <c r="AP59" i="9"/>
  <c r="AS73" i="9"/>
  <c r="AP73" i="9"/>
  <c r="AS69" i="9"/>
  <c r="AP69" i="9"/>
  <c r="AT60" i="9"/>
  <c r="AU60" i="9"/>
  <c r="AN25" i="9"/>
  <c r="AR25" i="9"/>
  <c r="AS30" i="9"/>
  <c r="AP30" i="9"/>
  <c r="AU64" i="9"/>
  <c r="AT64" i="9"/>
  <c r="AM5" i="9"/>
  <c r="Z5" i="9"/>
  <c r="AJ5" i="9" s="1"/>
  <c r="AS45" i="9"/>
  <c r="AP45" i="9"/>
  <c r="AS62" i="9"/>
  <c r="AP62" i="9"/>
  <c r="AU18" i="9"/>
  <c r="AT18" i="9"/>
  <c r="AM80" i="9"/>
  <c r="Z80" i="9"/>
  <c r="AJ80" i="9" s="1"/>
  <c r="AN80" i="9" s="1"/>
  <c r="Z39" i="9"/>
  <c r="AJ39" i="9" s="1"/>
  <c r="Z12" i="9"/>
  <c r="AJ12" i="9" s="1"/>
  <c r="AP77" i="9"/>
  <c r="AS91" i="9"/>
  <c r="AP91" i="9"/>
  <c r="AT39" i="9"/>
  <c r="AU39" i="9"/>
  <c r="AU12" i="9"/>
  <c r="AT12" i="9"/>
  <c r="AS68" i="9"/>
  <c r="AP68" i="9"/>
  <c r="AU51" i="9"/>
  <c r="AT51" i="9"/>
  <c r="AT5" i="9"/>
  <c r="AU5" i="9"/>
  <c r="AR109" i="9"/>
  <c r="AN109" i="9"/>
  <c r="Z26" i="9"/>
  <c r="AJ26" i="9" s="1"/>
  <c r="AU95" i="9"/>
  <c r="AT95" i="9"/>
  <c r="AS52" i="9"/>
  <c r="AP52" i="9"/>
  <c r="AT80" i="9"/>
  <c r="AU80" i="9"/>
  <c r="AU22" i="9"/>
  <c r="AT22" i="9"/>
  <c r="AT66" i="9"/>
  <c r="AU66" i="9"/>
  <c r="AP85" i="9"/>
  <c r="AU26" i="9"/>
  <c r="AT26" i="9"/>
  <c r="AS41" i="9"/>
  <c r="AP41" i="9"/>
  <c r="AP96" i="9"/>
  <c r="BA96" i="9" s="1"/>
  <c r="AR53" i="9"/>
  <c r="AN53" i="9"/>
  <c r="AU15" i="9"/>
  <c r="AT15" i="9"/>
  <c r="AP60" i="9"/>
  <c r="AM22" i="9"/>
  <c r="AP22" i="9" s="1"/>
  <c r="Z22" i="9"/>
  <c r="AJ22" i="9" s="1"/>
  <c r="AU19" i="9"/>
  <c r="AT19" i="9"/>
  <c r="A22" i="9" l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S107" i="9"/>
  <c r="AP107" i="9"/>
  <c r="AS74" i="9"/>
  <c r="AP74" i="9"/>
  <c r="AU228" i="9"/>
  <c r="AT228" i="9"/>
  <c r="AN12" i="9"/>
  <c r="AR12" i="9"/>
  <c r="AJ228" i="9"/>
  <c r="AP5" i="9"/>
  <c r="BA5" i="9" s="1"/>
  <c r="AM228" i="9"/>
  <c r="AP16" i="9"/>
  <c r="BA75" i="9"/>
  <c r="BA9" i="9"/>
  <c r="BA77" i="9"/>
  <c r="BA62" i="9"/>
  <c r="BA45" i="9"/>
  <c r="BA22" i="9"/>
  <c r="BA119" i="9"/>
  <c r="BA10" i="9"/>
  <c r="BA68" i="9"/>
  <c r="BA69" i="9"/>
  <c r="BA30" i="9"/>
  <c r="BA73" i="9"/>
  <c r="BA59" i="9"/>
  <c r="BA94" i="9"/>
  <c r="BA99" i="9"/>
  <c r="BA34" i="9"/>
  <c r="BA18" i="9"/>
  <c r="BA82" i="9"/>
  <c r="BA23" i="9"/>
  <c r="BA15" i="9"/>
  <c r="BA19" i="9"/>
  <c r="BA41" i="9"/>
  <c r="BA39" i="9"/>
  <c r="BA89" i="9"/>
  <c r="BA46" i="9"/>
  <c r="BA60" i="9"/>
  <c r="BA85" i="9"/>
  <c r="BA52" i="9"/>
  <c r="BA93" i="9"/>
  <c r="BA91" i="9"/>
  <c r="BA8" i="9"/>
  <c r="AN72" i="9"/>
  <c r="AS72" i="9" s="1"/>
  <c r="AS67" i="9"/>
  <c r="AP67" i="9"/>
  <c r="AP33" i="9"/>
  <c r="BA33" i="9" s="1"/>
  <c r="AS16" i="9"/>
  <c r="AS83" i="9"/>
  <c r="BA83" i="9" s="1"/>
  <c r="AP112" i="9"/>
  <c r="BA112" i="9" s="1"/>
  <c r="AP63" i="9"/>
  <c r="BA63" i="9" s="1"/>
  <c r="AP44" i="9"/>
  <c r="BA44" i="9" s="1"/>
  <c r="AP49" i="9"/>
  <c r="BA49" i="9" s="1"/>
  <c r="AR51" i="9"/>
  <c r="AP57" i="9"/>
  <c r="BA57" i="9" s="1"/>
  <c r="AP95" i="9"/>
  <c r="BA95" i="9" s="1"/>
  <c r="AP56" i="9"/>
  <c r="BA56" i="9" s="1"/>
  <c r="AN64" i="9"/>
  <c r="AP64" i="9" s="1"/>
  <c r="AN70" i="9"/>
  <c r="AR70" i="9"/>
  <c r="AR66" i="9"/>
  <c r="AS80" i="9"/>
  <c r="AR80" i="9"/>
  <c r="AR26" i="9"/>
  <c r="AN26" i="9"/>
  <c r="AS109" i="9"/>
  <c r="AP109" i="9"/>
  <c r="AS53" i="9"/>
  <c r="AP53" i="9"/>
  <c r="AS66" i="9"/>
  <c r="AP66" i="9"/>
  <c r="AS51" i="9"/>
  <c r="AP51" i="9"/>
  <c r="AS25" i="9"/>
  <c r="AP25" i="9"/>
  <c r="A36" i="9" l="1"/>
  <c r="A37" i="9" s="1"/>
  <c r="A38" i="9" s="1"/>
  <c r="A39" i="9" s="1"/>
  <c r="BA107" i="9"/>
  <c r="BA74" i="9"/>
  <c r="AR228" i="9"/>
  <c r="AS12" i="9"/>
  <c r="AP12" i="9"/>
  <c r="AN228" i="9"/>
  <c r="BA16" i="9"/>
  <c r="BA51" i="9"/>
  <c r="BA25" i="9"/>
  <c r="BA66" i="9"/>
  <c r="BA67" i="9"/>
  <c r="BA53" i="9"/>
  <c r="BA109" i="9"/>
  <c r="AP72" i="9"/>
  <c r="BA72" i="9" s="1"/>
  <c r="AS64" i="9"/>
  <c r="BA64" i="9" s="1"/>
  <c r="AS70" i="9"/>
  <c r="AP70" i="9"/>
  <c r="AP80" i="9"/>
  <c r="BA80" i="9" s="1"/>
  <c r="AS26" i="9"/>
  <c r="AP26" i="9"/>
  <c r="A40" i="9" l="1"/>
  <c r="A41" i="9" s="1"/>
  <c r="A42" i="9" s="1"/>
  <c r="A43" i="9" s="1"/>
  <c r="A44" i="9" s="1"/>
  <c r="A45" i="9" s="1"/>
  <c r="A46" i="9" s="1"/>
  <c r="A47" i="9" s="1"/>
  <c r="A48" i="9" s="1"/>
  <c r="AS228" i="9"/>
  <c r="AP228" i="9"/>
  <c r="BA12" i="9"/>
  <c r="BA70" i="9"/>
  <c r="BA26" i="9"/>
  <c r="A49" i="9" l="1"/>
  <c r="A50" i="9" s="1"/>
  <c r="A51" i="9" s="1"/>
  <c r="A52" i="9" s="1"/>
  <c r="A53" i="9" s="1"/>
  <c r="A54" i="9" s="1"/>
  <c r="BA228" i="9"/>
  <c r="A55" i="9" l="1"/>
  <c r="A56" i="9" s="1"/>
  <c r="A57" i="9" s="1"/>
  <c r="A58" i="9" s="1"/>
  <c r="A59" i="9" l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l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l="1"/>
  <c r="A88" i="9" l="1"/>
  <c r="A89" i="9" s="1"/>
  <c r="A90" i="9" s="1"/>
  <c r="A91" i="9" l="1"/>
  <c r="A92" i="9" s="1"/>
  <c r="A93" i="9" s="1"/>
  <c r="A94" i="9" s="1"/>
  <c r="A95" i="9" s="1"/>
  <c r="A96" i="9" s="1"/>
  <c r="A97" i="9" s="1"/>
  <c r="A98" i="9" s="1"/>
  <c r="A99" i="9" l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D57" i="7"/>
  <c r="A110" i="9" l="1"/>
  <c r="A111" i="9" s="1"/>
  <c r="D65" i="7"/>
  <c r="E65" i="7" s="1"/>
  <c r="D60" i="7"/>
  <c r="E60" i="7" s="1"/>
  <c r="E56" i="7"/>
  <c r="E55" i="7"/>
  <c r="E54" i="7"/>
  <c r="E53" i="7"/>
  <c r="E57" i="7" l="1"/>
  <c r="D64" i="7"/>
  <c r="D59" i="7"/>
  <c r="D62" i="7" s="1"/>
  <c r="A112" i="9" l="1"/>
  <c r="A113" i="9" s="1"/>
  <c r="A114" i="9" s="1"/>
  <c r="A115" i="9" s="1"/>
  <c r="A116" i="9" s="1"/>
  <c r="E59" i="7"/>
  <c r="E62" i="7" s="1"/>
  <c r="E64" i="7"/>
  <c r="E66" i="7" s="1"/>
  <c r="E68" i="7" s="1"/>
  <c r="D66" i="7"/>
  <c r="D68" i="7" s="1"/>
  <c r="A117" i="9" l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E45" i="7"/>
  <c r="E40" i="7"/>
  <c r="E35" i="7"/>
  <c r="E34" i="7"/>
  <c r="E33" i="7"/>
  <c r="A128" i="9" l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l="1"/>
  <c r="A140" i="9" s="1"/>
  <c r="A141" i="9" s="1"/>
  <c r="A142" i="9" l="1"/>
  <c r="E11" i="7"/>
  <c r="E10" i="7"/>
  <c r="E15" i="7"/>
  <c r="A143" i="9" l="1"/>
  <c r="A144" i="9" s="1"/>
  <c r="A145" i="9" s="1"/>
  <c r="A146" i="9" s="1"/>
  <c r="A147" i="9" s="1"/>
  <c r="E20" i="7"/>
  <c r="E8" i="7"/>
  <c r="E9" i="7"/>
  <c r="A148" i="9" l="1"/>
  <c r="A149" i="9" s="1"/>
  <c r="E14" i="7"/>
  <c r="E12" i="7"/>
  <c r="A150" i="9" l="1"/>
  <c r="A151" i="9" s="1"/>
  <c r="A152" i="9" s="1"/>
  <c r="A153" i="9" s="1"/>
  <c r="A154" i="9" s="1"/>
  <c r="A155" i="9" s="1"/>
  <c r="A156" i="9" s="1"/>
  <c r="A157" i="9" s="1"/>
  <c r="A158" i="9" s="1"/>
  <c r="A159" i="9" s="1"/>
  <c r="D17" i="7"/>
  <c r="E17" i="7"/>
  <c r="D21" i="7"/>
  <c r="D23" i="7" s="1"/>
  <c r="E19" i="7"/>
  <c r="E21" i="7" s="1"/>
  <c r="E23" i="7" s="1"/>
  <c r="A160" i="9" l="1"/>
  <c r="A161" i="9" s="1"/>
  <c r="A162" i="9" s="1"/>
  <c r="A163" i="9" s="1"/>
  <c r="A164" i="9" s="1"/>
  <c r="I279" i="2"/>
  <c r="U229" i="9" l="1"/>
  <c r="U230" i="9" s="1"/>
  <c r="A165" i="9" l="1"/>
  <c r="AI230" i="9"/>
  <c r="BA230" i="9"/>
  <c r="BA231" i="9" s="1"/>
  <c r="A166" i="9" l="1"/>
  <c r="A167" i="9" l="1"/>
  <c r="A168" i="9" s="1"/>
  <c r="A169" i="9" l="1"/>
  <c r="A170" i="9" s="1"/>
  <c r="A171" i="9" l="1"/>
  <c r="A172" i="9" l="1"/>
  <c r="A173" i="9" s="1"/>
  <c r="A174" i="9" l="1"/>
  <c r="A175" i="9" s="1"/>
  <c r="A176" i="9" s="1"/>
  <c r="A177" i="9" l="1"/>
  <c r="A178" i="9" s="1"/>
  <c r="A179" i="9" s="1"/>
  <c r="A180" i="9" s="1"/>
  <c r="A181" i="9" s="1"/>
  <c r="A182" i="9" l="1"/>
  <c r="A183" i="9" s="1"/>
  <c r="A184" i="9" s="1"/>
  <c r="A185" i="9" s="1"/>
  <c r="A186" i="9" s="1"/>
  <c r="A187" i="9" s="1"/>
  <c r="A188" i="9" l="1"/>
  <c r="A189" i="9" s="1"/>
  <c r="A190" i="9" s="1"/>
  <c r="A191" i="9" l="1"/>
  <c r="A192" i="9" s="1"/>
  <c r="A193" i="9" s="1"/>
  <c r="A194" i="9" s="1"/>
  <c r="A195" i="9" s="1"/>
  <c r="A196" i="9" l="1"/>
  <c r="A197" i="9" s="1"/>
  <c r="A198" i="9" s="1"/>
  <c r="A199" i="9" s="1"/>
  <c r="A200" i="9" s="1"/>
  <c r="A201" i="9" l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l="1"/>
  <c r="A216" i="9" s="1"/>
  <c r="A217" i="9" s="1"/>
  <c r="A218" i="9" l="1"/>
  <c r="A219" i="9" s="1"/>
  <c r="A220" i="9" s="1"/>
  <c r="A221" i="9" s="1"/>
  <c r="A222" i="9" s="1"/>
  <c r="A223" i="9" s="1"/>
  <c r="A224" i="9" s="1"/>
  <c r="A225" i="9" s="1"/>
  <c r="E36" i="7"/>
  <c r="D37" i="7"/>
  <c r="D44" i="7" l="1"/>
  <c r="D39" i="7"/>
  <c r="E39" i="7" s="1"/>
  <c r="E37" i="7"/>
  <c r="E42" i="7" l="1"/>
  <c r="D46" i="7"/>
  <c r="D48" i="7" s="1"/>
  <c r="E44" i="7"/>
  <c r="E46" i="7" s="1"/>
  <c r="E48" i="7" s="1"/>
  <c r="D42" i="7"/>
</calcChain>
</file>

<file path=xl/sharedStrings.xml><?xml version="1.0" encoding="utf-8"?>
<sst xmlns="http://schemas.openxmlformats.org/spreadsheetml/2006/main" count="3778" uniqueCount="1547">
  <si>
    <t>S. No</t>
  </si>
  <si>
    <t>Employee's id</t>
  </si>
  <si>
    <t>ESIC No.</t>
  </si>
  <si>
    <t>UAN</t>
  </si>
  <si>
    <t>Name</t>
  </si>
  <si>
    <t>Employee's Tpye</t>
  </si>
  <si>
    <t>DOJ</t>
  </si>
  <si>
    <t>DOJ in EPF &amp; ESIC</t>
  </si>
  <si>
    <t>Status</t>
  </si>
  <si>
    <t>Designation</t>
  </si>
  <si>
    <t>Department</t>
  </si>
  <si>
    <t>ESIC Status (Yes/No)</t>
  </si>
  <si>
    <t>EPF (Yes/No)</t>
  </si>
  <si>
    <t>CTC</t>
  </si>
  <si>
    <t>New CTC</t>
  </si>
  <si>
    <t>New Gross After Increment</t>
  </si>
  <si>
    <t>New Basic</t>
  </si>
  <si>
    <t>HRA</t>
  </si>
  <si>
    <t>Total Days in Month</t>
  </si>
  <si>
    <t>Opening Leave Balance</t>
  </si>
  <si>
    <t>Leaves Taken in this month</t>
  </si>
  <si>
    <t>Monthly Leave Received</t>
  </si>
  <si>
    <t xml:space="preserve">Annual Leave </t>
  </si>
  <si>
    <t>Closing Balance - leave</t>
  </si>
  <si>
    <t>Final Payable Days</t>
  </si>
  <si>
    <t>Net CTC</t>
  </si>
  <si>
    <t>Net Gross Salary</t>
  </si>
  <si>
    <t>Net Basic</t>
  </si>
  <si>
    <t>Employer ESIC</t>
  </si>
  <si>
    <t>Employer EPF</t>
  </si>
  <si>
    <t>Other Allowance</t>
  </si>
  <si>
    <t>TDS</t>
  </si>
  <si>
    <t>ESIC Employee Liability</t>
  </si>
  <si>
    <t>ESIC Employer Liability</t>
  </si>
  <si>
    <t>EPF Employee Liability</t>
  </si>
  <si>
    <t>EPF Employer Liability</t>
  </si>
  <si>
    <t>Deduct</t>
  </si>
  <si>
    <t>Bank Name</t>
  </si>
  <si>
    <t>IFS CODE</t>
  </si>
  <si>
    <t>Accounts No.</t>
  </si>
  <si>
    <t>Employee Status Active/LWP/Resigned</t>
  </si>
  <si>
    <t>NA</t>
  </si>
  <si>
    <t>Satyajeet Pandey</t>
  </si>
  <si>
    <t>Payroll</t>
  </si>
  <si>
    <t>Active</t>
  </si>
  <si>
    <t>Management</t>
  </si>
  <si>
    <t>No</t>
  </si>
  <si>
    <t>HDFC</t>
  </si>
  <si>
    <t>Release</t>
  </si>
  <si>
    <t>Nitin Rai</t>
  </si>
  <si>
    <t>Axis</t>
  </si>
  <si>
    <t>UTIB0000723</t>
  </si>
  <si>
    <t>918010032812384</t>
  </si>
  <si>
    <t>IT</t>
  </si>
  <si>
    <t>SBI</t>
  </si>
  <si>
    <t>SBIN0018161</t>
  </si>
  <si>
    <t>Vinod Kumar</t>
  </si>
  <si>
    <t>ICICI</t>
  </si>
  <si>
    <t>ICIC0007218</t>
  </si>
  <si>
    <t>721801500410</t>
  </si>
  <si>
    <t>Narender Singh Bisht</t>
  </si>
  <si>
    <t>Hold</t>
  </si>
  <si>
    <t>LWP</t>
  </si>
  <si>
    <t>Yes</t>
  </si>
  <si>
    <t>UTIB0003873</t>
  </si>
  <si>
    <t>Rakesh Kumar</t>
  </si>
  <si>
    <t>55157328150</t>
  </si>
  <si>
    <t>Amit Singh Tivita</t>
  </si>
  <si>
    <t>918010075292851</t>
  </si>
  <si>
    <t>HR</t>
  </si>
  <si>
    <t>AXIS</t>
  </si>
  <si>
    <t>Sunil Kumar Dubey</t>
  </si>
  <si>
    <t>55151491984</t>
  </si>
  <si>
    <t>Pramod Kumar</t>
  </si>
  <si>
    <t>100778982990</t>
  </si>
  <si>
    <t>Ramashanker Singh</t>
  </si>
  <si>
    <t>721801500339</t>
  </si>
  <si>
    <t>Rishab Ojha</t>
  </si>
  <si>
    <t>55157333895</t>
  </si>
  <si>
    <t>100779344907</t>
  </si>
  <si>
    <t>Vinay Rai</t>
  </si>
  <si>
    <t>55157329197</t>
  </si>
  <si>
    <t>101362805267</t>
  </si>
  <si>
    <t>Prem Singh</t>
  </si>
  <si>
    <t>101413373342</t>
  </si>
  <si>
    <t>Anis</t>
  </si>
  <si>
    <t>919010002002899</t>
  </si>
  <si>
    <t>101413373357</t>
  </si>
  <si>
    <t>Durga Kumar</t>
  </si>
  <si>
    <t>919010002004552</t>
  </si>
  <si>
    <t>101243036067</t>
  </si>
  <si>
    <t>Manoj Kumar Paswan</t>
  </si>
  <si>
    <t>918010065150916</t>
  </si>
  <si>
    <t>ICIC0000253</t>
  </si>
  <si>
    <t>Total Days</t>
  </si>
  <si>
    <t>Leaves Taken</t>
  </si>
  <si>
    <t>Earn leave</t>
  </si>
  <si>
    <t>Working Days</t>
  </si>
  <si>
    <t>Total Salary</t>
  </si>
  <si>
    <t>Trainee</t>
  </si>
  <si>
    <t>Total</t>
  </si>
  <si>
    <t>New Joining</t>
  </si>
  <si>
    <t>Increment</t>
  </si>
  <si>
    <t>Salary Status</t>
  </si>
  <si>
    <t>Annual Leave</t>
  </si>
  <si>
    <t>Contact Number</t>
  </si>
  <si>
    <t>UTIB0003982</t>
  </si>
  <si>
    <t>PNB</t>
  </si>
  <si>
    <t>65100065744</t>
  </si>
  <si>
    <t>UTIB0000624</t>
  </si>
  <si>
    <t>Allocation</t>
  </si>
  <si>
    <t>Ravi sharma</t>
  </si>
  <si>
    <t>Rejoin</t>
  </si>
  <si>
    <t>Total Employee</t>
  </si>
  <si>
    <t>kotak</t>
  </si>
  <si>
    <t>0512001500369738</t>
  </si>
  <si>
    <t>PUNB0051200</t>
  </si>
  <si>
    <t xml:space="preserve">SALARY STRUCTURE </t>
  </si>
  <si>
    <t>Salary Components</t>
  </si>
  <si>
    <t>Amount
(Rs. PM)</t>
  </si>
  <si>
    <t>Amount
(Rs. PA)</t>
  </si>
  <si>
    <t>Basic</t>
  </si>
  <si>
    <t>Conveyance Allowances</t>
  </si>
  <si>
    <t>Gross Salary P.M.</t>
  </si>
  <si>
    <t>Company's Contribution to ESIC</t>
  </si>
  <si>
    <t>Company's Contribution to PF</t>
  </si>
  <si>
    <t>Total Cost to Company</t>
  </si>
  <si>
    <t>Employees Contribution to ESIC</t>
  </si>
  <si>
    <t>Employees Contribution to PF</t>
  </si>
  <si>
    <t>Total Deducation</t>
  </si>
  <si>
    <t>In Hand Salary</t>
  </si>
  <si>
    <t>Employee Status</t>
  </si>
  <si>
    <t xml:space="preserve">Last month Salary </t>
  </si>
  <si>
    <t>Last Month Salary/Conv.</t>
  </si>
  <si>
    <t>BOB</t>
  </si>
  <si>
    <t>Atul Kumar</t>
  </si>
  <si>
    <t>Remarks</t>
  </si>
  <si>
    <t>SBIN0002296</t>
  </si>
  <si>
    <t>YES BANK</t>
  </si>
  <si>
    <t>INDIAN BANK</t>
  </si>
  <si>
    <t>Canera</t>
  </si>
  <si>
    <t>920010048575265</t>
  </si>
  <si>
    <t>yes</t>
  </si>
  <si>
    <t>Aditya Maurya</t>
  </si>
  <si>
    <t>OTHER</t>
  </si>
  <si>
    <t>Total Paybale Salary</t>
  </si>
  <si>
    <t>025301613420</t>
  </si>
  <si>
    <t>CNRB0018230</t>
  </si>
  <si>
    <t>101652618425</t>
  </si>
  <si>
    <t>Working Day</t>
  </si>
  <si>
    <t>UTIB0004618</t>
  </si>
  <si>
    <t>Vikas Gautam</t>
  </si>
  <si>
    <t>Gross</t>
  </si>
  <si>
    <t>Ravi Kumar</t>
  </si>
  <si>
    <t>Sandeep</t>
  </si>
  <si>
    <t>100694247769</t>
  </si>
  <si>
    <t>1538000101713433</t>
  </si>
  <si>
    <t>KKBK0000205</t>
  </si>
  <si>
    <t>PUNB0153800</t>
  </si>
  <si>
    <t>101685542453</t>
  </si>
  <si>
    <t>101685542424</t>
  </si>
  <si>
    <t>101685542476</t>
  </si>
  <si>
    <t>PAN CARD</t>
  </si>
  <si>
    <t>APZPP6148L</t>
  </si>
  <si>
    <t>AFKPR7468C</t>
  </si>
  <si>
    <t>BVWPK8638L</t>
  </si>
  <si>
    <t>AXSPB8547L</t>
  </si>
  <si>
    <t>BWXPK7428J</t>
  </si>
  <si>
    <t>ATFPT7500G</t>
  </si>
  <si>
    <t>BFSPD9912C</t>
  </si>
  <si>
    <t>BYHPK8903L</t>
  </si>
  <si>
    <t>DWPPS8047P</t>
  </si>
  <si>
    <t>ACJPO3271A</t>
  </si>
  <si>
    <t>AQJPV5381Q</t>
  </si>
  <si>
    <t>ITIPS3872K</t>
  </si>
  <si>
    <t>CXJPA7295R</t>
  </si>
  <si>
    <t xml:space="preserve">JOSPK5195H </t>
  </si>
  <si>
    <t>DLQPM6910K</t>
  </si>
  <si>
    <t>COXPG5994N</t>
  </si>
  <si>
    <t>EZLPK8378H</t>
  </si>
  <si>
    <t>GGOPS0354H</t>
  </si>
  <si>
    <t>DMAPS0832M</t>
  </si>
  <si>
    <t>Anubhav Bhatt</t>
  </si>
  <si>
    <t>Anamika Kumari</t>
  </si>
  <si>
    <t>Anjali Rai</t>
  </si>
  <si>
    <t>Sandeep Sharma</t>
  </si>
  <si>
    <t>Jayantika Chandak</t>
  </si>
  <si>
    <t>101705717501</t>
  </si>
  <si>
    <t>101708979384</t>
  </si>
  <si>
    <t>DEUPB1809H</t>
  </si>
  <si>
    <t>KJZPK3619B</t>
  </si>
  <si>
    <t>EZPPR0735H</t>
  </si>
  <si>
    <t>CDLPC3518D</t>
  </si>
  <si>
    <t>UTIB0000361</t>
  </si>
  <si>
    <t>UTIB0004770</t>
  </si>
  <si>
    <t>3873001500071878</t>
  </si>
  <si>
    <t>PUNB0387300</t>
  </si>
  <si>
    <t>Akash</t>
  </si>
  <si>
    <t>101619164545</t>
  </si>
  <si>
    <t>101542965849</t>
  </si>
  <si>
    <t>Nitin Saxena</t>
  </si>
  <si>
    <t>918010086018323</t>
  </si>
  <si>
    <t>UTIB0000022</t>
  </si>
  <si>
    <t>82302200125027</t>
  </si>
  <si>
    <t>101725357762</t>
  </si>
  <si>
    <t>101070702930</t>
  </si>
  <si>
    <t>DTQPA8526K</t>
  </si>
  <si>
    <t>IBGPS5339B</t>
  </si>
  <si>
    <t>ECNPK2696K</t>
  </si>
  <si>
    <t>UTIB0001744</t>
  </si>
  <si>
    <t>UTIB0001788</t>
  </si>
  <si>
    <t>39737666282</t>
  </si>
  <si>
    <t>921010020570252</t>
  </si>
  <si>
    <t>SBIN0000062</t>
  </si>
  <si>
    <t>34037159738</t>
  </si>
  <si>
    <t>101376357547</t>
  </si>
  <si>
    <t>EYIPR8183K</t>
  </si>
  <si>
    <t>SBIN0010079</t>
  </si>
  <si>
    <t>SBIN0016740</t>
  </si>
  <si>
    <t>Dharam Raj Singh</t>
  </si>
  <si>
    <t>Mahendra Singh</t>
  </si>
  <si>
    <t>Yuvan Singh</t>
  </si>
  <si>
    <t>101753671453</t>
  </si>
  <si>
    <t>BCHPY6809F</t>
  </si>
  <si>
    <t>GMGPS2189G</t>
  </si>
  <si>
    <t>DLBPS3712N</t>
  </si>
  <si>
    <t>SBIN0008949</t>
  </si>
  <si>
    <t>025301592977</t>
  </si>
  <si>
    <t>38821685229</t>
  </si>
  <si>
    <t>100778958981</t>
  </si>
  <si>
    <t>100779126883</t>
  </si>
  <si>
    <t>100778859803</t>
  </si>
  <si>
    <t>100497803115</t>
  </si>
  <si>
    <t>6720246898</t>
  </si>
  <si>
    <t>6720450005</t>
  </si>
  <si>
    <t>Deepak Rawat</t>
  </si>
  <si>
    <t>Sahil Jain</t>
  </si>
  <si>
    <t>Rahul Rastogi</t>
  </si>
  <si>
    <t>CIQPR8577K</t>
  </si>
  <si>
    <t>AJCPJ2969C</t>
  </si>
  <si>
    <t>BCDPR7691Q</t>
  </si>
  <si>
    <t>100483735840</t>
  </si>
  <si>
    <t>101454923718</t>
  </si>
  <si>
    <t>101215178032</t>
  </si>
  <si>
    <t>101739614421</t>
  </si>
  <si>
    <t>DBWPS8079B</t>
  </si>
  <si>
    <t>CJAPA8065L</t>
  </si>
  <si>
    <t>Akshay</t>
  </si>
  <si>
    <t>IDFC</t>
  </si>
  <si>
    <t>Aditya kumar Jha</t>
  </si>
  <si>
    <t>HDFC0002649</t>
  </si>
  <si>
    <t>KKBK0000180</t>
  </si>
  <si>
    <t>6611253378</t>
  </si>
  <si>
    <t>918010019993774</t>
  </si>
  <si>
    <t>36498694062</t>
  </si>
  <si>
    <t>Ritesh Kumar Srivastava</t>
  </si>
  <si>
    <t>100778881769</t>
  </si>
  <si>
    <t>100098879253</t>
  </si>
  <si>
    <t>101710797328</t>
  </si>
  <si>
    <t>100779293668</t>
  </si>
  <si>
    <t>100617578118</t>
  </si>
  <si>
    <t>101772329840</t>
  </si>
  <si>
    <t>100214077563</t>
  </si>
  <si>
    <t>5946089225</t>
  </si>
  <si>
    <t>921010051532481</t>
  </si>
  <si>
    <t>KKBK0005030</t>
  </si>
  <si>
    <t>918010040573758</t>
  </si>
  <si>
    <t>915010020420291</t>
  </si>
  <si>
    <t>Abhishek Kumar</t>
  </si>
  <si>
    <t>DURPK5305Q</t>
  </si>
  <si>
    <t>GXVPK3183E</t>
  </si>
  <si>
    <t>101407376405</t>
  </si>
  <si>
    <t>101251278202</t>
  </si>
  <si>
    <t>085701513680</t>
  </si>
  <si>
    <t>ICIC0000857</t>
  </si>
  <si>
    <t>Lokesh</t>
  </si>
  <si>
    <t>Fouziya</t>
  </si>
  <si>
    <t>Jitendra</t>
  </si>
  <si>
    <t>Jitendra Singh</t>
  </si>
  <si>
    <t>101175572116</t>
  </si>
  <si>
    <t>101015106411</t>
  </si>
  <si>
    <t>Shiv Kumar</t>
  </si>
  <si>
    <t>Ashish Mishra</t>
  </si>
  <si>
    <t>BEBPK1320M</t>
  </si>
  <si>
    <t>ANEPM2723P</t>
  </si>
  <si>
    <t>50100189711151</t>
  </si>
  <si>
    <t>HDFC0000088</t>
  </si>
  <si>
    <t>922010002299181</t>
  </si>
  <si>
    <t>Pramod Kumar Tiwari</t>
  </si>
  <si>
    <t>919010041030899</t>
  </si>
  <si>
    <t>101800767825</t>
  </si>
  <si>
    <t>UBIN0811491</t>
  </si>
  <si>
    <t>NO</t>
  </si>
  <si>
    <t>Jitendra Kumar Pal</t>
  </si>
  <si>
    <t>Prahlad Singh</t>
  </si>
  <si>
    <t>101308041428</t>
  </si>
  <si>
    <t>DBVPP3243R</t>
  </si>
  <si>
    <t>101354131710</t>
  </si>
  <si>
    <t>CVDPS5351N</t>
  </si>
  <si>
    <t>GMZPP7563L</t>
  </si>
  <si>
    <t>CDRPS7774K</t>
  </si>
  <si>
    <t>CTMPK4218D</t>
  </si>
  <si>
    <t>OSYPS8652E</t>
  </si>
  <si>
    <t>AVFPT6944C</t>
  </si>
  <si>
    <t>101511595010</t>
  </si>
  <si>
    <t>CFJPJ9333R</t>
  </si>
  <si>
    <t>Sales</t>
  </si>
  <si>
    <t>Accounts</t>
  </si>
  <si>
    <t>114910100008832</t>
  </si>
  <si>
    <t>HDFC0003940</t>
  </si>
  <si>
    <t>921010020569841</t>
  </si>
  <si>
    <t>UnI</t>
  </si>
  <si>
    <t>921010057242104</t>
  </si>
  <si>
    <t>101817142508</t>
  </si>
  <si>
    <t>Ajaz Ahmad</t>
  </si>
  <si>
    <t>Omnath Jha</t>
  </si>
  <si>
    <t>100426891841</t>
  </si>
  <si>
    <t>100098036055</t>
  </si>
  <si>
    <t>101631750364</t>
  </si>
  <si>
    <t>DXMPK2256L</t>
  </si>
  <si>
    <t>ANYPA4035C</t>
  </si>
  <si>
    <t>CCXPJ9770P</t>
  </si>
  <si>
    <t>101651930178</t>
  </si>
  <si>
    <t>Harshita Tiwari</t>
  </si>
  <si>
    <t>BYUPT1476L</t>
  </si>
  <si>
    <t>BARB0BUPGBX</t>
  </si>
  <si>
    <t>313312080001138</t>
  </si>
  <si>
    <t>IDFB0021331</t>
  </si>
  <si>
    <t>SBIN0016173</t>
  </si>
  <si>
    <t>33933796642</t>
  </si>
  <si>
    <t>ICIC0001023</t>
  </si>
  <si>
    <t>102301532905</t>
  </si>
  <si>
    <t>Trainees Amount</t>
  </si>
  <si>
    <t>Increment Date</t>
  </si>
  <si>
    <t>Aditya Anand</t>
  </si>
  <si>
    <t>Hina Naj</t>
  </si>
  <si>
    <t>S.No</t>
  </si>
  <si>
    <t>Opening(Loan &amp; Advance)</t>
  </si>
  <si>
    <t>Balance(Loan &amp; Advance)</t>
  </si>
  <si>
    <t>Total CTC</t>
  </si>
  <si>
    <t>CTC(Payroll)</t>
  </si>
  <si>
    <t>CTC(Trainee)</t>
  </si>
  <si>
    <t>101781691658</t>
  </si>
  <si>
    <t>101837809396</t>
  </si>
  <si>
    <t>922010021757880</t>
  </si>
  <si>
    <t>Jagrit Vashista</t>
  </si>
  <si>
    <t>Ajay Pratap Singh</t>
  </si>
  <si>
    <t>Shivam Gupta</t>
  </si>
  <si>
    <t>Vishwas Sahu</t>
  </si>
  <si>
    <t>10077762783</t>
  </si>
  <si>
    <t>IDFB0021001</t>
  </si>
  <si>
    <t>INDB0000005</t>
  </si>
  <si>
    <t>39172408811</t>
  </si>
  <si>
    <t>SYNDICATE</t>
  </si>
  <si>
    <t>101852715065</t>
  </si>
  <si>
    <t>101422115362</t>
  </si>
  <si>
    <t>101419115803</t>
  </si>
  <si>
    <t>101256209502</t>
  </si>
  <si>
    <t>Gaurav Vishwakarma</t>
  </si>
  <si>
    <t>Shivam Mishra</t>
  </si>
  <si>
    <t>Sakshi Choudhary</t>
  </si>
  <si>
    <t>Jayant Diwakar</t>
  </si>
  <si>
    <t>Akash Kumar</t>
  </si>
  <si>
    <t>Sahiba Parveen</t>
  </si>
  <si>
    <t>Sachin Dubey</t>
  </si>
  <si>
    <t>6721384883</t>
  </si>
  <si>
    <t>14560100009862</t>
  </si>
  <si>
    <t>921010044666742</t>
  </si>
  <si>
    <t>PUNB0794700</t>
  </si>
  <si>
    <t>7947000100051697</t>
  </si>
  <si>
    <t>UTIB0003666</t>
  </si>
  <si>
    <t>922010030798175</t>
  </si>
  <si>
    <t>SBIN0000170</t>
  </si>
  <si>
    <t>41060133105</t>
  </si>
  <si>
    <t>922010037620068</t>
  </si>
  <si>
    <t>922010037614351</t>
  </si>
  <si>
    <t>922010021758038</t>
  </si>
  <si>
    <t>101863588256</t>
  </si>
  <si>
    <t>101753650777</t>
  </si>
  <si>
    <t>101831616236</t>
  </si>
  <si>
    <t>101863517341</t>
  </si>
  <si>
    <t>101863524390</t>
  </si>
  <si>
    <t>101863579572</t>
  </si>
  <si>
    <t>Tanu Shree</t>
  </si>
  <si>
    <t>Jyoti Maurya</t>
  </si>
  <si>
    <t>CNRB0002807</t>
  </si>
  <si>
    <t>88952210016010</t>
  </si>
  <si>
    <t>101877044757</t>
  </si>
  <si>
    <t>Operations</t>
  </si>
  <si>
    <t>YEs</t>
  </si>
  <si>
    <t>Final Payable Amount</t>
  </si>
  <si>
    <t>Final Payable</t>
  </si>
  <si>
    <t>6721636486</t>
  </si>
  <si>
    <t>AXIS BANK</t>
  </si>
  <si>
    <t>HDFC BANK</t>
  </si>
  <si>
    <t>BARB0ROBERT</t>
  </si>
  <si>
    <t>25160100012094</t>
  </si>
  <si>
    <t>BARB0HALNAV</t>
  </si>
  <si>
    <t>18490100018358</t>
  </si>
  <si>
    <t>922010037614294</t>
  </si>
  <si>
    <t>YESB0000656</t>
  </si>
  <si>
    <t>065691900013090</t>
  </si>
  <si>
    <t>101844069293</t>
  </si>
  <si>
    <t>101894353287</t>
  </si>
  <si>
    <t>101894382929</t>
  </si>
  <si>
    <t>Deepak Kumar</t>
  </si>
  <si>
    <t>Sudipta Jana</t>
  </si>
  <si>
    <t>Pawan Kumar</t>
  </si>
  <si>
    <t>Shreya Raghuvanshi</t>
  </si>
  <si>
    <t>Rahul Acharya</t>
  </si>
  <si>
    <t>922010058166871</t>
  </si>
  <si>
    <t>Priyanka Sengar</t>
  </si>
  <si>
    <t>YES</t>
  </si>
  <si>
    <t>Mukta Srivastava</t>
  </si>
  <si>
    <t>LIOPI</t>
  </si>
  <si>
    <t>101903239636</t>
  </si>
  <si>
    <t>Last working day</t>
  </si>
  <si>
    <t>ANDHARA BANK</t>
  </si>
  <si>
    <t>169510100123885</t>
  </si>
  <si>
    <t>ABSCOND</t>
  </si>
  <si>
    <t>IDFC FIRST BANK</t>
  </si>
  <si>
    <t>BKID0007109</t>
  </si>
  <si>
    <t>101914015748</t>
  </si>
  <si>
    <t>101250078565</t>
  </si>
  <si>
    <t>UNION BANK</t>
  </si>
  <si>
    <t>BANK OF BARODA</t>
  </si>
  <si>
    <t>Shivam Yadav</t>
  </si>
  <si>
    <t>AHDPF5872D</t>
  </si>
  <si>
    <t>CCGPA6331L</t>
  </si>
  <si>
    <t>KYFPK0987P</t>
  </si>
  <si>
    <t>CFJPV2336G</t>
  </si>
  <si>
    <t>DTBPR1458G</t>
  </si>
  <si>
    <t>CKKPA1919A</t>
  </si>
  <si>
    <t>CNOPN9278G</t>
  </si>
  <si>
    <t>FJAPM9939J</t>
  </si>
  <si>
    <t>CPIPC5934A</t>
  </si>
  <si>
    <t>BUYPD5019F</t>
  </si>
  <si>
    <t>KAUPK6329G</t>
  </si>
  <si>
    <t>GMFPP9200N</t>
  </si>
  <si>
    <t>BPRPD3586F</t>
  </si>
  <si>
    <t>MWLPS5453E</t>
  </si>
  <si>
    <t>BVWPV1722Q</t>
  </si>
  <si>
    <t>IVEPS6689L</t>
  </si>
  <si>
    <t>GEZPM3268D</t>
  </si>
  <si>
    <t>Abhishek Kamti</t>
  </si>
  <si>
    <t>CANARA BANK</t>
  </si>
  <si>
    <t>KOTAK MAHINDRA BANK</t>
  </si>
  <si>
    <t>3411893155</t>
  </si>
  <si>
    <t>UBIN0816957</t>
  </si>
  <si>
    <t>BARB0KOTABA</t>
  </si>
  <si>
    <t>PDAPS4471K</t>
  </si>
  <si>
    <t>CWWPS9236E</t>
  </si>
  <si>
    <t>Neeraj Pargai</t>
  </si>
  <si>
    <t>101528650587</t>
  </si>
  <si>
    <t>Tagging</t>
  </si>
  <si>
    <t>ICICI BANK</t>
  </si>
  <si>
    <t>39428711217</t>
  </si>
  <si>
    <t>101575717682</t>
  </si>
  <si>
    <t>PPKPS5167A</t>
  </si>
  <si>
    <t>6720881753</t>
  </si>
  <si>
    <t>ICIC0001070</t>
  </si>
  <si>
    <t>107001549353</t>
  </si>
  <si>
    <t>101591617127</t>
  </si>
  <si>
    <t>101955788112</t>
  </si>
  <si>
    <t>Mohit Kumar</t>
  </si>
  <si>
    <t>Vimal Bhardwaj</t>
  </si>
  <si>
    <t>Ankit Negi</t>
  </si>
  <si>
    <t>6720373644</t>
  </si>
  <si>
    <t>DPOPK6199Q</t>
  </si>
  <si>
    <t>YESB0000704</t>
  </si>
  <si>
    <t>070491800015090</t>
  </si>
  <si>
    <t>UNION BANK OF INDIA</t>
  </si>
  <si>
    <t>005701537368</t>
  </si>
  <si>
    <t>CNRB0018907</t>
  </si>
  <si>
    <t>89072010011865</t>
  </si>
  <si>
    <t>FDDPS2965F</t>
  </si>
  <si>
    <t>101247838452</t>
  </si>
  <si>
    <t>101039339380</t>
  </si>
  <si>
    <t>101339499934</t>
  </si>
  <si>
    <t>FGAPP6238N</t>
  </si>
  <si>
    <t>EDTPG7916R</t>
  </si>
  <si>
    <t>LZDPS2287N</t>
  </si>
  <si>
    <t>AOCPB2319F</t>
  </si>
  <si>
    <t>Gayatri</t>
  </si>
  <si>
    <t>Vishal Tiwari</t>
  </si>
  <si>
    <t>Sandeep Kumar</t>
  </si>
  <si>
    <t>Ashvani Maurya</t>
  </si>
  <si>
    <t>Gautam Kashyap</t>
  </si>
  <si>
    <t>Bhawana</t>
  </si>
  <si>
    <t>Kashyab Pran Batchya</t>
  </si>
  <si>
    <t>6722399631</t>
  </si>
  <si>
    <t>6721469821</t>
  </si>
  <si>
    <t>6722429210</t>
  </si>
  <si>
    <t>6721799003</t>
  </si>
  <si>
    <t>IFSC CODE :- PUNB0366500</t>
  </si>
  <si>
    <t>ACC NO :- 3665001700073619</t>
  </si>
  <si>
    <t>name :- Kumari Arti</t>
  </si>
  <si>
    <t>bank :- PUnjab national Bank</t>
  </si>
  <si>
    <t>PLS SHARE to sachin</t>
  </si>
  <si>
    <t>101971963059</t>
  </si>
  <si>
    <t>101876353808</t>
  </si>
  <si>
    <t>101637873540</t>
  </si>
  <si>
    <t>101823689789</t>
  </si>
  <si>
    <t>101620631473</t>
  </si>
  <si>
    <t>DHEPG0868J</t>
  </si>
  <si>
    <t>BXCPT9740E</t>
  </si>
  <si>
    <t>CMOPM5702R</t>
  </si>
  <si>
    <t>IRNPK2121L</t>
  </si>
  <si>
    <t>FHRPB7730K</t>
  </si>
  <si>
    <t>922010025812174</t>
  </si>
  <si>
    <t>PUNB0393300</t>
  </si>
  <si>
    <t>3933001500005867</t>
  </si>
  <si>
    <t>HDFC0000975</t>
  </si>
  <si>
    <t>ICIC0000720</t>
  </si>
  <si>
    <t>072001521740</t>
  </si>
  <si>
    <t>10085858591</t>
  </si>
  <si>
    <t>50100518198945</t>
  </si>
  <si>
    <t>SBI BANK</t>
  </si>
  <si>
    <t>SBIN0010176</t>
  </si>
  <si>
    <t>30221267370</t>
  </si>
  <si>
    <t>Paras Dhariyal</t>
  </si>
  <si>
    <t>Sudhanshu Kumar</t>
  </si>
  <si>
    <t>Abhishek Dhyani</t>
  </si>
  <si>
    <t>Priya Pokhariya</t>
  </si>
  <si>
    <t>Deepak Kumar Mahato</t>
  </si>
  <si>
    <t>PUNJAB NATIONAL BANK</t>
  </si>
  <si>
    <t>HPJPM4492F</t>
  </si>
  <si>
    <t>SBIN0005785</t>
  </si>
  <si>
    <t>41205367609</t>
  </si>
  <si>
    <t>GUSPK1386P</t>
  </si>
  <si>
    <t>ICIC0003343</t>
  </si>
  <si>
    <t>431701501184</t>
  </si>
  <si>
    <t>BANK OF INDIA</t>
  </si>
  <si>
    <t>PUNB0370200</t>
  </si>
  <si>
    <t/>
  </si>
  <si>
    <t>101472769125</t>
  </si>
  <si>
    <t>101506577543</t>
  </si>
  <si>
    <t>101983618721</t>
  </si>
  <si>
    <t>6722487576</t>
  </si>
  <si>
    <t>6722499692</t>
  </si>
  <si>
    <t>6722551456</t>
  </si>
  <si>
    <t>2169108006173</t>
  </si>
  <si>
    <t>CNRB0002169</t>
  </si>
  <si>
    <t>STATE BANK OF INDIA</t>
  </si>
  <si>
    <t>SBIN0014140</t>
  </si>
  <si>
    <t>42028666148</t>
  </si>
  <si>
    <t>101371370018</t>
  </si>
  <si>
    <t>Ankit Kumar Singh</t>
  </si>
  <si>
    <t>SBIN0002970</t>
  </si>
  <si>
    <t>39165664080</t>
  </si>
  <si>
    <t>SBIN0006656</t>
  </si>
  <si>
    <t>35182216401</t>
  </si>
  <si>
    <t>indusind bank</t>
  </si>
  <si>
    <t>Alok Singh</t>
  </si>
  <si>
    <t>Atish Subhash Chalke</t>
  </si>
  <si>
    <t>Ashish Gupta</t>
  </si>
  <si>
    <t>Ashutosh</t>
  </si>
  <si>
    <t>Himanashu</t>
  </si>
  <si>
    <t>Akash Mishra</t>
  </si>
  <si>
    <t xml:space="preserve">Ashwani Malik  </t>
  </si>
  <si>
    <t>Vipin Kumar</t>
  </si>
  <si>
    <t>Avinash Maurya</t>
  </si>
  <si>
    <t>Brijesh Kumar Yadav</t>
  </si>
  <si>
    <t>923010051747757</t>
  </si>
  <si>
    <t>COHPB7761Q</t>
  </si>
  <si>
    <t>IDFB0020151</t>
  </si>
  <si>
    <t>FVEPM6517A</t>
  </si>
  <si>
    <t>YESB0000382</t>
  </si>
  <si>
    <t>038291900002881</t>
  </si>
  <si>
    <t>JNMPK3224G</t>
  </si>
  <si>
    <t>KKBK0000181</t>
  </si>
  <si>
    <t>FTXPM1734E</t>
  </si>
  <si>
    <t>HDFC0004872</t>
  </si>
  <si>
    <t>50100313204433</t>
  </si>
  <si>
    <t>9545711198</t>
  </si>
  <si>
    <t>EKHPR2487B</t>
  </si>
  <si>
    <t>BXLPG7103F</t>
  </si>
  <si>
    <t>ANOPC6713H</t>
  </si>
  <si>
    <t>IUGPK0450N</t>
  </si>
  <si>
    <t>ATPPY9561Q</t>
  </si>
  <si>
    <t>IDBI BANK</t>
  </si>
  <si>
    <t>710910510001209</t>
  </si>
  <si>
    <t>IBKL0001173</t>
  </si>
  <si>
    <t>1173104000017967</t>
  </si>
  <si>
    <t>101057014029</t>
  </si>
  <si>
    <t>KKBK0004584</t>
  </si>
  <si>
    <t>Axis Bank</t>
  </si>
  <si>
    <t>923010051747795</t>
  </si>
  <si>
    <t>923010064018211</t>
  </si>
  <si>
    <t>Deepanshu</t>
  </si>
  <si>
    <t xml:space="preserve">AXIS BANK </t>
  </si>
  <si>
    <t>923010064018428</t>
  </si>
  <si>
    <t xml:space="preserve">Naveen Sharma  </t>
  </si>
  <si>
    <t>Archit Sharma</t>
  </si>
  <si>
    <t>HTIPP0709R</t>
  </si>
  <si>
    <t>HLTPD0179Q</t>
  </si>
  <si>
    <t>SBIN0003245</t>
  </si>
  <si>
    <t>34530474667</t>
  </si>
  <si>
    <t>KMVPS9818D</t>
  </si>
  <si>
    <t>UTIB0001600</t>
  </si>
  <si>
    <t>922010034182015</t>
  </si>
  <si>
    <t>RBGPS2415M</t>
  </si>
  <si>
    <t>100201761073</t>
  </si>
  <si>
    <t>101798667041</t>
  </si>
  <si>
    <t>101775499826</t>
  </si>
  <si>
    <t>101803690886</t>
  </si>
  <si>
    <t>101577028754</t>
  </si>
  <si>
    <t>101669994028</t>
  </si>
  <si>
    <t>102010660686</t>
  </si>
  <si>
    <t>102011068751</t>
  </si>
  <si>
    <t>101631115390</t>
  </si>
  <si>
    <t>101735119272</t>
  </si>
  <si>
    <t>102016512784</t>
  </si>
  <si>
    <t>101298252751</t>
  </si>
  <si>
    <t>101298252428</t>
  </si>
  <si>
    <t>102016512807</t>
  </si>
  <si>
    <t>6722712184</t>
  </si>
  <si>
    <t>6722712290</t>
  </si>
  <si>
    <t>6720888371</t>
  </si>
  <si>
    <t>6721304787</t>
  </si>
  <si>
    <t>6720492480</t>
  </si>
  <si>
    <t>6719685358</t>
  </si>
  <si>
    <t>6722779523</t>
  </si>
  <si>
    <t>6722806127</t>
  </si>
  <si>
    <t>ICIC0001580</t>
  </si>
  <si>
    <t>025301613422</t>
  </si>
  <si>
    <t>Chirag Verma</t>
  </si>
  <si>
    <t>Arunima Singh</t>
  </si>
  <si>
    <t>NEWPS0099C</t>
  </si>
  <si>
    <t>102015802271</t>
  </si>
  <si>
    <t>IDIB000G616</t>
  </si>
  <si>
    <t>59054753715</t>
  </si>
  <si>
    <t>KKBK0005032</t>
  </si>
  <si>
    <t>9012890265</t>
  </si>
  <si>
    <t>101772661460</t>
  </si>
  <si>
    <t>6154000100085367</t>
  </si>
  <si>
    <t>102018749813</t>
  </si>
  <si>
    <t>Devendra Kumar</t>
  </si>
  <si>
    <t>Kavitha Koti</t>
  </si>
  <si>
    <t>Cab Deduction</t>
  </si>
  <si>
    <t>100117988038</t>
  </si>
  <si>
    <t>INQPK4327B</t>
  </si>
  <si>
    <t>ICIC0006307</t>
  </si>
  <si>
    <t>6722906546</t>
  </si>
  <si>
    <t>6720734032</t>
  </si>
  <si>
    <t>6721524706</t>
  </si>
  <si>
    <t>923010063969837</t>
  </si>
  <si>
    <t>SBIN0002537</t>
  </si>
  <si>
    <t>31913518095</t>
  </si>
  <si>
    <t>102018747807</t>
  </si>
  <si>
    <t>101607310093</t>
  </si>
  <si>
    <t>101390096010</t>
  </si>
  <si>
    <t xml:space="preserve">55550106050527 </t>
  </si>
  <si>
    <t xml:space="preserve">FDRL0005555 </t>
  </si>
  <si>
    <t>FEDREL BANK</t>
  </si>
  <si>
    <t>Sachin Kumar</t>
  </si>
  <si>
    <t>Insurance</t>
  </si>
  <si>
    <t>Siddhartha Sharma</t>
  </si>
  <si>
    <t>Mohit Shishodia</t>
  </si>
  <si>
    <t>IDFC BANK</t>
  </si>
  <si>
    <t>10027962464</t>
  </si>
  <si>
    <t>CNRB0018798</t>
  </si>
  <si>
    <t>110001141578</t>
  </si>
  <si>
    <t>CNRB0002224</t>
  </si>
  <si>
    <t>2224108014948</t>
  </si>
  <si>
    <t>Abhishek Shrivastava</t>
  </si>
  <si>
    <t>Abhijeet Das</t>
  </si>
  <si>
    <t>Saket Jain</t>
  </si>
  <si>
    <t>Amit Verma</t>
  </si>
  <si>
    <t>919010012531468</t>
  </si>
  <si>
    <t>MSAPS9360M</t>
  </si>
  <si>
    <t>BVRPJ0630E</t>
  </si>
  <si>
    <t>7748169389</t>
  </si>
  <si>
    <t>BMTPV5345P</t>
  </si>
  <si>
    <t>921010008318504</t>
  </si>
  <si>
    <t>Ankush kumar</t>
  </si>
  <si>
    <t>6723281098</t>
  </si>
  <si>
    <t>6723328474</t>
  </si>
  <si>
    <t>6723328542</t>
  </si>
  <si>
    <t>4216540276</t>
  </si>
  <si>
    <t>39985528282</t>
  </si>
  <si>
    <t>921010039553347</t>
  </si>
  <si>
    <t>923010041437031</t>
  </si>
  <si>
    <t>101347437374</t>
  </si>
  <si>
    <t>102056744118</t>
  </si>
  <si>
    <t>Manjeet Singh</t>
  </si>
  <si>
    <t>Vivek Kumar</t>
  </si>
  <si>
    <t>Aarav Raj</t>
  </si>
  <si>
    <t>Vivek Verma</t>
  </si>
  <si>
    <t>BARB0SIKBUL</t>
  </si>
  <si>
    <t>UCO BANK</t>
  </si>
  <si>
    <t>UBIN0813583</t>
  </si>
  <si>
    <t>135810100094839</t>
  </si>
  <si>
    <t>Dabbiru Sowmithra</t>
  </si>
  <si>
    <t>SBIN0003169</t>
  </si>
  <si>
    <t>34416551670</t>
  </si>
  <si>
    <t>UBIN0916048</t>
  </si>
  <si>
    <t>520101251945728</t>
  </si>
  <si>
    <t>KKBK0005295</t>
  </si>
  <si>
    <t>5445229344</t>
  </si>
  <si>
    <t>Farzan Haider</t>
  </si>
  <si>
    <t>AWSPH5187P</t>
  </si>
  <si>
    <t>8745286192</t>
  </si>
  <si>
    <t>MRDPS9713G</t>
  </si>
  <si>
    <t>HMZPK6753A</t>
  </si>
  <si>
    <t>FACPM7879G</t>
  </si>
  <si>
    <t>NHNPS8091C</t>
  </si>
  <si>
    <t>GOPPK0775F</t>
  </si>
  <si>
    <t>Bank Of Baroda</t>
  </si>
  <si>
    <t>BARB0AKHARA</t>
  </si>
  <si>
    <t>54070100019987</t>
  </si>
  <si>
    <t>01.05.2024</t>
  </si>
  <si>
    <t>101423208060</t>
  </si>
  <si>
    <t>102069722678</t>
  </si>
  <si>
    <t>Vishal Kumar</t>
  </si>
  <si>
    <t>Muskan Gupta</t>
  </si>
  <si>
    <t>Chetan Sharma</t>
  </si>
  <si>
    <t>FYHPD9833E</t>
  </si>
  <si>
    <t>489310110010475</t>
  </si>
  <si>
    <t>HDFC0003083</t>
  </si>
  <si>
    <t>50100705009951</t>
  </si>
  <si>
    <t>BKID0004893</t>
  </si>
  <si>
    <t>102069844336</t>
  </si>
  <si>
    <t>101384855207</t>
  </si>
  <si>
    <t>102069751599</t>
  </si>
  <si>
    <t>102070374644</t>
  </si>
  <si>
    <t>102070374637</t>
  </si>
  <si>
    <t>101636538846</t>
  </si>
  <si>
    <t>101641274837</t>
  </si>
  <si>
    <t>101773354814</t>
  </si>
  <si>
    <t>102081817342</t>
  </si>
  <si>
    <t>101545029144</t>
  </si>
  <si>
    <t>3517732787</t>
  </si>
  <si>
    <t>101586695903</t>
  </si>
  <si>
    <t>102081813599</t>
  </si>
  <si>
    <t>6723440539</t>
  </si>
  <si>
    <t>101601584391</t>
  </si>
  <si>
    <t>102070375658</t>
  </si>
  <si>
    <t>Roshni Singh</t>
  </si>
  <si>
    <t>Verification</t>
  </si>
  <si>
    <t>Heena Sharma</t>
  </si>
  <si>
    <t>Ankit Yadav</t>
  </si>
  <si>
    <t>Gaurav Kumar</t>
  </si>
  <si>
    <t>Ankit Pateria</t>
  </si>
  <si>
    <t>Ankit Bhoj</t>
  </si>
  <si>
    <t>EOGPB9295J</t>
  </si>
  <si>
    <t>BKID0007151</t>
  </si>
  <si>
    <t>715110110004630</t>
  </si>
  <si>
    <t>FFXPR9813B</t>
  </si>
  <si>
    <t>OCUPS8334D</t>
  </si>
  <si>
    <t>BRVPY6978A</t>
  </si>
  <si>
    <t>KKBK0005293</t>
  </si>
  <si>
    <t>1945541993</t>
  </si>
  <si>
    <t>7947001700022924</t>
  </si>
  <si>
    <t>922010025970858</t>
  </si>
  <si>
    <t>PPGPS0424Q</t>
  </si>
  <si>
    <t>40431755942</t>
  </si>
  <si>
    <t>MAHB0001340</t>
  </si>
  <si>
    <t>60421118474</t>
  </si>
  <si>
    <t>BANK OF MAHARASHTRA</t>
  </si>
  <si>
    <t>UBIN0569305</t>
  </si>
  <si>
    <t>693002010007639</t>
  </si>
  <si>
    <t>6723488760</t>
  </si>
  <si>
    <t>6723607024</t>
  </si>
  <si>
    <t>6723234376</t>
  </si>
  <si>
    <t>6723666391</t>
  </si>
  <si>
    <t>6721253021</t>
  </si>
  <si>
    <t>102058890816</t>
  </si>
  <si>
    <t>102065567900</t>
  </si>
  <si>
    <t>102090049714</t>
  </si>
  <si>
    <t>101812352387</t>
  </si>
  <si>
    <t>101482302564</t>
  </si>
  <si>
    <t>CNHPJ6739D</t>
  </si>
  <si>
    <t>LCRPK1734R</t>
  </si>
  <si>
    <t>HSKPD1147Q</t>
  </si>
  <si>
    <t>BKOPV9557L</t>
  </si>
  <si>
    <t>CBWPK4085L</t>
  </si>
  <si>
    <t>EXYPB7470L</t>
  </si>
  <si>
    <t>MRTPS3650Q</t>
  </si>
  <si>
    <t>NSSPS2385R</t>
  </si>
  <si>
    <t>NUDPS0056L</t>
  </si>
  <si>
    <t>EQQPK5046A</t>
  </si>
  <si>
    <t>FKOPM5520E</t>
  </si>
  <si>
    <t>102093513204</t>
  </si>
  <si>
    <t xml:space="preserve">Shankar Sharma  </t>
  </si>
  <si>
    <t>Kishan Behera</t>
  </si>
  <si>
    <t>Ajit Kumar</t>
  </si>
  <si>
    <t>Sunil Chauhan</t>
  </si>
  <si>
    <t>Prabhat Yadav</t>
  </si>
  <si>
    <t>Akash Kumar Maurya</t>
  </si>
  <si>
    <t>Khushboo Tiwari</t>
  </si>
  <si>
    <t>Nandita Soni</t>
  </si>
  <si>
    <t>Anand Pandey</t>
  </si>
  <si>
    <t>MIS</t>
  </si>
  <si>
    <t>Gagan  Tomar</t>
  </si>
  <si>
    <t>Saurav Kumar</t>
  </si>
  <si>
    <t>Sunita Pradhan</t>
  </si>
  <si>
    <t>HXAPK9687R</t>
  </si>
  <si>
    <t>UBIN0567094</t>
  </si>
  <si>
    <t>520101059240871</t>
  </si>
  <si>
    <t>923010070361138</t>
  </si>
  <si>
    <t>923010070369925</t>
  </si>
  <si>
    <t>BARB0BHANGE</t>
  </si>
  <si>
    <t>52990100005334</t>
  </si>
  <si>
    <t>EOZPP2603K</t>
  </si>
  <si>
    <t>KKBK0000158</t>
  </si>
  <si>
    <t>1647060952</t>
  </si>
  <si>
    <t>33934888546</t>
  </si>
  <si>
    <t>SBIN0012109</t>
  </si>
  <si>
    <t>BARODA UP GRAMIN BANK</t>
  </si>
  <si>
    <t>PUNB0519600</t>
  </si>
  <si>
    <t>5196000100016603</t>
  </si>
  <si>
    <t>UBIN0543373</t>
  </si>
  <si>
    <t>433702120012217</t>
  </si>
  <si>
    <t>KIDPK8746J</t>
  </si>
  <si>
    <t>RACPS8197F</t>
  </si>
  <si>
    <t>MXPPS5203M</t>
  </si>
  <si>
    <t>6723748800</t>
  </si>
  <si>
    <t>6723747841</t>
  </si>
  <si>
    <t>922010021758777</t>
  </si>
  <si>
    <t>IDIB000A577</t>
  </si>
  <si>
    <t>50242958487</t>
  </si>
  <si>
    <t>101877044719</t>
  </si>
  <si>
    <t>101742064003</t>
  </si>
  <si>
    <t>101944942304</t>
  </si>
  <si>
    <t>102010503584</t>
  </si>
  <si>
    <t>101426965822</t>
  </si>
  <si>
    <t>10007309165</t>
  </si>
  <si>
    <t>IDFB0020101</t>
  </si>
  <si>
    <t>UTIB0004907</t>
  </si>
  <si>
    <t>924010057589569</t>
  </si>
  <si>
    <t>Vishwas</t>
  </si>
  <si>
    <t>Deepak Tiwari</t>
  </si>
  <si>
    <t>Anuvrat Pandey</t>
  </si>
  <si>
    <t>Director</t>
  </si>
  <si>
    <t>Farheen Bano</t>
  </si>
  <si>
    <t>S. Adithy</t>
  </si>
  <si>
    <t>Atish Kumar</t>
  </si>
  <si>
    <t>Ayush Yadav</t>
  </si>
  <si>
    <t>Kanchan Kumari</t>
  </si>
  <si>
    <t>Amit Rajput</t>
  </si>
  <si>
    <t>CSNPA2141K</t>
  </si>
  <si>
    <t>KKBK0004265</t>
  </si>
  <si>
    <t>5012329859</t>
  </si>
  <si>
    <t>CFHPR8982Q</t>
  </si>
  <si>
    <t>BJAPY1204N</t>
  </si>
  <si>
    <t>PUNB0995300</t>
  </si>
  <si>
    <t>9953000100040784</t>
  </si>
  <si>
    <t>693002010007140</t>
  </si>
  <si>
    <t>Kajol Sahu</t>
  </si>
  <si>
    <t>PFUPS1058L</t>
  </si>
  <si>
    <t>INDUSIND BANK</t>
  </si>
  <si>
    <t>SBIN0001970</t>
  </si>
  <si>
    <t>32378619025</t>
  </si>
  <si>
    <t>AXEPY9911B</t>
  </si>
  <si>
    <t>2417428833</t>
  </si>
  <si>
    <t>101803542077</t>
  </si>
  <si>
    <t>102118846188</t>
  </si>
  <si>
    <t>BCPPV2686D</t>
  </si>
  <si>
    <t>6723877065</t>
  </si>
  <si>
    <t>6723871055</t>
  </si>
  <si>
    <t>6723941489</t>
  </si>
  <si>
    <t>6720730004</t>
  </si>
  <si>
    <t>102118213853</t>
  </si>
  <si>
    <t>101683187909</t>
  </si>
  <si>
    <t>102123011045</t>
  </si>
  <si>
    <t>102118387532</t>
  </si>
  <si>
    <t>102123373236</t>
  </si>
  <si>
    <t>101553332724</t>
  </si>
  <si>
    <t>CXXPB9043G</t>
  </si>
  <si>
    <t>GJCPK8737B</t>
  </si>
  <si>
    <t>923010070361918</t>
  </si>
  <si>
    <t>923010070413860</t>
  </si>
  <si>
    <t>070499500012819</t>
  </si>
  <si>
    <t>BKID0005806</t>
  </si>
  <si>
    <t>580610110004848</t>
  </si>
  <si>
    <t>UCBA0001829</t>
  </si>
  <si>
    <t>18290110058954</t>
  </si>
  <si>
    <t>UCBA0001897</t>
  </si>
  <si>
    <t>18970110049853</t>
  </si>
  <si>
    <t>Sonal Dubey</t>
  </si>
  <si>
    <t>00881460001905</t>
  </si>
  <si>
    <t>101976034852</t>
  </si>
  <si>
    <t>UTIB0005574</t>
  </si>
  <si>
    <t>DUAPA8716G</t>
  </si>
  <si>
    <t>JZJPD2124R</t>
  </si>
  <si>
    <t>HYNPK9793L</t>
  </si>
  <si>
    <t>923010051748701</t>
  </si>
  <si>
    <t>Abhishek</t>
  </si>
  <si>
    <t>Kuvar Vibhor Singh</t>
  </si>
  <si>
    <t>Vipin Paswan</t>
  </si>
  <si>
    <t>Jyoti Soni</t>
  </si>
  <si>
    <t xml:space="preserve">Khushboo  </t>
  </si>
  <si>
    <t xml:space="preserve">Anjali </t>
  </si>
  <si>
    <t>Jigyasa Pathak</t>
  </si>
  <si>
    <t>CERPT7936K</t>
  </si>
  <si>
    <t>MLTPS8110D</t>
  </si>
  <si>
    <t>38957959922</t>
  </si>
  <si>
    <t>SBIN0032630</t>
  </si>
  <si>
    <t>GEJPS6876F</t>
  </si>
  <si>
    <t>COVPP6127A</t>
  </si>
  <si>
    <t>0158101117565</t>
  </si>
  <si>
    <t xml:space="preserve">CNRB0000158 </t>
  </si>
  <si>
    <t>KOVPK4886R</t>
  </si>
  <si>
    <t>FGFPA3351G</t>
  </si>
  <si>
    <t>693002010007820</t>
  </si>
  <si>
    <t>9145854042</t>
  </si>
  <si>
    <t>110135329464</t>
  </si>
  <si>
    <t>KKBK0004587</t>
  </si>
  <si>
    <t>CNRB0005799</t>
  </si>
  <si>
    <t>FCEPM5892K</t>
  </si>
  <si>
    <t>MUBPK9278D</t>
  </si>
  <si>
    <t>157901535636</t>
  </si>
  <si>
    <t>ICIC0001579</t>
  </si>
  <si>
    <t>DCSPC1937B</t>
  </si>
  <si>
    <t>BNKPT7827E</t>
  </si>
  <si>
    <t>Arti</t>
  </si>
  <si>
    <t>PUNB0366500</t>
  </si>
  <si>
    <t>3665001700073619</t>
  </si>
  <si>
    <t>102114415766</t>
  </si>
  <si>
    <t>Mayuri Verma</t>
  </si>
  <si>
    <t>BZIPV3493E</t>
  </si>
  <si>
    <t>6723234398</t>
  </si>
  <si>
    <t>6724025982</t>
  </si>
  <si>
    <t>6723987122</t>
  </si>
  <si>
    <t>6722279467</t>
  </si>
  <si>
    <t>6722569052</t>
  </si>
  <si>
    <t>924010055094122</t>
  </si>
  <si>
    <t>101922508137</t>
  </si>
  <si>
    <t>102130566049</t>
  </si>
  <si>
    <t>101903314075</t>
  </si>
  <si>
    <t>101956925991</t>
  </si>
  <si>
    <t>101991794537</t>
  </si>
  <si>
    <t>102056732515</t>
  </si>
  <si>
    <t>101719588331</t>
  </si>
  <si>
    <t>101400258572</t>
  </si>
  <si>
    <t>101704336162</t>
  </si>
  <si>
    <t>101772368997</t>
  </si>
  <si>
    <t>HUSSAIN AHMED</t>
  </si>
  <si>
    <t>BEMPA5143M</t>
  </si>
  <si>
    <t xml:space="preserve"> Executive</t>
  </si>
  <si>
    <t>0817200100014530</t>
  </si>
  <si>
    <t>PUNB0081720</t>
  </si>
  <si>
    <t>CMD</t>
  </si>
  <si>
    <t xml:space="preserve">System Administrator </t>
  </si>
  <si>
    <t>Manager</t>
  </si>
  <si>
    <t>Team Leader</t>
  </si>
  <si>
    <t>Sr. Executive</t>
  </si>
  <si>
    <t>Assistant Manager</t>
  </si>
  <si>
    <t>Sr Executive</t>
  </si>
  <si>
    <t>Asst. Team Leader</t>
  </si>
  <si>
    <t>Deputy Manager    </t>
  </si>
  <si>
    <t>Assistant Team Leader</t>
  </si>
  <si>
    <t>Vice President</t>
  </si>
  <si>
    <t>Desktop Support Executive</t>
  </si>
  <si>
    <t xml:space="preserve"> Sr. Executive</t>
  </si>
  <si>
    <t>Sr Team Leader</t>
  </si>
  <si>
    <t>Software Developer</t>
  </si>
  <si>
    <t>General Manager</t>
  </si>
  <si>
    <t>Executive</t>
  </si>
  <si>
    <t>Sr.Executive</t>
  </si>
  <si>
    <t>Sr. Manager</t>
  </si>
  <si>
    <t>Junior Developer</t>
  </si>
  <si>
    <t>Asst. Manager</t>
  </si>
  <si>
    <t>Management Trainee</t>
  </si>
  <si>
    <t>Jr. Software Developer (11/28/2022)</t>
  </si>
  <si>
    <t>Asst. Team leader</t>
  </si>
  <si>
    <t>Executiive</t>
  </si>
  <si>
    <t>Senior Executive</t>
  </si>
  <si>
    <t>Assistant manager</t>
  </si>
  <si>
    <t>Aditya Girdhar</t>
  </si>
  <si>
    <t>FTEPP4787B</t>
  </si>
  <si>
    <t>APYPG0420K</t>
  </si>
  <si>
    <t>00881050699860</t>
  </si>
  <si>
    <t>EFEPA6485N</t>
  </si>
  <si>
    <t>Employment</t>
  </si>
  <si>
    <t>Report Writing</t>
  </si>
  <si>
    <t>AV/CV</t>
  </si>
  <si>
    <t>CBJPT4022K</t>
  </si>
  <si>
    <t>FQSPB1507A</t>
  </si>
  <si>
    <t>6724169469</t>
  </si>
  <si>
    <t>6724139273</t>
  </si>
  <si>
    <t>6724138769</t>
  </si>
  <si>
    <t>101894822732</t>
  </si>
  <si>
    <t>102150450658</t>
  </si>
  <si>
    <t>102150452511</t>
  </si>
  <si>
    <t>101710257329</t>
  </si>
  <si>
    <t>6724026398</t>
  </si>
  <si>
    <t>6724029703</t>
  </si>
  <si>
    <t>6724274838</t>
  </si>
  <si>
    <t>101988711381</t>
  </si>
  <si>
    <t>6724275092</t>
  </si>
  <si>
    <t>102158028523</t>
  </si>
  <si>
    <t>NLRPK3561H</t>
  </si>
  <si>
    <t>CYPPC3365M</t>
  </si>
  <si>
    <t>Rohit kumar</t>
  </si>
  <si>
    <t>Priyanshu ojha</t>
  </si>
  <si>
    <t>Seema rai</t>
  </si>
  <si>
    <t>Quality</t>
  </si>
  <si>
    <t>40808100012990</t>
  </si>
  <si>
    <t>Education</t>
  </si>
  <si>
    <t>Support &amp; Tagging</t>
  </si>
  <si>
    <t>102171084384</t>
  </si>
  <si>
    <t>102044277150</t>
  </si>
  <si>
    <t>102171095098</t>
  </si>
  <si>
    <t>102171118149</t>
  </si>
  <si>
    <t>EAYPG0158R</t>
  </si>
  <si>
    <t>CDMPV0853K</t>
  </si>
  <si>
    <t>FMQPK1901K</t>
  </si>
  <si>
    <t>FRCPP8714C</t>
  </si>
  <si>
    <t>BARB0MUNSHI</t>
  </si>
  <si>
    <t>19080100024997</t>
  </si>
  <si>
    <t>SBIN0009536</t>
  </si>
  <si>
    <t>36885866500</t>
  </si>
  <si>
    <t>SBIN0000539</t>
  </si>
  <si>
    <t>35769269083</t>
  </si>
  <si>
    <t>6724357603</t>
  </si>
  <si>
    <t>6724378122</t>
  </si>
  <si>
    <t>6724378543</t>
  </si>
  <si>
    <t>2019043052</t>
  </si>
  <si>
    <t>6724429078</t>
  </si>
  <si>
    <t>HZVPK4139R</t>
  </si>
  <si>
    <t>102147046466</t>
  </si>
  <si>
    <t>Himanshu Bhatt</t>
  </si>
  <si>
    <t>Mahima Kumari</t>
  </si>
  <si>
    <t>Monika</t>
  </si>
  <si>
    <t>Stuti Bhadauria</t>
  </si>
  <si>
    <t>UAN Verification- Capgemini</t>
  </si>
  <si>
    <t>Abhinav Arya</t>
  </si>
  <si>
    <t>Tagging - Axis</t>
  </si>
  <si>
    <t>Arnav Saxena</t>
  </si>
  <si>
    <t>Santosh Prasad</t>
  </si>
  <si>
    <t>Sunita Haldar</t>
  </si>
  <si>
    <t>Shivani Bhati</t>
  </si>
  <si>
    <t>QHMPS3116N</t>
  </si>
  <si>
    <t>CNRB0007768</t>
  </si>
  <si>
    <t>110228840999</t>
  </si>
  <si>
    <t>14568100002844</t>
  </si>
  <si>
    <t>CBRPB8264M</t>
  </si>
  <si>
    <t>KKBK0000217</t>
  </si>
  <si>
    <t>5012499583</t>
  </si>
  <si>
    <t>SBIN0010839</t>
  </si>
  <si>
    <t>43907120886</t>
  </si>
  <si>
    <t>HDFC0001385</t>
  </si>
  <si>
    <t>50100295909597</t>
  </si>
  <si>
    <t>CSNPP5437R</t>
  </si>
  <si>
    <t>921010044666661</t>
  </si>
  <si>
    <t>KOTAK MAHINRA BANK</t>
  </si>
  <si>
    <t>KPFPK5225H</t>
  </si>
  <si>
    <t>KKBK0004618</t>
  </si>
  <si>
    <t>4747121240</t>
  </si>
  <si>
    <t>6724441613</t>
  </si>
  <si>
    <t>102175746872</t>
  </si>
  <si>
    <t>6724441047</t>
  </si>
  <si>
    <t>102175798861</t>
  </si>
  <si>
    <t>101394955504</t>
  </si>
  <si>
    <t>6721463421</t>
  </si>
  <si>
    <t>101863950898</t>
  </si>
  <si>
    <t>6724469254</t>
  </si>
  <si>
    <t>102179934145</t>
  </si>
  <si>
    <t>101419110707</t>
  </si>
  <si>
    <t>JGPPK3870L</t>
  </si>
  <si>
    <t>DVYPA7931L</t>
  </si>
  <si>
    <t>Trinee CTC</t>
  </si>
  <si>
    <t>UTIB0005930</t>
  </si>
  <si>
    <t>924010071510897</t>
  </si>
  <si>
    <t>Yashsvi Singh</t>
  </si>
  <si>
    <t>Komal Roy</t>
  </si>
  <si>
    <t>Sani Kumar</t>
  </si>
  <si>
    <t>Udayraj Sati</t>
  </si>
  <si>
    <t>Prakhar Sharma</t>
  </si>
  <si>
    <t>Darpan Sharma</t>
  </si>
  <si>
    <t>Saad Ishrat Husain</t>
  </si>
  <si>
    <t>Akriti mahajan</t>
  </si>
  <si>
    <t>Vishnu</t>
  </si>
  <si>
    <t>UTIB0002462</t>
  </si>
  <si>
    <t>923010031620607</t>
  </si>
  <si>
    <t>BARB0KATHIR</t>
  </si>
  <si>
    <t>28318100002393</t>
  </si>
  <si>
    <t>HYSPK2977P</t>
  </si>
  <si>
    <t>PUNB0214700</t>
  </si>
  <si>
    <t>2147000100174418</t>
  </si>
  <si>
    <t>Rishabh Dubey</t>
  </si>
  <si>
    <t>HDFC0008172</t>
  </si>
  <si>
    <t>50100639033493</t>
  </si>
  <si>
    <t>NWXPS8148R</t>
  </si>
  <si>
    <t>18490100020186</t>
  </si>
  <si>
    <t>Ruchi Tyagi</t>
  </si>
  <si>
    <t>BPSPT6523B</t>
  </si>
  <si>
    <t>2412946952</t>
  </si>
  <si>
    <t>SBIN0050595</t>
  </si>
  <si>
    <t>38590549476</t>
  </si>
  <si>
    <t>BAJPH0581D</t>
  </si>
  <si>
    <t>924010069177561</t>
  </si>
  <si>
    <t>BARB0KALPIX</t>
  </si>
  <si>
    <t>25770100010223</t>
  </si>
  <si>
    <t>GVVPS9846A</t>
  </si>
  <si>
    <t>IFMPK5988G</t>
  </si>
  <si>
    <t>BKID0007253</t>
  </si>
  <si>
    <t>725310110004264</t>
  </si>
  <si>
    <t>6722754705</t>
  </si>
  <si>
    <t>6723899117</t>
  </si>
  <si>
    <t>6724616556</t>
  </si>
  <si>
    <t>5221377286</t>
  </si>
  <si>
    <t>101739614450</t>
  </si>
  <si>
    <t>101683601656</t>
  </si>
  <si>
    <t>102016512797</t>
  </si>
  <si>
    <t>101406346700</t>
  </si>
  <si>
    <t>101975997220</t>
  </si>
  <si>
    <t>102193114121</t>
  </si>
  <si>
    <t>102127085646</t>
  </si>
  <si>
    <t>01-08-2024 &amp; 01.04.2025</t>
  </si>
  <si>
    <t xml:space="preserve">PoC </t>
  </si>
  <si>
    <t>AVP</t>
  </si>
  <si>
    <t>Freelancer</t>
  </si>
  <si>
    <t>Verification-International</t>
  </si>
  <si>
    <t>6724543798</t>
  </si>
  <si>
    <t>102187532706</t>
  </si>
  <si>
    <t>924010070123470</t>
  </si>
  <si>
    <t>6049699038</t>
  </si>
  <si>
    <t>Raja Singh</t>
  </si>
  <si>
    <t>Aman kumar</t>
  </si>
  <si>
    <t>Vanshika Aggarwal</t>
  </si>
  <si>
    <t>Divya Singh</t>
  </si>
  <si>
    <t>Jigar Pratap singh</t>
  </si>
  <si>
    <t>Dronveer</t>
  </si>
  <si>
    <t>Musharraf Hussain</t>
  </si>
  <si>
    <t>Anurag Gupta</t>
  </si>
  <si>
    <t>Insuff</t>
  </si>
  <si>
    <t>GRAPD2290E</t>
  </si>
  <si>
    <t>OBLPS7921E</t>
  </si>
  <si>
    <t>BARB0VJNOID</t>
  </si>
  <si>
    <t>70030100017704</t>
  </si>
  <si>
    <t xml:space="preserve">FEDREAL BANK </t>
  </si>
  <si>
    <t>55550121363780</t>
  </si>
  <si>
    <t>50100692234990</t>
  </si>
  <si>
    <t>HQYPP1732F</t>
  </si>
  <si>
    <t>FZOPK6599A</t>
  </si>
  <si>
    <t>PUNB0754600</t>
  </si>
  <si>
    <t>HIYPS6160N</t>
  </si>
  <si>
    <t>50100297836517</t>
  </si>
  <si>
    <t>HDFC0001900</t>
  </si>
  <si>
    <t>Samarth Tiwari</t>
  </si>
  <si>
    <t>QC</t>
  </si>
  <si>
    <t>924010010425260</t>
  </si>
  <si>
    <t>UTIB0001540</t>
  </si>
  <si>
    <t>6724638950</t>
  </si>
  <si>
    <t>6722973934</t>
  </si>
  <si>
    <t>6722602185</t>
  </si>
  <si>
    <t>BKID0007122</t>
  </si>
  <si>
    <t>712218210022041</t>
  </si>
  <si>
    <t>50100355760990</t>
  </si>
  <si>
    <t>HDFC0001913</t>
  </si>
  <si>
    <t>09250100033402</t>
  </si>
  <si>
    <t>BARB0JAUNPU</t>
  </si>
  <si>
    <t>101444693359</t>
  </si>
  <si>
    <t>101727600548</t>
  </si>
  <si>
    <t>102195381462</t>
  </si>
  <si>
    <t>102026921453</t>
  </si>
  <si>
    <t>101692777947</t>
  </si>
  <si>
    <t>01.05.25</t>
  </si>
  <si>
    <t>Amrita Singh</t>
  </si>
  <si>
    <t>Nikita Kumari</t>
  </si>
  <si>
    <t>Manoj Kumar Singh</t>
  </si>
  <si>
    <t>Anubhav Mishra</t>
  </si>
  <si>
    <t>Vishesh Baranwal</t>
  </si>
  <si>
    <t>Ekta Pandey</t>
  </si>
  <si>
    <t>Aryan tripathi</t>
  </si>
  <si>
    <t>Data Analyst</t>
  </si>
  <si>
    <t>Shivaprasad L</t>
  </si>
  <si>
    <t>Verification-(Employment)</t>
  </si>
  <si>
    <t>Sumit Tiwari</t>
  </si>
  <si>
    <t>Nitish pradhan</t>
  </si>
  <si>
    <t>JXWPS3633D</t>
  </si>
  <si>
    <t>FVUPP1818R</t>
  </si>
  <si>
    <t>BFVPK7628R</t>
  </si>
  <si>
    <t>SBIN0010084</t>
  </si>
  <si>
    <t>40587680817</t>
  </si>
  <si>
    <t>SBIN0031495</t>
  </si>
  <si>
    <t>42538048927</t>
  </si>
  <si>
    <t>SBIN0011831</t>
  </si>
  <si>
    <t>33215289028</t>
  </si>
  <si>
    <t>BARODA UP BANK</t>
  </si>
  <si>
    <t>62910100000625</t>
  </si>
  <si>
    <t>ESOPS5410L</t>
  </si>
  <si>
    <t>157901524123</t>
  </si>
  <si>
    <t>40428055990</t>
  </si>
  <si>
    <t>GJZPP6402H</t>
  </si>
  <si>
    <t>INDB0000036</t>
  </si>
  <si>
    <t>100057003220</t>
  </si>
  <si>
    <t>HDFC0000053</t>
  </si>
  <si>
    <t>IDIB000G063</t>
  </si>
  <si>
    <t>6566926079</t>
  </si>
  <si>
    <t>01-05-2025 &amp; 01.06-2025</t>
  </si>
  <si>
    <t>6724826357</t>
  </si>
  <si>
    <t>100673333085</t>
  </si>
  <si>
    <t>101199512483</t>
  </si>
  <si>
    <t>102145826269</t>
  </si>
  <si>
    <t>102218455358</t>
  </si>
  <si>
    <t>102218444755</t>
  </si>
  <si>
    <t>LTVPK7801E</t>
  </si>
  <si>
    <t>HMIPP1023B</t>
  </si>
  <si>
    <t>54110100028014</t>
  </si>
  <si>
    <t>6721000667</t>
  </si>
  <si>
    <t>6723756133</t>
  </si>
  <si>
    <t>6721625248</t>
  </si>
  <si>
    <t>Monika Verma</t>
  </si>
  <si>
    <t>Anjali</t>
  </si>
  <si>
    <t>Sonali Singh</t>
  </si>
  <si>
    <t>Verification- (Employment)</t>
  </si>
  <si>
    <t>Nandni Sharma</t>
  </si>
  <si>
    <t>Prithvi Singh</t>
  </si>
  <si>
    <t>Divyanshu Meet</t>
  </si>
  <si>
    <t>Muskan Soni</t>
  </si>
  <si>
    <t>Manisha Bhutani</t>
  </si>
  <si>
    <t>Gaurav srivastava</t>
  </si>
  <si>
    <t>Saksham Maurya</t>
  </si>
  <si>
    <t>Gagan Sharma</t>
  </si>
  <si>
    <t>Deputy Manager</t>
  </si>
  <si>
    <t>Shivam Sharma</t>
  </si>
  <si>
    <t>Verification- (Education)</t>
  </si>
  <si>
    <t>Pankaj</t>
  </si>
  <si>
    <t>Nikita Sanatan</t>
  </si>
  <si>
    <t>Anant Katiyar</t>
  </si>
  <si>
    <t>Harshit Katiyar</t>
  </si>
  <si>
    <t>Aryan Jain</t>
  </si>
  <si>
    <t>Mohd Danish malik</t>
  </si>
  <si>
    <t>Swati Verma</t>
  </si>
  <si>
    <t>Yashendra Dubey</t>
  </si>
  <si>
    <t>Pan No</t>
  </si>
  <si>
    <t>HQZPM2459B</t>
  </si>
  <si>
    <t>SBIN0031335</t>
  </si>
  <si>
    <t>42283588733</t>
  </si>
  <si>
    <t>FNGPS7675D</t>
  </si>
  <si>
    <t>UTIB0005174</t>
  </si>
  <si>
    <t>924010020733687</t>
  </si>
  <si>
    <t>MGRPS4643C</t>
  </si>
  <si>
    <t>JUTPK9033F</t>
  </si>
  <si>
    <t>100172608247</t>
  </si>
  <si>
    <t>426102010085110</t>
  </si>
  <si>
    <t>UBIN0542610</t>
  </si>
  <si>
    <t>FCPPA9802L</t>
  </si>
  <si>
    <t>HDFC0002074</t>
  </si>
  <si>
    <t>50100782658392</t>
  </si>
  <si>
    <t>BARB0BARBAN</t>
  </si>
  <si>
    <t>38850100001900</t>
  </si>
  <si>
    <t>BLEPV8633A</t>
  </si>
  <si>
    <t>SCBL0036028</t>
  </si>
  <si>
    <t>52610880914</t>
  </si>
  <si>
    <t>STANDARD CHARTERED BANK</t>
  </si>
  <si>
    <t>ETHBK6275H</t>
  </si>
  <si>
    <t>SBIN0011475</t>
  </si>
  <si>
    <t>37200370323</t>
  </si>
  <si>
    <t>OMBPS9970J</t>
  </si>
  <si>
    <t>DUIPB1637P</t>
  </si>
  <si>
    <t>RBL BANK</t>
  </si>
  <si>
    <t>RATN0000114</t>
  </si>
  <si>
    <t>309028641072</t>
  </si>
  <si>
    <t>INDB0000162</t>
  </si>
  <si>
    <t>100165067600</t>
  </si>
  <si>
    <t>EVTPS8927Q</t>
  </si>
  <si>
    <t>SBIN0001782</t>
  </si>
  <si>
    <t>31749016180</t>
  </si>
  <si>
    <t xml:space="preserve">State Bank of India </t>
  </si>
  <si>
    <t>40472067276</t>
  </si>
  <si>
    <t>DYYPA8625Q</t>
  </si>
  <si>
    <t xml:space="preserve">Bank Of India </t>
  </si>
  <si>
    <t>BKID0007623</t>
  </si>
  <si>
    <t>762310510001290</t>
  </si>
  <si>
    <t xml:space="preserve">Bank of India </t>
  </si>
  <si>
    <t>762310110009181</t>
  </si>
  <si>
    <t>CJPPJ8794L</t>
  </si>
  <si>
    <t xml:space="preserve">Punjab National Bank </t>
  </si>
  <si>
    <t>PUNB0160300</t>
  </si>
  <si>
    <t>FDYPM6677R</t>
  </si>
  <si>
    <t>PUNB0182100</t>
  </si>
  <si>
    <t>BSVPV3606H</t>
  </si>
  <si>
    <t>BKID0007336</t>
  </si>
  <si>
    <t>733610110004295</t>
  </si>
  <si>
    <t>HDFC0001888</t>
  </si>
  <si>
    <t>50100816941597</t>
  </si>
  <si>
    <t>ICIC0000357</t>
  </si>
  <si>
    <t>035701542209</t>
  </si>
  <si>
    <t>SBIN0000644</t>
  </si>
  <si>
    <t>31846410867</t>
  </si>
  <si>
    <t>RATN0000204</t>
  </si>
  <si>
    <t>309029169609</t>
  </si>
  <si>
    <t>309029169797</t>
  </si>
  <si>
    <t>1821000116891206</t>
  </si>
  <si>
    <t>101309448841</t>
  </si>
  <si>
    <t>102175928679</t>
  </si>
  <si>
    <t>101921579511</t>
  </si>
  <si>
    <t>101355070126</t>
  </si>
  <si>
    <t>101189098461</t>
  </si>
  <si>
    <t>100776602056</t>
  </si>
  <si>
    <t>1603001700018317</t>
  </si>
  <si>
    <t>102235190485</t>
  </si>
  <si>
    <t>Varsha Kesharwani</t>
  </si>
  <si>
    <t>Subhamita Rout</t>
  </si>
  <si>
    <t>Verification-Address</t>
  </si>
  <si>
    <t>Ahmad Faraz</t>
  </si>
  <si>
    <t>Sachin Singh Baghel</t>
  </si>
  <si>
    <t>Founder's Office</t>
  </si>
  <si>
    <t>Pragati Srivastava</t>
  </si>
  <si>
    <t>Operations-QC</t>
  </si>
  <si>
    <t>Sandhya</t>
  </si>
  <si>
    <t>Manish shakya</t>
  </si>
  <si>
    <t>Operations-Insurance</t>
  </si>
  <si>
    <t>Mohd Izaz</t>
  </si>
  <si>
    <t>Yash Srivastava</t>
  </si>
  <si>
    <t>Aditya motla</t>
  </si>
  <si>
    <t>6723865116</t>
  </si>
  <si>
    <t>AFCPF8403K</t>
  </si>
  <si>
    <t>Indian Bank</t>
  </si>
  <si>
    <t>IDIB000K579</t>
  </si>
  <si>
    <t>State Bank of India</t>
  </si>
  <si>
    <t>SBIN0000621</t>
  </si>
  <si>
    <t>CNRB0002662</t>
  </si>
  <si>
    <t>2662101018876</t>
  </si>
  <si>
    <t>ICIC0007237</t>
  </si>
  <si>
    <t>723701502384</t>
  </si>
  <si>
    <t>QRZPS8511L</t>
  </si>
  <si>
    <t>OOXPS8870D</t>
  </si>
  <si>
    <t>IWYPS2857H</t>
  </si>
  <si>
    <t>ETOPB1681M</t>
  </si>
  <si>
    <t>Punjab National Bank</t>
  </si>
  <si>
    <t>7401942163</t>
  </si>
  <si>
    <t>44323751421</t>
  </si>
  <si>
    <t>SBIN0004842</t>
  </si>
  <si>
    <t>State bank of india</t>
  </si>
  <si>
    <t>38387493130</t>
  </si>
  <si>
    <t>50100738020281</t>
  </si>
  <si>
    <t>PUNB0090200</t>
  </si>
  <si>
    <t>GOHPR4185C</t>
  </si>
  <si>
    <t>LDGPS9445B</t>
  </si>
  <si>
    <t>7546000100058996</t>
  </si>
  <si>
    <t>309029086412</t>
  </si>
  <si>
    <t>309029397372</t>
  </si>
  <si>
    <t>309029086582</t>
  </si>
  <si>
    <t>309029397363</t>
  </si>
  <si>
    <t>309029086397</t>
  </si>
  <si>
    <t>309029397381</t>
  </si>
  <si>
    <t>309029169724</t>
  </si>
  <si>
    <t>PUNJAB AND SIND BANK</t>
  </si>
  <si>
    <t>PSIB0020970</t>
  </si>
  <si>
    <t>09701000012707</t>
  </si>
  <si>
    <t>309029086403</t>
  </si>
  <si>
    <t>SBIN0008150</t>
  </si>
  <si>
    <t>38550014877</t>
  </si>
  <si>
    <t>50100250191802</t>
  </si>
  <si>
    <t>309029169654</t>
  </si>
  <si>
    <t>6723827517</t>
  </si>
  <si>
    <t>6723059439</t>
  </si>
  <si>
    <t>6723954815</t>
  </si>
  <si>
    <t>6724989749</t>
  </si>
  <si>
    <t>Canara bank</t>
  </si>
  <si>
    <t>CNRB0018041</t>
  </si>
  <si>
    <t>80412200067753</t>
  </si>
  <si>
    <t>HDFC0001465</t>
  </si>
  <si>
    <t>50100392954766</t>
  </si>
  <si>
    <t>FDRL0005555</t>
  </si>
  <si>
    <t>0902000100327479</t>
  </si>
  <si>
    <t>102115890532</t>
  </si>
  <si>
    <t>102129854917</t>
  </si>
  <si>
    <t>101849399623</t>
  </si>
  <si>
    <t>102207883738</t>
  </si>
  <si>
    <t>102037660339</t>
  </si>
  <si>
    <t>102245309002</t>
  </si>
  <si>
    <t>102244137405</t>
  </si>
  <si>
    <t>102118925317</t>
  </si>
  <si>
    <t>Arpit Dwivedi</t>
  </si>
  <si>
    <t>Hrithik Singh</t>
  </si>
  <si>
    <t>QV</t>
  </si>
  <si>
    <t>Ashish Patel</t>
  </si>
  <si>
    <t>Umang Tyagi</t>
  </si>
  <si>
    <t>Verification - education</t>
  </si>
  <si>
    <t>Amisha Kumari</t>
  </si>
  <si>
    <t>AC/CV</t>
  </si>
  <si>
    <t>Shivank Malik</t>
  </si>
  <si>
    <t>VANTAKU CHANDRA KRISHNA SEKHAR</t>
  </si>
  <si>
    <t>IDIB000G534</t>
  </si>
  <si>
    <t>50452401461</t>
  </si>
  <si>
    <t>50100664529270</t>
  </si>
  <si>
    <t>343101001004</t>
  </si>
  <si>
    <t>ICIC0003431</t>
  </si>
  <si>
    <t>38869734679</t>
  </si>
  <si>
    <t>SBIN0000255</t>
  </si>
  <si>
    <t>100245110929</t>
  </si>
  <si>
    <t>Saksham Chaudhary</t>
  </si>
  <si>
    <t>5068364232</t>
  </si>
  <si>
    <t>UTIB005140</t>
  </si>
  <si>
    <t>Poc/QC</t>
  </si>
  <si>
    <t>ICIC0006772</t>
  </si>
  <si>
    <t>677201701808</t>
  </si>
  <si>
    <t>BARB0LAMBHU</t>
  </si>
  <si>
    <t>CBIN0280291</t>
  </si>
  <si>
    <t>CENTRAL BANK OF INDIA</t>
  </si>
  <si>
    <t>3624778786</t>
  </si>
  <si>
    <t>1713853393</t>
  </si>
  <si>
    <t>6725047948</t>
  </si>
  <si>
    <t>6723669629</t>
  </si>
  <si>
    <t>101346496048</t>
  </si>
  <si>
    <t>101850402772</t>
  </si>
  <si>
    <t xml:space="preserve">101973109075 </t>
  </si>
  <si>
    <t>102250775821</t>
  </si>
  <si>
    <t>101873647265</t>
  </si>
  <si>
    <t>102242991386</t>
  </si>
  <si>
    <t>101893768253</t>
  </si>
  <si>
    <t>07018100016964</t>
  </si>
  <si>
    <t>HDFC0007340</t>
  </si>
  <si>
    <t>Akash singh</t>
  </si>
  <si>
    <t>Sanyam Agarwal</t>
  </si>
  <si>
    <t>Edu-Verification</t>
  </si>
  <si>
    <t>924010070123061</t>
  </si>
  <si>
    <t>630701546345</t>
  </si>
  <si>
    <t>ADITYA JAISWAL</t>
  </si>
  <si>
    <t>Ayush Raj</t>
  </si>
  <si>
    <t>Kaifi Khan</t>
  </si>
  <si>
    <t>BXHPA8530Q</t>
  </si>
  <si>
    <t>RBL bank</t>
  </si>
  <si>
    <t>309029488799</t>
  </si>
  <si>
    <t>DMEPS1648D</t>
  </si>
  <si>
    <t>31771159789</t>
  </si>
  <si>
    <t>IOBA0002556</t>
  </si>
  <si>
    <t>SBIN0014661</t>
  </si>
  <si>
    <t xml:space="preserve">BARB0SHAGAT </t>
  </si>
  <si>
    <t>INDIAN OVERSEAS BANK</t>
  </si>
  <si>
    <t>35523904627</t>
  </si>
  <si>
    <t>40818100025940</t>
  </si>
  <si>
    <t>255601000005622</t>
  </si>
  <si>
    <t>SBIN0001624</t>
  </si>
  <si>
    <t>IQJPS8103M</t>
  </si>
  <si>
    <t>UDJPS5343J</t>
  </si>
  <si>
    <t>ATGPI2194E</t>
  </si>
  <si>
    <t>IRAPK4970E</t>
  </si>
  <si>
    <t>GZCPM8587H</t>
  </si>
  <si>
    <t>IGGPS7186K</t>
  </si>
  <si>
    <t>NENPS0740R</t>
  </si>
  <si>
    <t>EPMPP2753G</t>
  </si>
  <si>
    <t>BPSPH9037J</t>
  </si>
  <si>
    <t>JHIPK0440L</t>
  </si>
  <si>
    <t>HUHPM2848J</t>
  </si>
  <si>
    <t>CLYPC9973R</t>
  </si>
  <si>
    <t>101301769553</t>
  </si>
  <si>
    <t>101714471046</t>
  </si>
  <si>
    <t>HDFC0000120</t>
  </si>
  <si>
    <t>50100612337607</t>
  </si>
  <si>
    <t>6721408528</t>
  </si>
  <si>
    <t>101421649865</t>
  </si>
  <si>
    <t>Fozeb Ansari</t>
  </si>
  <si>
    <t>DUOPA9198A</t>
  </si>
  <si>
    <t>10150769069</t>
  </si>
  <si>
    <t>309029397460</t>
  </si>
  <si>
    <t>Salary Sheet For The Month Of NOV-2025</t>
  </si>
  <si>
    <t>SALARY SHEET FOR THE MONTH OF NOV -2025</t>
  </si>
  <si>
    <t>RATN0000516</t>
  </si>
  <si>
    <t>309029140525</t>
  </si>
  <si>
    <t>Brajesh kumar gupta</t>
  </si>
  <si>
    <t>Shubham Sharma</t>
  </si>
  <si>
    <t>Koshindra</t>
  </si>
  <si>
    <t>Amanjeet</t>
  </si>
  <si>
    <t>Dhreendra kumar</t>
  </si>
  <si>
    <t>Pankaj singh Sisodiya</t>
  </si>
  <si>
    <t>Divyansh Sriyastava</t>
  </si>
  <si>
    <t>Sanjeev Kumar</t>
  </si>
  <si>
    <t>Praveen Mahore</t>
  </si>
  <si>
    <t>Manish Mahaur</t>
  </si>
  <si>
    <t>Aditya Ojha</t>
  </si>
  <si>
    <t>Harpreet Kaur</t>
  </si>
  <si>
    <t>Anant Mittal</t>
  </si>
  <si>
    <t>Mohit Kumar Sharma</t>
  </si>
  <si>
    <t>RW</t>
  </si>
  <si>
    <t>RW/QC</t>
  </si>
  <si>
    <t>Swet Kumar Dubey</t>
  </si>
  <si>
    <t>NUUPS1336E</t>
  </si>
  <si>
    <t>BNSPM1149N</t>
  </si>
  <si>
    <t>ILCPP8844Q</t>
  </si>
  <si>
    <t>LFAPK8084E</t>
  </si>
  <si>
    <t>JCAPD4727E</t>
  </si>
  <si>
    <t>UBMPS2433A</t>
  </si>
  <si>
    <t>Onhold</t>
  </si>
  <si>
    <t>Refund of Rs. 1000 for cab deduction in the month of oct 2025. (WFH User)</t>
  </si>
  <si>
    <t>Attendance not confirmed by manager</t>
  </si>
  <si>
    <t>From 10th to till 14th (Marriage Leave) &amp; Refund Rs. 1000 for cab deduction for oct 2025</t>
  </si>
  <si>
    <t>Remaining Salary process with FNF</t>
  </si>
  <si>
    <t>Absent Full Month</t>
  </si>
  <si>
    <t>Refund of Rs. 1000 (Deduction on Oct 2025 - WFH User)</t>
  </si>
  <si>
    <t>Medical Issue (On Sabatical)</t>
  </si>
  <si>
    <t>Refund of Rs. 1000 (Cab deduction on Oct 2025)</t>
  </si>
  <si>
    <t>Absconded</t>
  </si>
  <si>
    <t>Brother Death  - 3 BR Leave</t>
  </si>
  <si>
    <t>Release Rs. 1056 for 33 Checks</t>
  </si>
  <si>
    <t>CVLPG4058G</t>
  </si>
  <si>
    <t>MVTPS7277P</t>
  </si>
  <si>
    <t>IKIPK6475B</t>
  </si>
  <si>
    <t>FCUPA2377D</t>
  </si>
  <si>
    <t>FXXPK9619G</t>
  </si>
  <si>
    <t>NXYPS3114K</t>
  </si>
  <si>
    <t>NKEPS2231E</t>
  </si>
  <si>
    <t>IRLPK5191N</t>
  </si>
  <si>
    <t>ECVPM6388E</t>
  </si>
  <si>
    <t>01-05-2025 &amp; 01-11-2025</t>
  </si>
  <si>
    <t xml:space="preserve">Bank of Baroda </t>
  </si>
  <si>
    <t>BARB0BARRAW</t>
  </si>
  <si>
    <t>39888100005179</t>
  </si>
  <si>
    <t>BARB0SHIVPU</t>
  </si>
  <si>
    <t>22450100011420</t>
  </si>
  <si>
    <t>RBL Bank</t>
  </si>
  <si>
    <t>RATN0000434</t>
  </si>
  <si>
    <t>309029224021</t>
  </si>
  <si>
    <t>923010063978138</t>
  </si>
  <si>
    <t>PUNB0450600</t>
  </si>
  <si>
    <t>4506001500034250</t>
  </si>
  <si>
    <t>HDFC0003796</t>
  </si>
  <si>
    <t>SBIN0011219</t>
  </si>
  <si>
    <t>HDFC0000026</t>
  </si>
  <si>
    <t>UBIN0822345</t>
  </si>
  <si>
    <t>50100696693368</t>
  </si>
  <si>
    <t>40111697008</t>
  </si>
  <si>
    <t>50100625866420</t>
  </si>
  <si>
    <t>223410100001884</t>
  </si>
  <si>
    <t>HDFC Bank</t>
  </si>
  <si>
    <t>HDFC0008297</t>
  </si>
  <si>
    <t xml:space="preserve">BARB0RAMGHA </t>
  </si>
  <si>
    <t>50100838538602</t>
  </si>
  <si>
    <t>309029843729</t>
  </si>
  <si>
    <t>309029844852</t>
  </si>
  <si>
    <t>309029956005</t>
  </si>
  <si>
    <t>32700100010311</t>
  </si>
  <si>
    <t>01-05-2025 &amp; 01.11-2025</t>
  </si>
  <si>
    <t>01-01-2025 &amp; 01-11-2025</t>
  </si>
  <si>
    <t>01-06-2024 &amp; 01-11-2025</t>
  </si>
  <si>
    <t>01-05-2024 &amp; 01-11-2025</t>
  </si>
  <si>
    <t>01-04-2025 &amp; 01-11-2025</t>
  </si>
  <si>
    <t>01.12.2024 &amp; 01-11-2025</t>
  </si>
  <si>
    <t>01.04.2025 &amp; 01-11-2025</t>
  </si>
  <si>
    <t>RESIGNED</t>
  </si>
  <si>
    <t>WILL UPDATE</t>
  </si>
  <si>
    <t>BEING TDS AMOUNT PAID BY COMPANY</t>
  </si>
  <si>
    <t>6724614972</t>
  </si>
  <si>
    <t>6720487731</t>
  </si>
  <si>
    <t>6721465250</t>
  </si>
  <si>
    <t>6722335071</t>
  </si>
  <si>
    <t>101521563788</t>
  </si>
  <si>
    <t>101965867241</t>
  </si>
  <si>
    <t>102193049557</t>
  </si>
  <si>
    <t>869649344330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</si>
</sst>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_(* #,##0.0_);_(* \(#,##0.0\);_(* &quot;-&quot;??_);_(@_)"/>
    <numFmt numFmtId="168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b/>
      <u/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3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0"/>
      <color rgb="FF000000"/>
      <name val="Cambria"/>
      <family val="1"/>
    </font>
    <font>
      <sz val="10"/>
      <color theme="1"/>
      <name val="Segoe UI"/>
      <family val="2"/>
    </font>
    <font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268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166" fontId="7" fillId="3" borderId="1" xfId="1" applyNumberFormat="1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right"/>
    </xf>
    <xf numFmtId="166" fontId="8" fillId="0" borderId="1" xfId="1" applyNumberFormat="1" applyFont="1" applyFill="1" applyBorder="1" applyAlignment="1">
      <alignment horizontal="center"/>
    </xf>
    <xf numFmtId="167" fontId="8" fillId="0" borderId="1" xfId="1" applyNumberFormat="1" applyFont="1" applyFill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10" fillId="0" borderId="1" xfId="0" applyFont="1" applyFill="1" applyBorder="1" applyAlignment="1">
      <alignment vertical="center"/>
    </xf>
    <xf numFmtId="0" fontId="0" fillId="0" borderId="0" xfId="0" applyFont="1" applyFill="1"/>
    <xf numFmtId="165" fontId="0" fillId="0" borderId="0" xfId="0" applyNumberFormat="1" applyFont="1" applyFill="1"/>
    <xf numFmtId="0" fontId="0" fillId="0" borderId="0" xfId="0" applyFill="1" applyAlignment="1">
      <alignment horizontal="center"/>
    </xf>
    <xf numFmtId="166" fontId="0" fillId="0" borderId="0" xfId="1" applyNumberFormat="1" applyFont="1" applyFill="1"/>
    <xf numFmtId="167" fontId="0" fillId="0" borderId="0" xfId="1" applyNumberFormat="1" applyFont="1" applyFill="1"/>
    <xf numFmtId="43" fontId="0" fillId="0" borderId="0" xfId="1" applyFont="1" applyFill="1"/>
    <xf numFmtId="0" fontId="12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165" fontId="12" fillId="2" borderId="0" xfId="0" applyNumberFormat="1" applyFont="1" applyFill="1" applyBorder="1" applyAlignment="1">
      <alignment horizontal="center" vertical="top"/>
    </xf>
    <xf numFmtId="0" fontId="13" fillId="2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vertical="top"/>
    </xf>
    <xf numFmtId="166" fontId="12" fillId="2" borderId="0" xfId="1" applyNumberFormat="1" applyFont="1" applyFill="1" applyBorder="1" applyAlignment="1">
      <alignment horizontal="center" vertical="top"/>
    </xf>
    <xf numFmtId="43" fontId="12" fillId="2" borderId="0" xfId="1" applyFont="1" applyFill="1" applyBorder="1" applyAlignment="1">
      <alignment horizontal="center" vertical="top"/>
    </xf>
    <xf numFmtId="43" fontId="12" fillId="2" borderId="0" xfId="1" applyFont="1" applyFill="1" applyBorder="1" applyAlignment="1">
      <alignment vertical="top"/>
    </xf>
    <xf numFmtId="2" fontId="12" fillId="2" borderId="0" xfId="0" applyNumberFormat="1" applyFont="1" applyFill="1" applyBorder="1" applyAlignment="1">
      <alignment vertical="top"/>
    </xf>
    <xf numFmtId="1" fontId="9" fillId="2" borderId="0" xfId="0" applyNumberFormat="1" applyFont="1" applyFill="1" applyBorder="1" applyAlignment="1">
      <alignment horizontal="center" vertical="top"/>
    </xf>
    <xf numFmtId="43" fontId="7" fillId="3" borderId="1" xfId="1" applyFont="1" applyFill="1" applyBorder="1" applyAlignment="1">
      <alignment horizontal="center" vertical="center" wrapText="1"/>
    </xf>
    <xf numFmtId="166" fontId="8" fillId="0" borderId="1" xfId="1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6" fontId="0" fillId="0" borderId="0" xfId="0" applyNumberFormat="1" applyFill="1"/>
    <xf numFmtId="165" fontId="0" fillId="0" borderId="0" xfId="0" applyNumberFormat="1" applyFill="1"/>
    <xf numFmtId="1" fontId="9" fillId="0" borderId="1" xfId="0" quotePrefix="1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top"/>
    </xf>
    <xf numFmtId="0" fontId="12" fillId="2" borderId="0" xfId="1" applyNumberFormat="1" applyFont="1" applyFill="1" applyBorder="1" applyAlignment="1">
      <alignment horizontal="center" vertical="top"/>
    </xf>
    <xf numFmtId="0" fontId="7" fillId="3" borderId="1" xfId="1" applyNumberFormat="1" applyFont="1" applyFill="1" applyBorder="1" applyAlignment="1">
      <alignment horizontal="center" vertical="center" wrapText="1"/>
    </xf>
    <xf numFmtId="1" fontId="0" fillId="0" borderId="0" xfId="0" applyNumberFormat="1" applyFill="1"/>
    <xf numFmtId="0" fontId="0" fillId="0" borderId="0" xfId="0" applyFill="1" applyBorder="1"/>
    <xf numFmtId="0" fontId="0" fillId="2" borderId="0" xfId="0" applyFill="1"/>
    <xf numFmtId="43" fontId="0" fillId="2" borderId="0" xfId="1" applyFont="1" applyFill="1"/>
    <xf numFmtId="0" fontId="2" fillId="4" borderId="1" xfId="0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0" fillId="2" borderId="0" xfId="0" applyNumberFormat="1" applyFill="1" applyAlignment="1">
      <alignment horizontal="center" vertical="center"/>
    </xf>
    <xf numFmtId="43" fontId="11" fillId="2" borderId="1" xfId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43" fontId="0" fillId="2" borderId="0" xfId="0" applyNumberFormat="1" applyFill="1"/>
    <xf numFmtId="43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top"/>
    </xf>
    <xf numFmtId="166" fontId="3" fillId="0" borderId="2" xfId="1" applyNumberFormat="1" applyFont="1" applyFill="1" applyBorder="1" applyAlignment="1">
      <alignment vertical="top"/>
    </xf>
    <xf numFmtId="1" fontId="3" fillId="0" borderId="2" xfId="0" applyNumberFormat="1" applyFont="1" applyFill="1" applyBorder="1" applyAlignment="1">
      <alignment horizontal="center" vertical="top"/>
    </xf>
    <xf numFmtId="0" fontId="6" fillId="0" borderId="2" xfId="0" applyFont="1" applyFill="1" applyBorder="1"/>
    <xf numFmtId="9" fontId="6" fillId="0" borderId="2" xfId="2" applyFont="1" applyFill="1" applyBorder="1"/>
    <xf numFmtId="167" fontId="8" fillId="0" borderId="1" xfId="1" applyNumberFormat="1" applyFont="1" applyFill="1" applyBorder="1" applyAlignment="1">
      <alignment vertical="center"/>
    </xf>
    <xf numFmtId="43" fontId="0" fillId="0" borderId="0" xfId="0" applyNumberFormat="1" applyFill="1"/>
    <xf numFmtId="43" fontId="0" fillId="0" borderId="0" xfId="0" applyNumberFormat="1"/>
    <xf numFmtId="43" fontId="0" fillId="0" borderId="1" xfId="0" applyNumberFormat="1" applyFill="1" applyBorder="1"/>
    <xf numFmtId="0" fontId="0" fillId="0" borderId="1" xfId="0" applyFont="1" applyFill="1" applyBorder="1" applyAlignment="1">
      <alignment horizontal="center"/>
    </xf>
    <xf numFmtId="9" fontId="0" fillId="0" borderId="0" xfId="0" applyNumberFormat="1" applyFill="1"/>
    <xf numFmtId="166" fontId="8" fillId="0" borderId="1" xfId="1" applyNumberFormat="1" applyFont="1" applyFill="1" applyBorder="1" applyAlignment="1">
      <alignment horizontal="right" vertical="center"/>
    </xf>
    <xf numFmtId="1" fontId="7" fillId="3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Font="1" applyFill="1" applyBorder="1" applyAlignment="1">
      <alignment horizontal="center"/>
    </xf>
    <xf numFmtId="166" fontId="2" fillId="0" borderId="1" xfId="0" applyNumberFormat="1" applyFont="1" applyFill="1" applyBorder="1"/>
    <xf numFmtId="0" fontId="2" fillId="0" borderId="1" xfId="0" applyFont="1" applyFill="1" applyBorder="1"/>
    <xf numFmtId="166" fontId="2" fillId="0" borderId="1" xfId="1" applyNumberFormat="1" applyFont="1" applyFill="1" applyBorder="1"/>
    <xf numFmtId="43" fontId="2" fillId="0" borderId="1" xfId="0" applyNumberFormat="1" applyFont="1" applyFill="1" applyBorder="1"/>
    <xf numFmtId="43" fontId="2" fillId="0" borderId="1" xfId="1" applyFont="1" applyFill="1" applyBorder="1"/>
    <xf numFmtId="0" fontId="15" fillId="0" borderId="1" xfId="0" applyFont="1" applyFill="1" applyBorder="1" applyAlignment="1">
      <alignment horizontal="center"/>
    </xf>
    <xf numFmtId="0" fontId="15" fillId="0" borderId="1" xfId="0" applyFont="1" applyFill="1" applyBorder="1"/>
    <xf numFmtId="15" fontId="15" fillId="0" borderId="1" xfId="0" applyNumberFormat="1" applyFont="1" applyFill="1" applyBorder="1" applyAlignment="1">
      <alignment horizontal="center"/>
    </xf>
    <xf numFmtId="166" fontId="0" fillId="0" borderId="1" xfId="1" applyNumberFormat="1" applyFont="1" applyFill="1" applyBorder="1"/>
    <xf numFmtId="0" fontId="14" fillId="0" borderId="1" xfId="0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top"/>
    </xf>
    <xf numFmtId="165" fontId="3" fillId="0" borderId="2" xfId="0" applyNumberFormat="1" applyFont="1" applyFill="1" applyBorder="1" applyAlignment="1">
      <alignment horizontal="center" vertical="top"/>
    </xf>
    <xf numFmtId="167" fontId="3" fillId="0" borderId="2" xfId="1" applyNumberFormat="1" applyFont="1" applyFill="1" applyBorder="1" applyAlignment="1">
      <alignment vertical="top"/>
    </xf>
    <xf numFmtId="43" fontId="3" fillId="0" borderId="2" xfId="1" applyFont="1" applyFill="1" applyBorder="1" applyAlignment="1">
      <alignment vertical="top"/>
    </xf>
    <xf numFmtId="166" fontId="3" fillId="0" borderId="2" xfId="1" applyNumberFormat="1" applyFont="1" applyFill="1" applyBorder="1" applyAlignment="1">
      <alignment horizontal="center" vertical="top"/>
    </xf>
    <xf numFmtId="1" fontId="3" fillId="0" borderId="2" xfId="0" applyNumberFormat="1" applyFont="1" applyFill="1" applyBorder="1" applyAlignment="1">
      <alignment vertical="top"/>
    </xf>
    <xf numFmtId="2" fontId="3" fillId="0" borderId="2" xfId="0" applyNumberFormat="1" applyFont="1" applyFill="1" applyBorder="1" applyAlignment="1">
      <alignment vertical="top"/>
    </xf>
    <xf numFmtId="1" fontId="4" fillId="0" borderId="2" xfId="0" applyNumberFormat="1" applyFont="1" applyFill="1" applyBorder="1" applyAlignment="1">
      <alignment horizontal="center" vertical="top"/>
    </xf>
    <xf numFmtId="164" fontId="0" fillId="2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0" fillId="0" borderId="1" xfId="0" quotePrefix="1" applyFont="1" applyFill="1" applyBorder="1" applyAlignment="1">
      <alignment horizontal="center"/>
    </xf>
    <xf numFmtId="166" fontId="16" fillId="0" borderId="1" xfId="0" applyNumberFormat="1" applyFont="1" applyFill="1" applyBorder="1"/>
    <xf numFmtId="43" fontId="0" fillId="0" borderId="1" xfId="0" applyNumberFormat="1" applyFont="1" applyFill="1" applyBorder="1"/>
    <xf numFmtId="0" fontId="0" fillId="0" borderId="1" xfId="0" applyFont="1" applyFill="1" applyBorder="1"/>
    <xf numFmtId="15" fontId="15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/>
    </xf>
    <xf numFmtId="166" fontId="0" fillId="0" borderId="0" xfId="0" applyNumberFormat="1" applyFont="1" applyFill="1"/>
    <xf numFmtId="167" fontId="0" fillId="0" borderId="0" xfId="0" applyNumberFormat="1" applyFont="1" applyFill="1"/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43" fontId="0" fillId="0" borderId="0" xfId="0" applyNumberFormat="1" applyFont="1" applyFill="1"/>
    <xf numFmtId="0" fontId="0" fillId="0" borderId="0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167" fontId="0" fillId="0" borderId="1" xfId="1" applyNumberFormat="1" applyFont="1" applyFill="1" applyBorder="1" applyAlignment="1">
      <alignment horizontal="center"/>
    </xf>
    <xf numFmtId="165" fontId="1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166" fontId="0" fillId="0" borderId="1" xfId="1" applyNumberFormat="1" applyFont="1" applyFill="1" applyBorder="1" applyAlignment="1">
      <alignment horizontal="right"/>
    </xf>
    <xf numFmtId="166" fontId="0" fillId="0" borderId="1" xfId="1" applyNumberFormat="1" applyFont="1" applyFill="1" applyBorder="1" applyAlignment="1">
      <alignment horizontal="center"/>
    </xf>
    <xf numFmtId="166" fontId="10" fillId="0" borderId="1" xfId="1" applyNumberFormat="1" applyFont="1" applyFill="1" applyBorder="1" applyAlignment="1">
      <alignment horizontal="right"/>
    </xf>
    <xf numFmtId="49" fontId="0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center" vertical="center"/>
    </xf>
    <xf numFmtId="14" fontId="0" fillId="0" borderId="1" xfId="1" applyNumberFormat="1" applyFont="1" applyFill="1" applyBorder="1" applyAlignment="1">
      <alignment horizontal="center"/>
    </xf>
    <xf numFmtId="166" fontId="10" fillId="0" borderId="1" xfId="1" applyNumberFormat="1" applyFont="1" applyFill="1" applyBorder="1" applyAlignment="1">
      <alignment horizontal="center"/>
    </xf>
    <xf numFmtId="0" fontId="10" fillId="0" borderId="1" xfId="0" quotePrefix="1" applyFont="1" applyFill="1" applyBorder="1" applyAlignment="1">
      <alignment horizontal="center" vertical="top"/>
    </xf>
    <xf numFmtId="0" fontId="0" fillId="0" borderId="1" xfId="0" quotePrefix="1" applyFont="1" applyFill="1" applyBorder="1" applyAlignment="1">
      <alignment horizontal="left"/>
    </xf>
    <xf numFmtId="1" fontId="10" fillId="0" borderId="1" xfId="0" applyNumberFormat="1" applyFont="1" applyFill="1" applyBorder="1" applyAlignment="1">
      <alignment horizontal="center"/>
    </xf>
    <xf numFmtId="15" fontId="10" fillId="0" borderId="1" xfId="0" applyNumberFormat="1" applyFont="1" applyFill="1" applyBorder="1" applyAlignment="1">
      <alignment horizontal="center" vertical="center"/>
    </xf>
    <xf numFmtId="49" fontId="0" fillId="0" borderId="1" xfId="0" quotePrefix="1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center" vertical="center"/>
    </xf>
    <xf numFmtId="2" fontId="0" fillId="0" borderId="1" xfId="0" quotePrefix="1" applyNumberFormat="1" applyFont="1" applyFill="1" applyBorder="1" applyAlignment="1">
      <alignment horizontal="left"/>
    </xf>
    <xf numFmtId="2" fontId="0" fillId="0" borderId="1" xfId="0" applyNumberFormat="1" applyFont="1" applyFill="1" applyBorder="1" applyAlignment="1">
      <alignment horizontal="left"/>
    </xf>
    <xf numFmtId="0" fontId="0" fillId="0" borderId="1" xfId="0" quotePrefix="1" applyFont="1" applyFill="1" applyBorder="1" applyAlignment="1">
      <alignment horizontal="center" vertical="center"/>
    </xf>
    <xf numFmtId="1" fontId="10" fillId="0" borderId="1" xfId="0" quotePrefix="1" applyNumberFormat="1" applyFont="1" applyFill="1" applyBorder="1" applyAlignment="1">
      <alignment horizontal="left" vertical="center"/>
    </xf>
    <xf numFmtId="15" fontId="0" fillId="0" borderId="1" xfId="0" applyNumberFormat="1" applyFont="1" applyFill="1" applyBorder="1" applyAlignment="1">
      <alignment horizontal="left" vertical="top"/>
    </xf>
    <xf numFmtId="15" fontId="10" fillId="0" borderId="1" xfId="3" applyNumberFormat="1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1" fontId="10" fillId="0" borderId="1" xfId="0" quotePrefix="1" applyNumberFormat="1" applyFont="1" applyFill="1" applyBorder="1" applyAlignment="1">
      <alignment horizontal="center" vertical="center"/>
    </xf>
    <xf numFmtId="0" fontId="10" fillId="0" borderId="1" xfId="0" quotePrefix="1" applyFont="1" applyFill="1" applyBorder="1" applyAlignment="1">
      <alignment horizontal="left" vertical="top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 vertical="top" wrapText="1"/>
    </xf>
    <xf numFmtId="0" fontId="10" fillId="0" borderId="1" xfId="0" quotePrefix="1" applyFont="1" applyFill="1" applyBorder="1" applyAlignment="1">
      <alignment horizontal="center"/>
    </xf>
    <xf numFmtId="15" fontId="0" fillId="0" borderId="1" xfId="0" applyNumberFormat="1" applyFont="1" applyFill="1" applyBorder="1" applyAlignment="1">
      <alignment horizontal="center" vertical="top"/>
    </xf>
    <xf numFmtId="49" fontId="0" fillId="0" borderId="1" xfId="0" quotePrefix="1" applyNumberFormat="1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0" fillId="0" borderId="1" xfId="1" applyNumberFormat="1" applyFont="1" applyFill="1" applyBorder="1" applyAlignment="1">
      <alignment horizontal="center"/>
    </xf>
    <xf numFmtId="168" fontId="0" fillId="0" borderId="0" xfId="0" applyNumberFormat="1" applyFont="1" applyFill="1" applyAlignment="1">
      <alignment horizontal="center"/>
    </xf>
    <xf numFmtId="166" fontId="0" fillId="0" borderId="0" xfId="1" applyNumberFormat="1" applyFont="1" applyFill="1" applyBorder="1" applyAlignment="1">
      <alignment horizontal="right"/>
    </xf>
    <xf numFmtId="0" fontId="9" fillId="0" borderId="1" xfId="0" applyFont="1" applyFill="1" applyBorder="1" applyAlignment="1">
      <alignment horizontal="center"/>
    </xf>
    <xf numFmtId="1" fontId="9" fillId="0" borderId="1" xfId="0" quotePrefix="1" applyNumberFormat="1" applyFont="1" applyFill="1" applyBorder="1" applyAlignment="1">
      <alignment horizontal="left" vertical="center"/>
    </xf>
    <xf numFmtId="165" fontId="6" fillId="0" borderId="2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quotePrefix="1" applyFont="1" applyFill="1" applyAlignment="1">
      <alignment horizontal="left"/>
    </xf>
    <xf numFmtId="0" fontId="0" fillId="0" borderId="0" xfId="0" applyFill="1" applyAlignment="1">
      <alignment horizontal="left"/>
    </xf>
    <xf numFmtId="1" fontId="0" fillId="0" borderId="0" xfId="0" applyNumberFormat="1" applyFont="1" applyFill="1"/>
    <xf numFmtId="1" fontId="7" fillId="3" borderId="0" xfId="0" applyNumberFormat="1" applyFont="1" applyFill="1" applyBorder="1" applyAlignment="1">
      <alignment horizontal="center" vertical="center" wrapText="1"/>
    </xf>
    <xf numFmtId="166" fontId="8" fillId="0" borderId="0" xfId="1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15" fontId="9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NumberFormat="1" applyFill="1"/>
    <xf numFmtId="0" fontId="2" fillId="0" borderId="1" xfId="0" applyFont="1" applyFill="1" applyBorder="1" applyAlignment="1"/>
    <xf numFmtId="0" fontId="2" fillId="0" borderId="0" xfId="0" applyFont="1" applyFill="1" applyBorder="1"/>
    <xf numFmtId="0" fontId="17" fillId="0" borderId="8" xfId="0" applyFont="1" applyFill="1" applyBorder="1" applyAlignment="1">
      <alignment horizontal="center" vertical="center" wrapText="1"/>
    </xf>
    <xf numFmtId="0" fontId="18" fillId="0" borderId="8" xfId="0" quotePrefix="1" applyFont="1" applyFill="1" applyBorder="1" applyAlignment="1">
      <alignment horizontal="center" vertical="center"/>
    </xf>
    <xf numFmtId="0" fontId="19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166" fontId="7" fillId="0" borderId="1" xfId="1" applyNumberFormat="1" applyFont="1" applyFill="1" applyBorder="1" applyAlignment="1">
      <alignment horizontal="center" vertical="center" wrapText="1"/>
    </xf>
    <xf numFmtId="167" fontId="7" fillId="0" borderId="1" xfId="1" applyNumberFormat="1" applyFont="1" applyFill="1" applyBorder="1" applyAlignment="1">
      <alignment horizontal="center" vertical="center" wrapText="1"/>
    </xf>
    <xf numFmtId="43" fontId="7" fillId="0" borderId="1" xfId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left" vertical="center"/>
    </xf>
    <xf numFmtId="165" fontId="7" fillId="0" borderId="1" xfId="0" applyNumberFormat="1" applyFont="1" applyFill="1" applyBorder="1" applyAlignment="1">
      <alignment horizontal="center" vertical="center"/>
    </xf>
    <xf numFmtId="9" fontId="7" fillId="0" borderId="1" xfId="2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center"/>
    </xf>
    <xf numFmtId="15" fontId="15" fillId="5" borderId="1" xfId="0" applyNumberFormat="1" applyFont="1" applyFill="1" applyBorder="1" applyAlignment="1">
      <alignment horizontal="center"/>
    </xf>
    <xf numFmtId="0" fontId="15" fillId="5" borderId="1" xfId="0" applyFont="1" applyFill="1" applyBorder="1"/>
    <xf numFmtId="166" fontId="8" fillId="5" borderId="1" xfId="1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166" fontId="8" fillId="5" borderId="1" xfId="1" applyNumberFormat="1" applyFont="1" applyFill="1" applyBorder="1" applyAlignment="1">
      <alignment horizontal="center"/>
    </xf>
    <xf numFmtId="167" fontId="8" fillId="5" borderId="1" xfId="1" applyNumberFormat="1" applyFont="1" applyFill="1" applyBorder="1" applyAlignment="1">
      <alignment vertical="center"/>
    </xf>
    <xf numFmtId="43" fontId="8" fillId="5" borderId="1" xfId="1" applyFont="1" applyFill="1" applyBorder="1" applyAlignment="1">
      <alignment horizontal="center"/>
    </xf>
    <xf numFmtId="167" fontId="8" fillId="5" borderId="1" xfId="1" applyNumberFormat="1" applyFont="1" applyFill="1" applyBorder="1" applyAlignment="1">
      <alignment horizontal="center"/>
    </xf>
    <xf numFmtId="43" fontId="0" fillId="5" borderId="1" xfId="0" applyNumberFormat="1" applyFill="1" applyBorder="1"/>
    <xf numFmtId="166" fontId="8" fillId="5" borderId="1" xfId="1" applyNumberFormat="1" applyFont="1" applyFill="1" applyBorder="1" applyAlignment="1">
      <alignment horizontal="right" vertical="center"/>
    </xf>
    <xf numFmtId="166" fontId="8" fillId="5" borderId="1" xfId="1" applyNumberFormat="1" applyFont="1" applyFill="1" applyBorder="1" applyAlignment="1">
      <alignment horizontal="right"/>
    </xf>
    <xf numFmtId="0" fontId="10" fillId="5" borderId="1" xfId="0" applyFont="1" applyFill="1" applyBorder="1" applyAlignment="1">
      <alignment horizontal="center" vertical="center"/>
    </xf>
    <xf numFmtId="1" fontId="10" fillId="5" borderId="1" xfId="0" quotePrefix="1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ont="1" applyFill="1"/>
    <xf numFmtId="0" fontId="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10" fillId="5" borderId="1" xfId="0" quotePrefix="1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/>
    </xf>
    <xf numFmtId="167" fontId="0" fillId="5" borderId="1" xfId="1" applyNumberFormat="1" applyFont="1" applyFill="1" applyBorder="1" applyAlignment="1">
      <alignment horizontal="center"/>
    </xf>
    <xf numFmtId="15" fontId="0" fillId="5" borderId="1" xfId="0" applyNumberFormat="1" applyFont="1" applyFill="1" applyBorder="1" applyAlignment="1">
      <alignment horizontal="center" vertical="top"/>
    </xf>
    <xf numFmtId="1" fontId="10" fillId="5" borderId="1" xfId="0" applyNumberFormat="1" applyFont="1" applyFill="1" applyBorder="1" applyAlignment="1">
      <alignment horizontal="center"/>
    </xf>
    <xf numFmtId="0" fontId="0" fillId="5" borderId="1" xfId="0" applyNumberFormat="1" applyFont="1" applyFill="1" applyBorder="1" applyAlignment="1">
      <alignment horizontal="left"/>
    </xf>
    <xf numFmtId="166" fontId="10" fillId="5" borderId="1" xfId="1" applyNumberFormat="1" applyFont="1" applyFill="1" applyBorder="1" applyAlignment="1">
      <alignment horizontal="center"/>
    </xf>
    <xf numFmtId="166" fontId="0" fillId="5" borderId="1" xfId="1" applyNumberFormat="1" applyFont="1" applyFill="1" applyBorder="1"/>
    <xf numFmtId="165" fontId="10" fillId="5" borderId="1" xfId="0" applyNumberFormat="1" applyFont="1" applyFill="1" applyBorder="1" applyAlignment="1">
      <alignment horizontal="center"/>
    </xf>
    <xf numFmtId="166" fontId="0" fillId="5" borderId="1" xfId="1" applyNumberFormat="1" applyFont="1" applyFill="1" applyBorder="1" applyAlignment="1">
      <alignment horizontal="center"/>
    </xf>
    <xf numFmtId="166" fontId="0" fillId="5" borderId="1" xfId="1" applyNumberFormat="1" applyFont="1" applyFill="1" applyBorder="1" applyAlignment="1">
      <alignment horizontal="right"/>
    </xf>
    <xf numFmtId="43" fontId="0" fillId="5" borderId="1" xfId="0" applyNumberFormat="1" applyFont="1" applyFill="1" applyBorder="1"/>
    <xf numFmtId="166" fontId="10" fillId="5" borderId="1" xfId="1" applyNumberFormat="1" applyFont="1" applyFill="1" applyBorder="1" applyAlignment="1">
      <alignment horizontal="right"/>
    </xf>
    <xf numFmtId="1" fontId="10" fillId="5" borderId="1" xfId="0" quotePrefix="1" applyNumberFormat="1" applyFont="1" applyFill="1" applyBorder="1" applyAlignment="1">
      <alignment horizontal="left" vertical="center"/>
    </xf>
    <xf numFmtId="0" fontId="0" fillId="5" borderId="1" xfId="0" applyFont="1" applyFill="1" applyBorder="1"/>
    <xf numFmtId="0" fontId="10" fillId="5" borderId="1" xfId="0" applyFont="1" applyFill="1" applyBorder="1" applyAlignment="1">
      <alignment horizontal="left" vertical="top"/>
    </xf>
    <xf numFmtId="0" fontId="0" fillId="5" borderId="1" xfId="1" applyNumberFormat="1" applyFont="1" applyFill="1" applyBorder="1" applyAlignment="1">
      <alignment horizontal="center"/>
    </xf>
    <xf numFmtId="0" fontId="10" fillId="5" borderId="1" xfId="0" quotePrefix="1" applyFont="1" applyFill="1" applyBorder="1" applyAlignment="1">
      <alignment horizontal="center" vertical="top"/>
    </xf>
    <xf numFmtId="0" fontId="0" fillId="5" borderId="1" xfId="0" quotePrefix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" fontId="9" fillId="5" borderId="1" xfId="0" quotePrefix="1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top"/>
    </xf>
    <xf numFmtId="0" fontId="15" fillId="6" borderId="1" xfId="0" applyFont="1" applyFill="1" applyBorder="1" applyAlignment="1">
      <alignment horizontal="center"/>
    </xf>
    <xf numFmtId="15" fontId="15" fillId="6" borderId="1" xfId="0" applyNumberFormat="1" applyFont="1" applyFill="1" applyBorder="1" applyAlignment="1">
      <alignment horizontal="center"/>
    </xf>
    <xf numFmtId="0" fontId="15" fillId="6" borderId="1" xfId="0" applyFont="1" applyFill="1" applyBorder="1"/>
    <xf numFmtId="166" fontId="8" fillId="6" borderId="1" xfId="1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166" fontId="8" fillId="6" borderId="1" xfId="1" applyNumberFormat="1" applyFont="1" applyFill="1" applyBorder="1" applyAlignment="1">
      <alignment horizontal="center"/>
    </xf>
    <xf numFmtId="167" fontId="8" fillId="6" borderId="1" xfId="1" applyNumberFormat="1" applyFont="1" applyFill="1" applyBorder="1" applyAlignment="1">
      <alignment vertical="center"/>
    </xf>
    <xf numFmtId="43" fontId="8" fillId="6" borderId="1" xfId="1" applyFont="1" applyFill="1" applyBorder="1" applyAlignment="1">
      <alignment horizontal="center"/>
    </xf>
    <xf numFmtId="167" fontId="8" fillId="6" borderId="1" xfId="1" applyNumberFormat="1" applyFont="1" applyFill="1" applyBorder="1" applyAlignment="1">
      <alignment horizontal="center"/>
    </xf>
    <xf numFmtId="43" fontId="0" fillId="6" borderId="1" xfId="0" applyNumberFormat="1" applyFill="1" applyBorder="1"/>
    <xf numFmtId="166" fontId="8" fillId="6" borderId="1" xfId="1" applyNumberFormat="1" applyFont="1" applyFill="1" applyBorder="1" applyAlignment="1">
      <alignment horizontal="right" vertical="center"/>
    </xf>
    <xf numFmtId="166" fontId="8" fillId="6" borderId="1" xfId="1" applyNumberFormat="1" applyFont="1" applyFill="1" applyBorder="1" applyAlignment="1">
      <alignment horizontal="right"/>
    </xf>
    <xf numFmtId="0" fontId="10" fillId="6" borderId="1" xfId="0" applyFont="1" applyFill="1" applyBorder="1" applyAlignment="1">
      <alignment horizontal="center" vertical="center"/>
    </xf>
    <xf numFmtId="1" fontId="10" fillId="6" borderId="1" xfId="0" quotePrefix="1" applyNumberFormat="1" applyFont="1" applyFill="1" applyBorder="1" applyAlignment="1">
      <alignment horizontal="center" vertical="center"/>
    </xf>
    <xf numFmtId="0" fontId="0" fillId="6" borderId="1" xfId="0" applyFill="1" applyBorder="1"/>
    <xf numFmtId="166" fontId="8" fillId="6" borderId="0" xfId="1" applyNumberFormat="1" applyFont="1" applyFill="1" applyBorder="1" applyAlignment="1">
      <alignment horizontal="right" vertical="center"/>
    </xf>
    <xf numFmtId="0" fontId="0" fillId="6" borderId="0" xfId="0" applyFont="1" applyFill="1"/>
    <xf numFmtId="0" fontId="0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6" borderId="1" xfId="0" quotePrefix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left"/>
    </xf>
    <xf numFmtId="0" fontId="0" fillId="6" borderId="1" xfId="1" applyNumberFormat="1" applyFont="1" applyFill="1" applyBorder="1" applyAlignment="1">
      <alignment horizontal="center"/>
    </xf>
    <xf numFmtId="15" fontId="10" fillId="6" borderId="1" xfId="3" applyNumberFormat="1" applyFont="1" applyFill="1" applyBorder="1" applyAlignment="1">
      <alignment horizontal="center" vertical="top"/>
    </xf>
    <xf numFmtId="0" fontId="0" fillId="6" borderId="1" xfId="0" applyFont="1" applyFill="1" applyBorder="1"/>
    <xf numFmtId="1" fontId="10" fillId="6" borderId="1" xfId="0" applyNumberFormat="1" applyFont="1" applyFill="1" applyBorder="1" applyAlignment="1">
      <alignment horizontal="center"/>
    </xf>
    <xf numFmtId="0" fontId="0" fillId="6" borderId="1" xfId="0" applyNumberFormat="1" applyFont="1" applyFill="1" applyBorder="1" applyAlignment="1">
      <alignment horizontal="left"/>
    </xf>
    <xf numFmtId="166" fontId="10" fillId="6" borderId="1" xfId="1" applyNumberFormat="1" applyFont="1" applyFill="1" applyBorder="1" applyAlignment="1">
      <alignment horizontal="center"/>
    </xf>
    <xf numFmtId="166" fontId="0" fillId="6" borderId="1" xfId="1" applyNumberFormat="1" applyFont="1" applyFill="1" applyBorder="1"/>
    <xf numFmtId="165" fontId="10" fillId="6" borderId="1" xfId="0" applyNumberFormat="1" applyFont="1" applyFill="1" applyBorder="1" applyAlignment="1">
      <alignment horizontal="center"/>
    </xf>
    <xf numFmtId="166" fontId="0" fillId="6" borderId="1" xfId="1" applyNumberFormat="1" applyFont="1" applyFill="1" applyBorder="1" applyAlignment="1">
      <alignment horizontal="center"/>
    </xf>
    <xf numFmtId="166" fontId="0" fillId="6" borderId="1" xfId="1" applyNumberFormat="1" applyFont="1" applyFill="1" applyBorder="1" applyAlignment="1">
      <alignment horizontal="right"/>
    </xf>
    <xf numFmtId="167" fontId="0" fillId="6" borderId="1" xfId="1" applyNumberFormat="1" applyFont="1" applyFill="1" applyBorder="1" applyAlignment="1">
      <alignment horizontal="center"/>
    </xf>
    <xf numFmtId="43" fontId="0" fillId="6" borderId="1" xfId="0" applyNumberFormat="1" applyFont="1" applyFill="1" applyBorder="1"/>
    <xf numFmtId="166" fontId="10" fillId="6" borderId="1" xfId="1" applyNumberFormat="1" applyFont="1" applyFill="1" applyBorder="1" applyAlignment="1">
      <alignment horizontal="right"/>
    </xf>
    <xf numFmtId="0" fontId="9" fillId="6" borderId="1" xfId="0" applyFont="1" applyFill="1" applyBorder="1" applyAlignment="1">
      <alignment horizontal="center" vertical="center"/>
    </xf>
    <xf numFmtId="1" fontId="9" fillId="6" borderId="1" xfId="0" quotePrefix="1" applyNumberFormat="1" applyFont="1" applyFill="1" applyBorder="1" applyAlignment="1">
      <alignment horizontal="center" vertical="center"/>
    </xf>
    <xf numFmtId="1" fontId="0" fillId="6" borderId="0" xfId="0" applyNumberFormat="1" applyFont="1" applyFill="1"/>
    <xf numFmtId="0" fontId="0" fillId="6" borderId="1" xfId="1" quotePrefix="1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3" xfId="3"/>
    <cellStyle name="Percent" xfId="2" builtinId="5"/>
  </cellStyles>
  <dxfs count="86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95"/>
  <sheetViews>
    <sheetView zoomScale="85" zoomScaleNormal="85" workbookViewId="0">
      <pane xSplit="5" ySplit="2" topLeftCell="F184" activePane="bottomRight" state="frozen"/>
      <selection activeCell="BF1" sqref="BF1"/>
      <selection pane="topRight" activeCell="BF1" sqref="BF1"/>
      <selection pane="bottomLeft" activeCell="BF1" sqref="BF1"/>
      <selection pane="bottomRight" activeCell="G218" sqref="G218"/>
    </sheetView>
  </sheetViews>
  <sheetFormatPr defaultColWidth="9.140625" defaultRowHeight="15" x14ac:dyDescent="0.25"/>
  <cols>
    <col min="1" max="1" width="10.42578125" style="11" bestFit="1" customWidth="1"/>
    <col min="2" max="2" width="17.28515625" style="59" bestFit="1" customWidth="1"/>
    <col min="3" max="3" width="15.42578125" style="15" customWidth="1"/>
    <col min="4" max="4" width="15.42578125" style="11" customWidth="1"/>
    <col min="5" max="5" width="31.5703125" style="11" bestFit="1" customWidth="1"/>
    <col min="6" max="6" width="14.85546875" style="11" customWidth="1"/>
    <col min="7" max="7" width="19.42578125" style="11" customWidth="1"/>
    <col min="8" max="8" width="19.85546875" style="11" customWidth="1"/>
    <col min="9" max="9" width="14.7109375" style="15" customWidth="1"/>
    <col min="10" max="10" width="11.28515625" style="11" hidden="1" customWidth="1"/>
    <col min="11" max="11" width="20.42578125" style="15" customWidth="1"/>
    <col min="12" max="12" width="11.140625" style="11" hidden="1" customWidth="1"/>
    <col min="13" max="13" width="11.140625" style="11" customWidth="1"/>
    <col min="14" max="14" width="24.28515625" style="11" customWidth="1"/>
    <col min="15" max="15" width="30.7109375" style="11" customWidth="1"/>
    <col min="16" max="16" width="14.85546875" style="11" customWidth="1"/>
    <col min="17" max="17" width="16.42578125" style="11" customWidth="1"/>
    <col min="18" max="18" width="10.5703125" style="11" customWidth="1"/>
    <col min="19" max="19" width="14.28515625" style="11" customWidth="1"/>
    <col min="20" max="20" width="22.85546875" style="11" customWidth="1"/>
    <col min="21" max="21" width="16.140625" style="11" customWidth="1"/>
    <col min="22" max="22" width="20" style="11" customWidth="1"/>
    <col min="23" max="23" width="14.5703125" style="11" customWidth="1"/>
    <col min="24" max="24" width="11.5703125" style="11" customWidth="1"/>
    <col min="25" max="25" width="12.28515625" style="11" customWidth="1"/>
    <col min="26" max="26" width="20" style="11" customWidth="1"/>
    <col min="27" max="27" width="22.85546875" style="11" customWidth="1"/>
    <col min="28" max="28" width="25.28515625" style="11" customWidth="1"/>
    <col min="29" max="29" width="28.5703125" style="11" customWidth="1"/>
    <col min="30" max="30" width="18.28515625" style="11" customWidth="1"/>
    <col min="31" max="31" width="17.140625" style="11" customWidth="1"/>
    <col min="32" max="32" width="25.140625" style="11" customWidth="1"/>
    <col min="33" max="33" width="17.140625" style="11" customWidth="1"/>
    <col min="34" max="34" width="21.140625" style="11" customWidth="1"/>
    <col min="35" max="35" width="20.140625" style="11" customWidth="1"/>
    <col min="36" max="36" width="19.140625" style="11" customWidth="1"/>
    <col min="37" max="38" width="16.140625" style="11" customWidth="1"/>
    <col min="39" max="39" width="20" style="11" customWidth="1"/>
    <col min="40" max="40" width="18" style="11" customWidth="1"/>
    <col min="41" max="41" width="17.42578125" style="11" customWidth="1"/>
    <col min="42" max="42" width="16.140625" style="11" customWidth="1"/>
    <col min="43" max="43" width="13.85546875" style="11" customWidth="1"/>
    <col min="44" max="44" width="24.85546875" style="11" customWidth="1"/>
    <col min="45" max="45" width="24.42578125" style="11" customWidth="1"/>
    <col min="46" max="46" width="24.28515625" style="11" customWidth="1"/>
    <col min="47" max="47" width="24" style="11" customWidth="1"/>
    <col min="48" max="48" width="27" style="11" customWidth="1"/>
    <col min="49" max="49" width="12.42578125" style="11" bestFit="1" customWidth="1"/>
    <col min="50" max="50" width="26.5703125" style="11" customWidth="1"/>
    <col min="51" max="51" width="20.140625" style="11" bestFit="1" customWidth="1"/>
    <col min="52" max="52" width="18.140625" style="11" customWidth="1"/>
    <col min="53" max="53" width="23.42578125" style="11" customWidth="1"/>
    <col min="54" max="54" width="28.140625" style="11" customWidth="1"/>
    <col min="55" max="55" width="15" style="11" customWidth="1"/>
    <col min="56" max="56" width="19.28515625" style="155" customWidth="1"/>
    <col min="57" max="57" width="19.28515625" style="33" bestFit="1" customWidth="1"/>
    <col min="58" max="58" width="16.42578125" style="11" hidden="1" customWidth="1"/>
    <col min="59" max="59" width="19.28515625" style="15" bestFit="1" customWidth="1"/>
    <col min="60" max="60" width="36.140625" style="11" bestFit="1" customWidth="1"/>
    <col min="61" max="62" width="0" style="11" hidden="1" customWidth="1"/>
    <col min="63" max="16384" width="9.140625" style="11"/>
  </cols>
  <sheetData>
    <row r="1" spans="1:62" ht="19.5" x14ac:dyDescent="0.3">
      <c r="A1" s="86"/>
      <c r="B1" s="87"/>
      <c r="C1" s="86"/>
      <c r="D1" s="86"/>
      <c r="E1" s="88"/>
      <c r="F1" s="88"/>
      <c r="G1" s="88"/>
      <c r="H1" s="61"/>
      <c r="I1" s="89"/>
      <c r="J1" s="89"/>
      <c r="K1" s="89"/>
      <c r="L1" s="89"/>
      <c r="M1" s="86"/>
      <c r="N1" s="263" t="s">
        <v>1453</v>
      </c>
      <c r="O1" s="264"/>
      <c r="P1" s="264"/>
      <c r="Q1" s="264"/>
      <c r="R1" s="264"/>
      <c r="S1" s="61"/>
      <c r="T1" s="61"/>
      <c r="U1" s="61"/>
      <c r="V1" s="62"/>
      <c r="W1" s="63"/>
      <c r="X1" s="62"/>
      <c r="Y1" s="62"/>
      <c r="Z1" s="62"/>
      <c r="AA1" s="62"/>
      <c r="AB1" s="90"/>
      <c r="AC1" s="90"/>
      <c r="AD1" s="90"/>
      <c r="AE1" s="90"/>
      <c r="AF1" s="90"/>
      <c r="AG1" s="90"/>
      <c r="AH1" s="91"/>
      <c r="AI1" s="61"/>
      <c r="AJ1" s="61"/>
      <c r="AK1" s="61"/>
      <c r="AL1" s="61"/>
      <c r="AM1" s="61"/>
      <c r="AN1" s="92"/>
      <c r="AO1" s="92"/>
      <c r="AP1" s="62"/>
      <c r="AQ1" s="93"/>
      <c r="AR1" s="61"/>
      <c r="AS1" s="61"/>
      <c r="AT1" s="61"/>
      <c r="AU1" s="61"/>
      <c r="AV1" s="61"/>
      <c r="AW1" s="61"/>
      <c r="AX1" s="61"/>
      <c r="AY1" s="61"/>
      <c r="AZ1" s="61"/>
      <c r="BA1" s="94"/>
      <c r="BB1" s="86"/>
      <c r="BC1" s="95"/>
      <c r="BD1" s="152"/>
      <c r="BE1" s="64"/>
      <c r="BF1" s="65"/>
    </row>
    <row r="2" spans="1:62" ht="34.5" customHeight="1" x14ac:dyDescent="0.25">
      <c r="A2" s="168" t="s">
        <v>0</v>
      </c>
      <c r="B2" s="168" t="s">
        <v>1</v>
      </c>
      <c r="C2" s="168" t="s">
        <v>2</v>
      </c>
      <c r="D2" s="168" t="s">
        <v>3</v>
      </c>
      <c r="E2" s="168" t="s">
        <v>4</v>
      </c>
      <c r="F2" s="168" t="s">
        <v>162</v>
      </c>
      <c r="G2" s="168" t="s">
        <v>105</v>
      </c>
      <c r="H2" s="168" t="s">
        <v>5</v>
      </c>
      <c r="I2" s="168" t="s">
        <v>6</v>
      </c>
      <c r="J2" s="168" t="s">
        <v>112</v>
      </c>
      <c r="K2" s="168" t="s">
        <v>7</v>
      </c>
      <c r="L2" s="168" t="s">
        <v>112</v>
      </c>
      <c r="M2" s="168" t="s">
        <v>8</v>
      </c>
      <c r="N2" s="168" t="s">
        <v>9</v>
      </c>
      <c r="O2" s="168" t="s">
        <v>10</v>
      </c>
      <c r="P2" s="168" t="s">
        <v>11</v>
      </c>
      <c r="Q2" s="168" t="s">
        <v>12</v>
      </c>
      <c r="R2" s="168" t="s">
        <v>13</v>
      </c>
      <c r="S2" s="168" t="s">
        <v>102</v>
      </c>
      <c r="T2" s="169" t="s">
        <v>333</v>
      </c>
      <c r="U2" s="168" t="s">
        <v>14</v>
      </c>
      <c r="V2" s="170" t="s">
        <v>15</v>
      </c>
      <c r="W2" s="168" t="s">
        <v>16</v>
      </c>
      <c r="X2" s="170" t="s">
        <v>17</v>
      </c>
      <c r="Y2" s="170" t="s">
        <v>144</v>
      </c>
      <c r="Z2" s="170" t="s">
        <v>15</v>
      </c>
      <c r="AA2" s="170" t="s">
        <v>18</v>
      </c>
      <c r="AB2" s="171" t="s">
        <v>19</v>
      </c>
      <c r="AC2" s="171" t="s">
        <v>20</v>
      </c>
      <c r="AD2" s="171" t="s">
        <v>21</v>
      </c>
      <c r="AE2" s="171" t="s">
        <v>22</v>
      </c>
      <c r="AF2" s="171" t="s">
        <v>23</v>
      </c>
      <c r="AG2" s="171" t="s">
        <v>149</v>
      </c>
      <c r="AH2" s="172" t="s">
        <v>24</v>
      </c>
      <c r="AI2" s="168" t="s">
        <v>25</v>
      </c>
      <c r="AJ2" s="168" t="s">
        <v>26</v>
      </c>
      <c r="AK2" s="168" t="s">
        <v>27</v>
      </c>
      <c r="AL2" s="168" t="s">
        <v>17</v>
      </c>
      <c r="AM2" s="168" t="s">
        <v>30</v>
      </c>
      <c r="AN2" s="170" t="s">
        <v>28</v>
      </c>
      <c r="AO2" s="170" t="s">
        <v>29</v>
      </c>
      <c r="AP2" s="170" t="s">
        <v>98</v>
      </c>
      <c r="AQ2" s="173" t="s">
        <v>31</v>
      </c>
      <c r="AR2" s="168" t="s">
        <v>32</v>
      </c>
      <c r="AS2" s="168" t="s">
        <v>33</v>
      </c>
      <c r="AT2" s="168" t="s">
        <v>34</v>
      </c>
      <c r="AU2" s="168" t="s">
        <v>35</v>
      </c>
      <c r="AV2" s="168" t="s">
        <v>337</v>
      </c>
      <c r="AW2" s="168" t="s">
        <v>36</v>
      </c>
      <c r="AX2" s="168" t="s">
        <v>338</v>
      </c>
      <c r="AY2" s="168" t="s">
        <v>132</v>
      </c>
      <c r="AZ2" s="168" t="s">
        <v>639</v>
      </c>
      <c r="BA2" s="174" t="s">
        <v>390</v>
      </c>
      <c r="BB2" s="168" t="s">
        <v>37</v>
      </c>
      <c r="BC2" s="168" t="s">
        <v>38</v>
      </c>
      <c r="BD2" s="175" t="s">
        <v>39</v>
      </c>
      <c r="BE2" s="176" t="s">
        <v>416</v>
      </c>
      <c r="BF2" s="177" t="s">
        <v>103</v>
      </c>
      <c r="BG2" s="177" t="s">
        <v>131</v>
      </c>
      <c r="BH2" s="168" t="s">
        <v>136</v>
      </c>
    </row>
    <row r="3" spans="1:62" s="13" customFormat="1" x14ac:dyDescent="0.25">
      <c r="A3" s="70">
        <v>1</v>
      </c>
      <c r="B3" s="108">
        <v>1001</v>
      </c>
      <c r="C3" s="108" t="s">
        <v>41</v>
      </c>
      <c r="D3" s="70" t="s">
        <v>41</v>
      </c>
      <c r="E3" s="114" t="s">
        <v>42</v>
      </c>
      <c r="F3" s="114" t="s">
        <v>163</v>
      </c>
      <c r="G3" s="115">
        <v>0</v>
      </c>
      <c r="H3" s="70" t="s">
        <v>43</v>
      </c>
      <c r="I3" s="74">
        <v>39995</v>
      </c>
      <c r="J3" s="115">
        <v>0</v>
      </c>
      <c r="K3" s="116"/>
      <c r="L3" s="116"/>
      <c r="M3" s="70" t="s">
        <v>44</v>
      </c>
      <c r="N3" s="117" t="s">
        <v>943</v>
      </c>
      <c r="O3" s="114" t="s">
        <v>45</v>
      </c>
      <c r="P3" s="70" t="s">
        <v>46</v>
      </c>
      <c r="Q3" s="70" t="s">
        <v>292</v>
      </c>
      <c r="R3" s="118">
        <v>600000</v>
      </c>
      <c r="S3" s="119">
        <v>150000</v>
      </c>
      <c r="T3" s="74">
        <v>44835</v>
      </c>
      <c r="U3" s="119">
        <f t="shared" ref="U3:U39" si="0">R3+S3</f>
        <v>750000</v>
      </c>
      <c r="V3" s="119">
        <v>750000</v>
      </c>
      <c r="W3" s="119">
        <f>V3*50%</f>
        <v>375000</v>
      </c>
      <c r="X3" s="118">
        <f>W3*50%</f>
        <v>187500</v>
      </c>
      <c r="Y3" s="118">
        <f t="shared" ref="Y3:Y12" si="1">+V3-W3-X3</f>
        <v>187500</v>
      </c>
      <c r="Z3" s="118">
        <f t="shared" ref="Z3:Z21" si="2">+W3+X3+Y3</f>
        <v>750000</v>
      </c>
      <c r="AA3" s="119">
        <v>30</v>
      </c>
      <c r="AB3" s="115">
        <v>34.5</v>
      </c>
      <c r="AC3" s="115">
        <v>0</v>
      </c>
      <c r="AD3" s="115">
        <v>1</v>
      </c>
      <c r="AE3" s="115"/>
      <c r="AF3" s="115">
        <f>AB3+AD3+AE3-AC3</f>
        <v>35.5</v>
      </c>
      <c r="AG3" s="115">
        <f>+AF3+AA3</f>
        <v>65.5</v>
      </c>
      <c r="AH3" s="101">
        <f>IF(AG3&gt;30,30,IF(AG3&lt;=30,AG3))</f>
        <v>30</v>
      </c>
      <c r="AI3" s="118">
        <f t="shared" ref="AI3:AI39" si="3">ROUND(U3*AH3/AA3,0)</f>
        <v>750000</v>
      </c>
      <c r="AJ3" s="118">
        <f t="shared" ref="AJ3:AJ54" si="4">ROUND(Z3*AH3/AA3,0)</f>
        <v>750000</v>
      </c>
      <c r="AK3" s="118">
        <f t="shared" ref="AK3:AK54" si="5">ROUND(W3*AH3/AA3,0)</f>
        <v>375000</v>
      </c>
      <c r="AL3" s="118">
        <f t="shared" ref="AL3:AL54" si="6">ROUND(X3*AH3/AA3,0)</f>
        <v>187500</v>
      </c>
      <c r="AM3" s="118">
        <f t="shared" ref="AM3:AM28" si="7">ROUND(Y3*AH3/AA3,0)</f>
        <v>187500</v>
      </c>
      <c r="AN3" s="119">
        <f t="shared" ref="AN3:AN54" si="8">ROUNDUP(IF(V3&gt;=21000,0,AJ3*3.25%),0)</f>
        <v>0</v>
      </c>
      <c r="AO3" s="119">
        <f>ROUND(IF(W3&lt;15001,AK3*12%),0)</f>
        <v>0</v>
      </c>
      <c r="AP3" s="118">
        <f t="shared" ref="AP3:AP28" si="9">SUM(AK3:AO3)</f>
        <v>750000</v>
      </c>
      <c r="AQ3" s="118">
        <v>230000</v>
      </c>
      <c r="AR3" s="118">
        <f t="shared" ref="AR3:AR54" si="10">ROUNDUP(IF(V3&gt;=21000,0,AJ3*0.75%),0)</f>
        <v>0</v>
      </c>
      <c r="AS3" s="118">
        <f t="shared" ref="AS3:AS28" si="11">AN3</f>
        <v>0</v>
      </c>
      <c r="AT3" s="118">
        <f t="shared" ref="AT3:AT28" si="12">AO3</f>
        <v>0</v>
      </c>
      <c r="AU3" s="118">
        <f t="shared" ref="AU3:AU28" si="13">AO3</f>
        <v>0</v>
      </c>
      <c r="AV3" s="118"/>
      <c r="AW3" s="118">
        <v>0</v>
      </c>
      <c r="AX3" s="118">
        <f>+AV3</f>
        <v>0</v>
      </c>
      <c r="AY3" s="120"/>
      <c r="AZ3" s="120">
        <v>0</v>
      </c>
      <c r="BA3" s="118">
        <f>AP3-AQ3-AR3-AS3-AT3-AU3-AW3+AY3-AZ3</f>
        <v>520000</v>
      </c>
      <c r="BB3" s="70" t="s">
        <v>70</v>
      </c>
      <c r="BC3" s="70" t="s">
        <v>210</v>
      </c>
      <c r="BD3" s="121" t="s">
        <v>267</v>
      </c>
      <c r="BE3" s="102"/>
      <c r="BF3" s="102"/>
      <c r="BG3" s="70" t="s">
        <v>48</v>
      </c>
      <c r="BH3" s="125">
        <v>0</v>
      </c>
      <c r="BI3" s="156"/>
      <c r="BJ3" s="70"/>
    </row>
    <row r="4" spans="1:62" s="13" customFormat="1" x14ac:dyDescent="0.25">
      <c r="A4" s="70">
        <f t="shared" ref="A4:A60" si="14">+A3+1</f>
        <v>2</v>
      </c>
      <c r="B4" s="108">
        <v>1022</v>
      </c>
      <c r="C4" s="108" t="s">
        <v>41</v>
      </c>
      <c r="D4" s="70" t="s">
        <v>41</v>
      </c>
      <c r="E4" s="114" t="s">
        <v>56</v>
      </c>
      <c r="F4" s="114" t="s">
        <v>165</v>
      </c>
      <c r="G4" s="115">
        <v>0</v>
      </c>
      <c r="H4" s="70" t="s">
        <v>43</v>
      </c>
      <c r="I4" s="74">
        <v>40833</v>
      </c>
      <c r="J4" s="74"/>
      <c r="K4" s="116"/>
      <c r="L4" s="116"/>
      <c r="M4" s="70" t="s">
        <v>44</v>
      </c>
      <c r="N4" s="117" t="s">
        <v>944</v>
      </c>
      <c r="O4" s="114" t="s">
        <v>53</v>
      </c>
      <c r="P4" s="70" t="s">
        <v>46</v>
      </c>
      <c r="Q4" s="70" t="s">
        <v>292</v>
      </c>
      <c r="R4" s="118">
        <v>88344</v>
      </c>
      <c r="S4" s="119">
        <f>+R4*0.07</f>
        <v>6184.0800000000008</v>
      </c>
      <c r="T4" s="74">
        <v>45778</v>
      </c>
      <c r="U4" s="119">
        <f t="shared" si="0"/>
        <v>94528.08</v>
      </c>
      <c r="V4" s="119">
        <v>94528</v>
      </c>
      <c r="W4" s="119">
        <f>+U4*0.5</f>
        <v>47264.04</v>
      </c>
      <c r="X4" s="118">
        <f t="shared" ref="X4:X6" si="15">+W4*0.5</f>
        <v>23632.02</v>
      </c>
      <c r="Y4" s="118">
        <f>+V4-W4-X4</f>
        <v>23631.94</v>
      </c>
      <c r="Z4" s="118">
        <f t="shared" si="2"/>
        <v>94528</v>
      </c>
      <c r="AA4" s="119">
        <v>30</v>
      </c>
      <c r="AB4" s="115">
        <v>2</v>
      </c>
      <c r="AC4" s="115">
        <v>0</v>
      </c>
      <c r="AD4" s="115">
        <v>1</v>
      </c>
      <c r="AE4" s="115"/>
      <c r="AF4" s="115">
        <f t="shared" ref="AF4:AF39" si="16">AB4+AD4+AE4-AC4</f>
        <v>3</v>
      </c>
      <c r="AG4" s="115">
        <f t="shared" ref="AG4:AG39" si="17">+AF4+AA4</f>
        <v>33</v>
      </c>
      <c r="AH4" s="101">
        <f t="shared" ref="AH4:AH67" si="18">IF(AG4&gt;30,30,IF(AG4&lt;=30,AG4))</f>
        <v>30</v>
      </c>
      <c r="AI4" s="118">
        <f t="shared" si="3"/>
        <v>94528</v>
      </c>
      <c r="AJ4" s="118">
        <f t="shared" si="4"/>
        <v>94528</v>
      </c>
      <c r="AK4" s="118">
        <f t="shared" si="5"/>
        <v>47264</v>
      </c>
      <c r="AL4" s="118">
        <f t="shared" si="6"/>
        <v>23632</v>
      </c>
      <c r="AM4" s="118">
        <f t="shared" si="7"/>
        <v>23632</v>
      </c>
      <c r="AN4" s="119">
        <f t="shared" si="8"/>
        <v>0</v>
      </c>
      <c r="AO4" s="119">
        <v>0</v>
      </c>
      <c r="AP4" s="118">
        <f t="shared" si="9"/>
        <v>94528</v>
      </c>
      <c r="AQ4" s="118">
        <v>0</v>
      </c>
      <c r="AR4" s="118">
        <f t="shared" si="10"/>
        <v>0</v>
      </c>
      <c r="AS4" s="118">
        <f t="shared" si="11"/>
        <v>0</v>
      </c>
      <c r="AT4" s="118">
        <f t="shared" si="12"/>
        <v>0</v>
      </c>
      <c r="AU4" s="118">
        <f t="shared" si="13"/>
        <v>0</v>
      </c>
      <c r="AV4" s="118">
        <v>0</v>
      </c>
      <c r="AW4" s="118">
        <v>0</v>
      </c>
      <c r="AX4" s="118">
        <f>+AV4</f>
        <v>0</v>
      </c>
      <c r="AY4" s="120"/>
      <c r="AZ4" s="120">
        <v>0</v>
      </c>
      <c r="BA4" s="118">
        <f t="shared" ref="BA4:BA47" si="19">AP4-AQ4-AR4-AS4-AT4-AU4-AW4+AY4-AZ4</f>
        <v>94528</v>
      </c>
      <c r="BB4" s="70" t="s">
        <v>57</v>
      </c>
      <c r="BC4" s="70" t="s">
        <v>58</v>
      </c>
      <c r="BD4" s="121" t="s">
        <v>59</v>
      </c>
      <c r="BE4" s="102"/>
      <c r="BF4" s="102"/>
      <c r="BG4" s="70" t="s">
        <v>48</v>
      </c>
      <c r="BH4" s="125">
        <v>0</v>
      </c>
      <c r="BI4" s="156"/>
      <c r="BJ4" s="70"/>
    </row>
    <row r="5" spans="1:62" s="13" customFormat="1" x14ac:dyDescent="0.25">
      <c r="A5" s="70">
        <f t="shared" si="14"/>
        <v>3</v>
      </c>
      <c r="B5" s="108">
        <v>1058</v>
      </c>
      <c r="C5" s="108" t="s">
        <v>41</v>
      </c>
      <c r="D5" s="99" t="s">
        <v>244</v>
      </c>
      <c r="E5" s="114" t="s">
        <v>237</v>
      </c>
      <c r="F5" s="114" t="s">
        <v>240</v>
      </c>
      <c r="G5" s="115">
        <v>0</v>
      </c>
      <c r="H5" s="122" t="s">
        <v>43</v>
      </c>
      <c r="I5" s="74">
        <v>44543</v>
      </c>
      <c r="J5" s="74"/>
      <c r="K5" s="116"/>
      <c r="L5" s="116"/>
      <c r="M5" s="70" t="s">
        <v>44</v>
      </c>
      <c r="N5" s="117" t="s">
        <v>946</v>
      </c>
      <c r="O5" s="114" t="s">
        <v>1112</v>
      </c>
      <c r="P5" s="70" t="s">
        <v>46</v>
      </c>
      <c r="Q5" s="70" t="s">
        <v>63</v>
      </c>
      <c r="R5" s="118">
        <v>39167</v>
      </c>
      <c r="S5" s="119">
        <f>+R5*0.12</f>
        <v>4700.04</v>
      </c>
      <c r="T5" s="74" t="s">
        <v>1531</v>
      </c>
      <c r="U5" s="119">
        <f t="shared" si="0"/>
        <v>43867.040000000001</v>
      </c>
      <c r="V5" s="119">
        <v>42067</v>
      </c>
      <c r="W5" s="119">
        <v>20000</v>
      </c>
      <c r="X5" s="118">
        <f t="shared" si="15"/>
        <v>10000</v>
      </c>
      <c r="Y5" s="118">
        <f>+V5-W5-X5</f>
        <v>12067</v>
      </c>
      <c r="Z5" s="118">
        <f t="shared" si="2"/>
        <v>42067</v>
      </c>
      <c r="AA5" s="119">
        <v>30</v>
      </c>
      <c r="AB5" s="115">
        <v>14</v>
      </c>
      <c r="AC5" s="115">
        <v>1</v>
      </c>
      <c r="AD5" s="115">
        <v>1</v>
      </c>
      <c r="AE5" s="115"/>
      <c r="AF5" s="115">
        <f t="shared" si="16"/>
        <v>14</v>
      </c>
      <c r="AG5" s="115">
        <f t="shared" si="17"/>
        <v>44</v>
      </c>
      <c r="AH5" s="101">
        <f t="shared" si="18"/>
        <v>30</v>
      </c>
      <c r="AI5" s="118">
        <f t="shared" si="3"/>
        <v>43867</v>
      </c>
      <c r="AJ5" s="118">
        <f t="shared" si="4"/>
        <v>42067</v>
      </c>
      <c r="AK5" s="118">
        <f t="shared" si="5"/>
        <v>20000</v>
      </c>
      <c r="AL5" s="118">
        <f t="shared" si="6"/>
        <v>10000</v>
      </c>
      <c r="AM5" s="118">
        <f t="shared" si="7"/>
        <v>12067</v>
      </c>
      <c r="AN5" s="119">
        <f t="shared" si="8"/>
        <v>0</v>
      </c>
      <c r="AO5" s="119">
        <f t="shared" ref="AO5:AO14" si="20">ROUND(IF(AK5&lt;15001,AK5*12%,1800),0)</f>
        <v>1800</v>
      </c>
      <c r="AP5" s="118">
        <f t="shared" si="9"/>
        <v>43867</v>
      </c>
      <c r="AQ5" s="118">
        <v>0</v>
      </c>
      <c r="AR5" s="118">
        <f t="shared" si="10"/>
        <v>0</v>
      </c>
      <c r="AS5" s="118">
        <f t="shared" si="11"/>
        <v>0</v>
      </c>
      <c r="AT5" s="118">
        <f t="shared" si="12"/>
        <v>1800</v>
      </c>
      <c r="AU5" s="118">
        <f t="shared" si="13"/>
        <v>1800</v>
      </c>
      <c r="AV5" s="118"/>
      <c r="AW5" s="118">
        <v>0</v>
      </c>
      <c r="AX5" s="118">
        <v>0</v>
      </c>
      <c r="AY5" s="120"/>
      <c r="AZ5" s="120">
        <v>0</v>
      </c>
      <c r="BA5" s="118">
        <f t="shared" si="19"/>
        <v>40267</v>
      </c>
      <c r="BB5" s="70" t="s">
        <v>50</v>
      </c>
      <c r="BC5" s="70" t="s">
        <v>51</v>
      </c>
      <c r="BD5" s="121" t="s">
        <v>253</v>
      </c>
      <c r="BE5" s="102"/>
      <c r="BF5" s="102"/>
      <c r="BG5" s="70" t="s">
        <v>48</v>
      </c>
      <c r="BH5" s="125">
        <v>0</v>
      </c>
      <c r="BI5" s="156"/>
      <c r="BJ5" s="70"/>
    </row>
    <row r="6" spans="1:62" s="13" customFormat="1" x14ac:dyDescent="0.25">
      <c r="A6" s="70">
        <f t="shared" si="14"/>
        <v>4</v>
      </c>
      <c r="B6" s="108">
        <v>1076</v>
      </c>
      <c r="C6" s="108" t="s">
        <v>41</v>
      </c>
      <c r="D6" s="99" t="s">
        <v>229</v>
      </c>
      <c r="E6" s="114" t="s">
        <v>71</v>
      </c>
      <c r="F6" s="114" t="s">
        <v>169</v>
      </c>
      <c r="G6" s="114">
        <v>9650816367</v>
      </c>
      <c r="H6" s="70" t="s">
        <v>43</v>
      </c>
      <c r="I6" s="74">
        <v>41592</v>
      </c>
      <c r="J6" s="74"/>
      <c r="K6" s="116"/>
      <c r="L6" s="116"/>
      <c r="M6" s="70" t="s">
        <v>44</v>
      </c>
      <c r="N6" s="117" t="s">
        <v>946</v>
      </c>
      <c r="O6" s="114" t="s">
        <v>977</v>
      </c>
      <c r="P6" s="70" t="s">
        <v>46</v>
      </c>
      <c r="Q6" s="70" t="s">
        <v>63</v>
      </c>
      <c r="R6" s="118">
        <v>35000</v>
      </c>
      <c r="S6" s="119">
        <v>3487</v>
      </c>
      <c r="T6" s="74">
        <v>45658</v>
      </c>
      <c r="U6" s="119">
        <f t="shared" si="0"/>
        <v>38487</v>
      </c>
      <c r="V6" s="119">
        <v>36687</v>
      </c>
      <c r="W6" s="119">
        <v>19500</v>
      </c>
      <c r="X6" s="118">
        <f t="shared" si="15"/>
        <v>9750</v>
      </c>
      <c r="Y6" s="118">
        <f t="shared" si="1"/>
        <v>7437</v>
      </c>
      <c r="Z6" s="118">
        <f t="shared" si="2"/>
        <v>36687</v>
      </c>
      <c r="AA6" s="119">
        <v>30</v>
      </c>
      <c r="AB6" s="115">
        <v>17.5</v>
      </c>
      <c r="AC6" s="115">
        <v>0.5</v>
      </c>
      <c r="AD6" s="115">
        <v>2</v>
      </c>
      <c r="AE6" s="115"/>
      <c r="AF6" s="115">
        <f t="shared" si="16"/>
        <v>19</v>
      </c>
      <c r="AG6" s="115">
        <f t="shared" si="17"/>
        <v>49</v>
      </c>
      <c r="AH6" s="101">
        <f t="shared" si="18"/>
        <v>30</v>
      </c>
      <c r="AI6" s="118">
        <f t="shared" si="3"/>
        <v>38487</v>
      </c>
      <c r="AJ6" s="118">
        <f t="shared" si="4"/>
        <v>36687</v>
      </c>
      <c r="AK6" s="118">
        <f t="shared" si="5"/>
        <v>19500</v>
      </c>
      <c r="AL6" s="118">
        <f t="shared" si="6"/>
        <v>9750</v>
      </c>
      <c r="AM6" s="118">
        <f t="shared" si="7"/>
        <v>7437</v>
      </c>
      <c r="AN6" s="119">
        <f t="shared" si="8"/>
        <v>0</v>
      </c>
      <c r="AO6" s="119">
        <f t="shared" si="20"/>
        <v>1800</v>
      </c>
      <c r="AP6" s="118">
        <f t="shared" si="9"/>
        <v>38487</v>
      </c>
      <c r="AQ6" s="118">
        <v>0</v>
      </c>
      <c r="AR6" s="118">
        <f t="shared" si="10"/>
        <v>0</v>
      </c>
      <c r="AS6" s="118">
        <f t="shared" si="11"/>
        <v>0</v>
      </c>
      <c r="AT6" s="118">
        <f t="shared" si="12"/>
        <v>1800</v>
      </c>
      <c r="AU6" s="118">
        <f t="shared" si="13"/>
        <v>1800</v>
      </c>
      <c r="AV6" s="118"/>
      <c r="AW6" s="118">
        <v>0</v>
      </c>
      <c r="AX6" s="118">
        <v>0</v>
      </c>
      <c r="AY6" s="120"/>
      <c r="AZ6" s="120">
        <v>0</v>
      </c>
      <c r="BA6" s="118">
        <f t="shared" si="19"/>
        <v>34887</v>
      </c>
      <c r="BB6" s="70" t="s">
        <v>54</v>
      </c>
      <c r="BC6" s="70" t="s">
        <v>55</v>
      </c>
      <c r="BD6" s="121" t="s">
        <v>72</v>
      </c>
      <c r="BE6" s="102"/>
      <c r="BF6" s="102"/>
      <c r="BG6" s="70" t="s">
        <v>48</v>
      </c>
      <c r="BH6" s="125">
        <v>0</v>
      </c>
      <c r="BI6" s="156"/>
      <c r="BJ6" s="70"/>
    </row>
    <row r="7" spans="1:62" s="13" customFormat="1" x14ac:dyDescent="0.25">
      <c r="A7" s="70">
        <f>+A6+1</f>
        <v>5</v>
      </c>
      <c r="B7" s="108">
        <v>1198</v>
      </c>
      <c r="C7" s="108" t="s">
        <v>41</v>
      </c>
      <c r="D7" s="99" t="s">
        <v>256</v>
      </c>
      <c r="E7" s="114" t="s">
        <v>65</v>
      </c>
      <c r="F7" s="114" t="s">
        <v>167</v>
      </c>
      <c r="G7" s="115">
        <v>0</v>
      </c>
      <c r="H7" s="70" t="s">
        <v>43</v>
      </c>
      <c r="I7" s="74">
        <v>42185</v>
      </c>
      <c r="J7" s="74"/>
      <c r="K7" s="116"/>
      <c r="L7" s="116"/>
      <c r="M7" s="70" t="s">
        <v>44</v>
      </c>
      <c r="N7" s="117" t="s">
        <v>948</v>
      </c>
      <c r="O7" s="114" t="s">
        <v>110</v>
      </c>
      <c r="P7" s="70" t="s">
        <v>46</v>
      </c>
      <c r="Q7" s="70" t="s">
        <v>63</v>
      </c>
      <c r="R7" s="118">
        <f>43000-72</f>
        <v>42928</v>
      </c>
      <c r="S7" s="119">
        <v>2000</v>
      </c>
      <c r="T7" s="74">
        <v>45658</v>
      </c>
      <c r="U7" s="119">
        <f t="shared" si="0"/>
        <v>44928</v>
      </c>
      <c r="V7" s="123">
        <v>43128</v>
      </c>
      <c r="W7" s="119">
        <v>23000</v>
      </c>
      <c r="X7" s="118">
        <f>+W7*50%</f>
        <v>11500</v>
      </c>
      <c r="Y7" s="118">
        <f t="shared" si="1"/>
        <v>8628</v>
      </c>
      <c r="Z7" s="118">
        <f t="shared" si="2"/>
        <v>43128</v>
      </c>
      <c r="AA7" s="119">
        <v>30</v>
      </c>
      <c r="AB7" s="115">
        <v>16.5</v>
      </c>
      <c r="AC7" s="115">
        <v>2</v>
      </c>
      <c r="AD7" s="115">
        <v>1</v>
      </c>
      <c r="AE7" s="115"/>
      <c r="AF7" s="115">
        <f t="shared" si="16"/>
        <v>15.5</v>
      </c>
      <c r="AG7" s="115">
        <f t="shared" si="17"/>
        <v>45.5</v>
      </c>
      <c r="AH7" s="101">
        <f t="shared" si="18"/>
        <v>30</v>
      </c>
      <c r="AI7" s="118">
        <f t="shared" si="3"/>
        <v>44928</v>
      </c>
      <c r="AJ7" s="118">
        <f t="shared" si="4"/>
        <v>43128</v>
      </c>
      <c r="AK7" s="118">
        <f t="shared" si="5"/>
        <v>23000</v>
      </c>
      <c r="AL7" s="118">
        <f t="shared" si="6"/>
        <v>11500</v>
      </c>
      <c r="AM7" s="118">
        <f t="shared" si="7"/>
        <v>8628</v>
      </c>
      <c r="AN7" s="119">
        <f t="shared" si="8"/>
        <v>0</v>
      </c>
      <c r="AO7" s="119">
        <f t="shared" si="20"/>
        <v>1800</v>
      </c>
      <c r="AP7" s="118">
        <f t="shared" si="9"/>
        <v>44928</v>
      </c>
      <c r="AQ7" s="118">
        <v>0</v>
      </c>
      <c r="AR7" s="118">
        <f t="shared" si="10"/>
        <v>0</v>
      </c>
      <c r="AS7" s="118">
        <f t="shared" si="11"/>
        <v>0</v>
      </c>
      <c r="AT7" s="118">
        <f t="shared" si="12"/>
        <v>1800</v>
      </c>
      <c r="AU7" s="118">
        <f t="shared" si="13"/>
        <v>1800</v>
      </c>
      <c r="AV7" s="118"/>
      <c r="AW7" s="118">
        <v>0</v>
      </c>
      <c r="AX7" s="118">
        <v>0</v>
      </c>
      <c r="AY7" s="120"/>
      <c r="AZ7" s="120">
        <v>300</v>
      </c>
      <c r="BA7" s="118">
        <f t="shared" si="19"/>
        <v>41028</v>
      </c>
      <c r="BB7" s="70" t="s">
        <v>54</v>
      </c>
      <c r="BC7" s="70" t="s">
        <v>55</v>
      </c>
      <c r="BD7" s="121" t="s">
        <v>66</v>
      </c>
      <c r="BE7" s="102"/>
      <c r="BF7" s="102"/>
      <c r="BG7" s="70" t="s">
        <v>48</v>
      </c>
      <c r="BH7" s="125">
        <v>0</v>
      </c>
      <c r="BI7" s="156"/>
      <c r="BJ7" s="70"/>
    </row>
    <row r="8" spans="1:62" s="13" customFormat="1" x14ac:dyDescent="0.25">
      <c r="A8" s="70">
        <f t="shared" si="14"/>
        <v>6</v>
      </c>
      <c r="B8" s="108">
        <v>1234</v>
      </c>
      <c r="C8" s="108" t="s">
        <v>41</v>
      </c>
      <c r="D8" s="99" t="s">
        <v>79</v>
      </c>
      <c r="E8" s="114" t="s">
        <v>80</v>
      </c>
      <c r="F8" s="114" t="s">
        <v>173</v>
      </c>
      <c r="G8" s="114">
        <v>9532295673</v>
      </c>
      <c r="H8" s="70" t="s">
        <v>43</v>
      </c>
      <c r="I8" s="74">
        <v>42328</v>
      </c>
      <c r="J8" s="74"/>
      <c r="K8" s="116"/>
      <c r="L8" s="116"/>
      <c r="M8" s="70" t="s">
        <v>44</v>
      </c>
      <c r="N8" s="117" t="s">
        <v>949</v>
      </c>
      <c r="O8" s="114" t="s">
        <v>1001</v>
      </c>
      <c r="P8" s="70" t="s">
        <v>46</v>
      </c>
      <c r="Q8" s="70" t="s">
        <v>63</v>
      </c>
      <c r="R8" s="118">
        <v>23560</v>
      </c>
      <c r="S8" s="119">
        <v>2000</v>
      </c>
      <c r="T8" s="124">
        <v>45413</v>
      </c>
      <c r="U8" s="119">
        <f t="shared" si="0"/>
        <v>25560</v>
      </c>
      <c r="V8" s="119">
        <v>24026</v>
      </c>
      <c r="W8" s="125">
        <f t="shared" ref="W8:W10" si="21">+U8*0.5</f>
        <v>12780</v>
      </c>
      <c r="X8" s="125">
        <f>+W8*0.5</f>
        <v>6390</v>
      </c>
      <c r="Y8" s="118">
        <f>+V8-W8-X8</f>
        <v>4856</v>
      </c>
      <c r="Z8" s="118">
        <f t="shared" si="2"/>
        <v>24026</v>
      </c>
      <c r="AA8" s="119">
        <v>30</v>
      </c>
      <c r="AB8" s="115">
        <v>12.5</v>
      </c>
      <c r="AC8" s="115">
        <v>4</v>
      </c>
      <c r="AD8" s="115">
        <v>1</v>
      </c>
      <c r="AE8" s="115"/>
      <c r="AF8" s="115">
        <f t="shared" si="16"/>
        <v>9.5</v>
      </c>
      <c r="AG8" s="115">
        <f t="shared" si="17"/>
        <v>39.5</v>
      </c>
      <c r="AH8" s="101">
        <f t="shared" si="18"/>
        <v>30</v>
      </c>
      <c r="AI8" s="118">
        <f t="shared" si="3"/>
        <v>25560</v>
      </c>
      <c r="AJ8" s="118">
        <f t="shared" si="4"/>
        <v>24026</v>
      </c>
      <c r="AK8" s="118">
        <f t="shared" si="5"/>
        <v>12780</v>
      </c>
      <c r="AL8" s="118">
        <f t="shared" si="6"/>
        <v>6390</v>
      </c>
      <c r="AM8" s="118">
        <f t="shared" si="7"/>
        <v>4856</v>
      </c>
      <c r="AN8" s="119">
        <f t="shared" si="8"/>
        <v>0</v>
      </c>
      <c r="AO8" s="119">
        <f t="shared" si="20"/>
        <v>1534</v>
      </c>
      <c r="AP8" s="118">
        <f t="shared" si="9"/>
        <v>25560</v>
      </c>
      <c r="AQ8" s="118">
        <v>0</v>
      </c>
      <c r="AR8" s="118">
        <f t="shared" si="10"/>
        <v>0</v>
      </c>
      <c r="AS8" s="118">
        <f t="shared" si="11"/>
        <v>0</v>
      </c>
      <c r="AT8" s="118">
        <f t="shared" si="12"/>
        <v>1534</v>
      </c>
      <c r="AU8" s="118">
        <f t="shared" si="13"/>
        <v>1534</v>
      </c>
      <c r="AV8" s="118">
        <v>20000</v>
      </c>
      <c r="AW8" s="118">
        <v>4000</v>
      </c>
      <c r="AX8" s="118">
        <f>+AV8-AW8</f>
        <v>16000</v>
      </c>
      <c r="AY8" s="120"/>
      <c r="AZ8" s="120">
        <v>1000</v>
      </c>
      <c r="BA8" s="118">
        <f t="shared" si="19"/>
        <v>17492</v>
      </c>
      <c r="BB8" s="70" t="s">
        <v>54</v>
      </c>
      <c r="BC8" s="70" t="s">
        <v>55</v>
      </c>
      <c r="BD8" s="121" t="s">
        <v>81</v>
      </c>
      <c r="BE8" s="102"/>
      <c r="BF8" s="102"/>
      <c r="BG8" s="70" t="s">
        <v>48</v>
      </c>
      <c r="BH8" s="125">
        <v>0</v>
      </c>
      <c r="BI8" s="156"/>
      <c r="BJ8" s="70"/>
    </row>
    <row r="9" spans="1:62" s="13" customFormat="1" x14ac:dyDescent="0.25">
      <c r="A9" s="70">
        <f t="shared" si="14"/>
        <v>7</v>
      </c>
      <c r="B9" s="108">
        <v>1273</v>
      </c>
      <c r="C9" s="108" t="s">
        <v>41</v>
      </c>
      <c r="D9" s="99" t="s">
        <v>230</v>
      </c>
      <c r="E9" s="114" t="s">
        <v>73</v>
      </c>
      <c r="F9" s="114" t="s">
        <v>170</v>
      </c>
      <c r="G9" s="114">
        <v>9911555235</v>
      </c>
      <c r="H9" s="70" t="s">
        <v>43</v>
      </c>
      <c r="I9" s="74">
        <v>42495</v>
      </c>
      <c r="J9" s="74"/>
      <c r="K9" s="116"/>
      <c r="L9" s="116"/>
      <c r="M9" s="70" t="s">
        <v>44</v>
      </c>
      <c r="N9" s="117" t="s">
        <v>948</v>
      </c>
      <c r="O9" s="114" t="s">
        <v>1112</v>
      </c>
      <c r="P9" s="70" t="s">
        <v>46</v>
      </c>
      <c r="Q9" s="70" t="s">
        <v>63</v>
      </c>
      <c r="R9" s="118">
        <v>40904</v>
      </c>
      <c r="S9" s="119">
        <v>3500</v>
      </c>
      <c r="T9" s="74">
        <v>45658</v>
      </c>
      <c r="U9" s="119">
        <f t="shared" si="0"/>
        <v>44404</v>
      </c>
      <c r="V9" s="119">
        <v>42604</v>
      </c>
      <c r="W9" s="125">
        <v>22500</v>
      </c>
      <c r="X9" s="118">
        <f>+W9*0.5</f>
        <v>11250</v>
      </c>
      <c r="Y9" s="118">
        <f t="shared" si="1"/>
        <v>8854</v>
      </c>
      <c r="Z9" s="118">
        <f t="shared" si="2"/>
        <v>42604</v>
      </c>
      <c r="AA9" s="119">
        <v>30</v>
      </c>
      <c r="AB9" s="115">
        <v>17.5</v>
      </c>
      <c r="AC9" s="115">
        <v>1.5</v>
      </c>
      <c r="AD9" s="115">
        <v>2</v>
      </c>
      <c r="AE9" s="115"/>
      <c r="AF9" s="115">
        <f t="shared" si="16"/>
        <v>18</v>
      </c>
      <c r="AG9" s="115">
        <f t="shared" si="17"/>
        <v>48</v>
      </c>
      <c r="AH9" s="101">
        <f t="shared" si="18"/>
        <v>30</v>
      </c>
      <c r="AI9" s="118">
        <f t="shared" si="3"/>
        <v>44404</v>
      </c>
      <c r="AJ9" s="118">
        <f t="shared" si="4"/>
        <v>42604</v>
      </c>
      <c r="AK9" s="118">
        <f t="shared" si="5"/>
        <v>22500</v>
      </c>
      <c r="AL9" s="118">
        <f t="shared" si="6"/>
        <v>11250</v>
      </c>
      <c r="AM9" s="118">
        <f t="shared" si="7"/>
        <v>8854</v>
      </c>
      <c r="AN9" s="119">
        <f t="shared" si="8"/>
        <v>0</v>
      </c>
      <c r="AO9" s="119">
        <f t="shared" si="20"/>
        <v>1800</v>
      </c>
      <c r="AP9" s="118">
        <f t="shared" si="9"/>
        <v>44404</v>
      </c>
      <c r="AQ9" s="118">
        <v>0</v>
      </c>
      <c r="AR9" s="118">
        <f t="shared" si="10"/>
        <v>0</v>
      </c>
      <c r="AS9" s="118">
        <f t="shared" si="11"/>
        <v>0</v>
      </c>
      <c r="AT9" s="118">
        <f t="shared" si="12"/>
        <v>1800</v>
      </c>
      <c r="AU9" s="118">
        <f t="shared" si="13"/>
        <v>1800</v>
      </c>
      <c r="AV9" s="118"/>
      <c r="AW9" s="118">
        <v>0</v>
      </c>
      <c r="AX9" s="118">
        <v>0</v>
      </c>
      <c r="AY9" s="120"/>
      <c r="AZ9" s="120">
        <v>0</v>
      </c>
      <c r="BA9" s="118">
        <f t="shared" si="19"/>
        <v>40804</v>
      </c>
      <c r="BB9" s="70" t="s">
        <v>50</v>
      </c>
      <c r="BC9" s="70" t="s">
        <v>106</v>
      </c>
      <c r="BD9" s="121" t="s">
        <v>141</v>
      </c>
      <c r="BE9" s="102"/>
      <c r="BF9" s="102"/>
      <c r="BG9" s="70" t="s">
        <v>48</v>
      </c>
      <c r="BH9" s="125">
        <v>0</v>
      </c>
      <c r="BI9" s="156"/>
      <c r="BJ9" s="70"/>
    </row>
    <row r="10" spans="1:62" s="13" customFormat="1" x14ac:dyDescent="0.25">
      <c r="A10" s="70">
        <f t="shared" si="14"/>
        <v>8</v>
      </c>
      <c r="B10" s="108">
        <v>1291</v>
      </c>
      <c r="C10" s="108" t="s">
        <v>41</v>
      </c>
      <c r="D10" s="99" t="s">
        <v>231</v>
      </c>
      <c r="E10" s="114" t="s">
        <v>77</v>
      </c>
      <c r="F10" s="114" t="s">
        <v>172</v>
      </c>
      <c r="G10" s="114">
        <v>8744034746</v>
      </c>
      <c r="H10" s="70" t="s">
        <v>43</v>
      </c>
      <c r="I10" s="74">
        <v>42534</v>
      </c>
      <c r="J10" s="74"/>
      <c r="K10" s="116"/>
      <c r="L10" s="116"/>
      <c r="M10" s="70" t="s">
        <v>44</v>
      </c>
      <c r="N10" s="117" t="s">
        <v>950</v>
      </c>
      <c r="O10" s="114" t="s">
        <v>976</v>
      </c>
      <c r="P10" s="70" t="s">
        <v>46</v>
      </c>
      <c r="Q10" s="70" t="s">
        <v>63</v>
      </c>
      <c r="R10" s="118">
        <v>33200</v>
      </c>
      <c r="S10" s="119">
        <v>2000</v>
      </c>
      <c r="T10" s="74">
        <v>45139</v>
      </c>
      <c r="U10" s="119">
        <f t="shared" si="0"/>
        <v>35200</v>
      </c>
      <c r="V10" s="119">
        <v>33400</v>
      </c>
      <c r="W10" s="119">
        <f t="shared" si="21"/>
        <v>17600</v>
      </c>
      <c r="X10" s="118">
        <f>+W10*0.5</f>
        <v>8800</v>
      </c>
      <c r="Y10" s="118">
        <f>+V10-W10-X10</f>
        <v>7000</v>
      </c>
      <c r="Z10" s="118">
        <f t="shared" si="2"/>
        <v>33400</v>
      </c>
      <c r="AA10" s="119">
        <v>30</v>
      </c>
      <c r="AB10" s="115">
        <v>21.5</v>
      </c>
      <c r="AC10" s="115">
        <v>0</v>
      </c>
      <c r="AD10" s="115">
        <v>2</v>
      </c>
      <c r="AE10" s="115"/>
      <c r="AF10" s="115">
        <f t="shared" si="16"/>
        <v>23.5</v>
      </c>
      <c r="AG10" s="115">
        <f t="shared" si="17"/>
        <v>53.5</v>
      </c>
      <c r="AH10" s="101">
        <f t="shared" si="18"/>
        <v>30</v>
      </c>
      <c r="AI10" s="118">
        <f t="shared" si="3"/>
        <v>35200</v>
      </c>
      <c r="AJ10" s="118">
        <f t="shared" si="4"/>
        <v>33400</v>
      </c>
      <c r="AK10" s="118">
        <f t="shared" si="5"/>
        <v>17600</v>
      </c>
      <c r="AL10" s="118">
        <f t="shared" si="6"/>
        <v>8800</v>
      </c>
      <c r="AM10" s="118">
        <f t="shared" si="7"/>
        <v>7000</v>
      </c>
      <c r="AN10" s="119">
        <f t="shared" si="8"/>
        <v>0</v>
      </c>
      <c r="AO10" s="119">
        <f t="shared" si="20"/>
        <v>1800</v>
      </c>
      <c r="AP10" s="118">
        <f t="shared" si="9"/>
        <v>35200</v>
      </c>
      <c r="AQ10" s="118">
        <v>0</v>
      </c>
      <c r="AR10" s="118">
        <f t="shared" si="10"/>
        <v>0</v>
      </c>
      <c r="AS10" s="118">
        <f t="shared" si="11"/>
        <v>0</v>
      </c>
      <c r="AT10" s="118">
        <f t="shared" si="12"/>
        <v>1800</v>
      </c>
      <c r="AU10" s="118">
        <f t="shared" si="13"/>
        <v>1800</v>
      </c>
      <c r="AV10" s="118"/>
      <c r="AW10" s="118">
        <v>0</v>
      </c>
      <c r="AX10" s="118">
        <v>0</v>
      </c>
      <c r="AY10" s="120"/>
      <c r="AZ10" s="120">
        <v>0</v>
      </c>
      <c r="BA10" s="118">
        <f t="shared" si="19"/>
        <v>31600</v>
      </c>
      <c r="BB10" s="70" t="s">
        <v>54</v>
      </c>
      <c r="BC10" s="70" t="s">
        <v>55</v>
      </c>
      <c r="BD10" s="121" t="s">
        <v>78</v>
      </c>
      <c r="BE10" s="102"/>
      <c r="BF10" s="102"/>
      <c r="BG10" s="70" t="s">
        <v>48</v>
      </c>
      <c r="BH10" s="125">
        <v>0</v>
      </c>
      <c r="BI10" s="156"/>
      <c r="BJ10" s="70"/>
    </row>
    <row r="11" spans="1:62" s="13" customFormat="1" x14ac:dyDescent="0.25">
      <c r="A11" s="70">
        <f t="shared" si="14"/>
        <v>9</v>
      </c>
      <c r="B11" s="108">
        <v>1327</v>
      </c>
      <c r="C11" s="108" t="s">
        <v>41</v>
      </c>
      <c r="D11" s="99" t="s">
        <v>257</v>
      </c>
      <c r="E11" s="114" t="s">
        <v>67</v>
      </c>
      <c r="F11" s="114" t="s">
        <v>168</v>
      </c>
      <c r="G11" s="114">
        <v>7895459391</v>
      </c>
      <c r="H11" s="70" t="s">
        <v>43</v>
      </c>
      <c r="I11" s="74">
        <v>42796</v>
      </c>
      <c r="J11" s="74"/>
      <c r="K11" s="116"/>
      <c r="L11" s="116"/>
      <c r="M11" s="70" t="s">
        <v>44</v>
      </c>
      <c r="N11" s="117" t="s">
        <v>951</v>
      </c>
      <c r="O11" s="114" t="s">
        <v>1112</v>
      </c>
      <c r="P11" s="70" t="s">
        <v>46</v>
      </c>
      <c r="Q11" s="70" t="s">
        <v>63</v>
      </c>
      <c r="R11" s="118">
        <v>49356</v>
      </c>
      <c r="S11" s="119">
        <f>+R11*0.1</f>
        <v>4935.6000000000004</v>
      </c>
      <c r="T11" s="74" t="s">
        <v>1530</v>
      </c>
      <c r="U11" s="119">
        <f t="shared" si="0"/>
        <v>54291.6</v>
      </c>
      <c r="V11" s="119">
        <v>52492</v>
      </c>
      <c r="W11" s="119">
        <v>24000</v>
      </c>
      <c r="X11" s="118">
        <f>+W11*0.5</f>
        <v>12000</v>
      </c>
      <c r="Y11" s="118">
        <f>+V11-W11-X11</f>
        <v>16492</v>
      </c>
      <c r="Z11" s="118">
        <f t="shared" si="2"/>
        <v>52492</v>
      </c>
      <c r="AA11" s="119">
        <v>30</v>
      </c>
      <c r="AB11" s="115">
        <v>26</v>
      </c>
      <c r="AC11" s="115">
        <v>3</v>
      </c>
      <c r="AD11" s="115">
        <v>1</v>
      </c>
      <c r="AE11" s="115"/>
      <c r="AF11" s="115">
        <f t="shared" si="16"/>
        <v>24</v>
      </c>
      <c r="AG11" s="115">
        <f t="shared" si="17"/>
        <v>54</v>
      </c>
      <c r="AH11" s="101">
        <f t="shared" si="18"/>
        <v>30</v>
      </c>
      <c r="AI11" s="118">
        <f t="shared" si="3"/>
        <v>54292</v>
      </c>
      <c r="AJ11" s="118">
        <f t="shared" si="4"/>
        <v>52492</v>
      </c>
      <c r="AK11" s="118">
        <f t="shared" si="5"/>
        <v>24000</v>
      </c>
      <c r="AL11" s="118">
        <f t="shared" si="6"/>
        <v>12000</v>
      </c>
      <c r="AM11" s="118">
        <f t="shared" si="7"/>
        <v>16492</v>
      </c>
      <c r="AN11" s="119">
        <f t="shared" si="8"/>
        <v>0</v>
      </c>
      <c r="AO11" s="119">
        <f t="shared" si="20"/>
        <v>1800</v>
      </c>
      <c r="AP11" s="118">
        <f t="shared" si="9"/>
        <v>54292</v>
      </c>
      <c r="AQ11" s="118">
        <v>0</v>
      </c>
      <c r="AR11" s="118">
        <f t="shared" si="10"/>
        <v>0</v>
      </c>
      <c r="AS11" s="118">
        <f t="shared" si="11"/>
        <v>0</v>
      </c>
      <c r="AT11" s="118">
        <f t="shared" si="12"/>
        <v>1800</v>
      </c>
      <c r="AU11" s="118">
        <f t="shared" si="13"/>
        <v>1800</v>
      </c>
      <c r="AV11" s="118">
        <v>55000</v>
      </c>
      <c r="AW11" s="118">
        <v>5000</v>
      </c>
      <c r="AX11" s="118">
        <f>+AV11-AW11</f>
        <v>50000</v>
      </c>
      <c r="AY11" s="120"/>
      <c r="AZ11" s="120">
        <v>0</v>
      </c>
      <c r="BA11" s="118">
        <f t="shared" si="19"/>
        <v>45692</v>
      </c>
      <c r="BB11" s="70" t="s">
        <v>50</v>
      </c>
      <c r="BC11" s="70" t="s">
        <v>51</v>
      </c>
      <c r="BD11" s="121" t="s">
        <v>68</v>
      </c>
      <c r="BE11" s="102"/>
      <c r="BF11" s="102"/>
      <c r="BG11" s="70" t="s">
        <v>48</v>
      </c>
      <c r="BH11" s="125">
        <v>0</v>
      </c>
      <c r="BI11" s="156"/>
      <c r="BJ11" s="70"/>
    </row>
    <row r="12" spans="1:62" s="13" customFormat="1" x14ac:dyDescent="0.25">
      <c r="A12" s="70">
        <f t="shared" si="14"/>
        <v>10</v>
      </c>
      <c r="B12" s="108">
        <v>1414</v>
      </c>
      <c r="C12" s="108" t="s">
        <v>41</v>
      </c>
      <c r="D12" s="99" t="s">
        <v>82</v>
      </c>
      <c r="E12" s="114" t="s">
        <v>83</v>
      </c>
      <c r="F12" s="114" t="s">
        <v>174</v>
      </c>
      <c r="G12" s="114">
        <v>8076065866</v>
      </c>
      <c r="H12" s="70" t="s">
        <v>43</v>
      </c>
      <c r="I12" s="74">
        <v>43152</v>
      </c>
      <c r="J12" s="74">
        <v>44123</v>
      </c>
      <c r="K12" s="116"/>
      <c r="L12" s="116"/>
      <c r="M12" s="70" t="s">
        <v>44</v>
      </c>
      <c r="N12" s="117" t="s">
        <v>952</v>
      </c>
      <c r="O12" s="114" t="s">
        <v>110</v>
      </c>
      <c r="P12" s="70" t="s">
        <v>46</v>
      </c>
      <c r="Q12" s="70" t="s">
        <v>63</v>
      </c>
      <c r="R12" s="118">
        <v>24952</v>
      </c>
      <c r="S12" s="119">
        <v>2500</v>
      </c>
      <c r="T12" s="74">
        <v>45658</v>
      </c>
      <c r="U12" s="119">
        <f t="shared" si="0"/>
        <v>27452</v>
      </c>
      <c r="V12" s="119">
        <v>25832</v>
      </c>
      <c r="W12" s="119">
        <v>13500</v>
      </c>
      <c r="X12" s="118">
        <f>+W12*0.5</f>
        <v>6750</v>
      </c>
      <c r="Y12" s="118">
        <f t="shared" si="1"/>
        <v>5582</v>
      </c>
      <c r="Z12" s="118">
        <f t="shared" si="2"/>
        <v>25832</v>
      </c>
      <c r="AA12" s="119">
        <v>30</v>
      </c>
      <c r="AB12" s="115">
        <v>12.5</v>
      </c>
      <c r="AC12" s="115">
        <v>0</v>
      </c>
      <c r="AD12" s="115">
        <v>2</v>
      </c>
      <c r="AE12" s="115"/>
      <c r="AF12" s="115">
        <f t="shared" si="16"/>
        <v>14.5</v>
      </c>
      <c r="AG12" s="115">
        <f t="shared" si="17"/>
        <v>44.5</v>
      </c>
      <c r="AH12" s="101">
        <f t="shared" si="18"/>
        <v>30</v>
      </c>
      <c r="AI12" s="118">
        <f t="shared" si="3"/>
        <v>27452</v>
      </c>
      <c r="AJ12" s="118">
        <f t="shared" si="4"/>
        <v>25832</v>
      </c>
      <c r="AK12" s="118">
        <f t="shared" si="5"/>
        <v>13500</v>
      </c>
      <c r="AL12" s="118">
        <f t="shared" si="6"/>
        <v>6750</v>
      </c>
      <c r="AM12" s="118">
        <f t="shared" si="7"/>
        <v>5582</v>
      </c>
      <c r="AN12" s="119">
        <f t="shared" si="8"/>
        <v>0</v>
      </c>
      <c r="AO12" s="119">
        <f t="shared" si="20"/>
        <v>1620</v>
      </c>
      <c r="AP12" s="118">
        <f t="shared" si="9"/>
        <v>27452</v>
      </c>
      <c r="AQ12" s="118">
        <v>0</v>
      </c>
      <c r="AR12" s="118">
        <f t="shared" si="10"/>
        <v>0</v>
      </c>
      <c r="AS12" s="118">
        <f t="shared" si="11"/>
        <v>0</v>
      </c>
      <c r="AT12" s="118">
        <f t="shared" si="12"/>
        <v>1620</v>
      </c>
      <c r="AU12" s="118">
        <f t="shared" si="13"/>
        <v>1620</v>
      </c>
      <c r="AV12" s="118"/>
      <c r="AW12" s="118">
        <v>0</v>
      </c>
      <c r="AX12" s="118">
        <v>0</v>
      </c>
      <c r="AY12" s="120"/>
      <c r="AZ12" s="120">
        <v>1000</v>
      </c>
      <c r="BA12" s="118">
        <f t="shared" si="19"/>
        <v>23212</v>
      </c>
      <c r="BB12" s="70" t="s">
        <v>50</v>
      </c>
      <c r="BC12" s="70" t="s">
        <v>51</v>
      </c>
      <c r="BD12" s="121" t="s">
        <v>266</v>
      </c>
      <c r="BE12" s="102"/>
      <c r="BF12" s="102"/>
      <c r="BG12" s="70" t="s">
        <v>48</v>
      </c>
      <c r="BH12" s="125">
        <v>0</v>
      </c>
      <c r="BI12" s="156"/>
      <c r="BJ12" s="70"/>
    </row>
    <row r="13" spans="1:62" s="13" customFormat="1" x14ac:dyDescent="0.25">
      <c r="A13" s="70">
        <f t="shared" si="14"/>
        <v>11</v>
      </c>
      <c r="B13" s="108">
        <v>1441</v>
      </c>
      <c r="C13" s="108" t="s">
        <v>41</v>
      </c>
      <c r="D13" s="99" t="s">
        <v>423</v>
      </c>
      <c r="E13" s="114" t="s">
        <v>60</v>
      </c>
      <c r="F13" s="114" t="s">
        <v>166</v>
      </c>
      <c r="G13" s="115">
        <v>0</v>
      </c>
      <c r="H13" s="70" t="s">
        <v>43</v>
      </c>
      <c r="I13" s="74">
        <v>43255</v>
      </c>
      <c r="J13" s="74"/>
      <c r="K13" s="116"/>
      <c r="L13" s="116"/>
      <c r="M13" s="70" t="s">
        <v>44</v>
      </c>
      <c r="N13" s="117" t="s">
        <v>947</v>
      </c>
      <c r="O13" s="114" t="s">
        <v>53</v>
      </c>
      <c r="P13" s="70" t="s">
        <v>46</v>
      </c>
      <c r="Q13" s="70" t="s">
        <v>63</v>
      </c>
      <c r="R13" s="118">
        <v>51896</v>
      </c>
      <c r="S13" s="119">
        <f>+R13*0.08</f>
        <v>4151.68</v>
      </c>
      <c r="T13" s="74">
        <v>45778</v>
      </c>
      <c r="U13" s="119">
        <f>R13+S13</f>
        <v>56047.68</v>
      </c>
      <c r="V13" s="123">
        <v>54248</v>
      </c>
      <c r="W13" s="119">
        <f>+U13*0.5</f>
        <v>28023.84</v>
      </c>
      <c r="X13" s="118">
        <f>+W13*50%</f>
        <v>14011.92</v>
      </c>
      <c r="Y13" s="118">
        <f>+V13-W13-X13</f>
        <v>12212.24</v>
      </c>
      <c r="Z13" s="118">
        <f t="shared" si="2"/>
        <v>54248</v>
      </c>
      <c r="AA13" s="119">
        <v>30</v>
      </c>
      <c r="AB13" s="115">
        <v>21</v>
      </c>
      <c r="AC13" s="115">
        <v>0</v>
      </c>
      <c r="AD13" s="115">
        <v>2</v>
      </c>
      <c r="AE13" s="115"/>
      <c r="AF13" s="115">
        <f t="shared" si="16"/>
        <v>23</v>
      </c>
      <c r="AG13" s="115">
        <f t="shared" si="17"/>
        <v>53</v>
      </c>
      <c r="AH13" s="101">
        <f t="shared" si="18"/>
        <v>30</v>
      </c>
      <c r="AI13" s="118">
        <f t="shared" si="3"/>
        <v>56048</v>
      </c>
      <c r="AJ13" s="118">
        <f t="shared" si="4"/>
        <v>54248</v>
      </c>
      <c r="AK13" s="118">
        <f t="shared" si="5"/>
        <v>28024</v>
      </c>
      <c r="AL13" s="118">
        <f t="shared" si="6"/>
        <v>14012</v>
      </c>
      <c r="AM13" s="118">
        <f t="shared" si="7"/>
        <v>12212</v>
      </c>
      <c r="AN13" s="119">
        <f t="shared" si="8"/>
        <v>0</v>
      </c>
      <c r="AO13" s="119">
        <f t="shared" si="20"/>
        <v>1800</v>
      </c>
      <c r="AP13" s="118">
        <f t="shared" si="9"/>
        <v>56048</v>
      </c>
      <c r="AQ13" s="118">
        <v>0</v>
      </c>
      <c r="AR13" s="118">
        <f t="shared" si="10"/>
        <v>0</v>
      </c>
      <c r="AS13" s="118">
        <f t="shared" si="11"/>
        <v>0</v>
      </c>
      <c r="AT13" s="118">
        <f t="shared" si="12"/>
        <v>1800</v>
      </c>
      <c r="AU13" s="118">
        <f t="shared" si="13"/>
        <v>1800</v>
      </c>
      <c r="AV13" s="118">
        <v>0</v>
      </c>
      <c r="AW13" s="118">
        <v>24724</v>
      </c>
      <c r="AX13" s="118">
        <v>0</v>
      </c>
      <c r="AY13" s="120"/>
      <c r="AZ13" s="120">
        <v>0</v>
      </c>
      <c r="BA13" s="118">
        <f t="shared" si="19"/>
        <v>27724</v>
      </c>
      <c r="BB13" s="70" t="s">
        <v>54</v>
      </c>
      <c r="BC13" s="70" t="s">
        <v>55</v>
      </c>
      <c r="BD13" s="121" t="s">
        <v>108</v>
      </c>
      <c r="BE13" s="102"/>
      <c r="BF13" s="102"/>
      <c r="BG13" s="70" t="s">
        <v>48</v>
      </c>
      <c r="BH13" s="125">
        <v>0</v>
      </c>
      <c r="BI13" s="156"/>
      <c r="BJ13" s="70"/>
    </row>
    <row r="14" spans="1:62" s="13" customFormat="1" x14ac:dyDescent="0.25">
      <c r="A14" s="70">
        <f t="shared" si="14"/>
        <v>12</v>
      </c>
      <c r="B14" s="108">
        <v>1444</v>
      </c>
      <c r="C14" s="108" t="s">
        <v>41</v>
      </c>
      <c r="D14" s="126" t="s">
        <v>737</v>
      </c>
      <c r="E14" s="114" t="s">
        <v>49</v>
      </c>
      <c r="F14" s="114" t="s">
        <v>164</v>
      </c>
      <c r="G14" s="115">
        <v>0</v>
      </c>
      <c r="H14" s="70" t="s">
        <v>43</v>
      </c>
      <c r="I14" s="74">
        <v>42836</v>
      </c>
      <c r="J14" s="74"/>
      <c r="K14" s="116"/>
      <c r="L14" s="116"/>
      <c r="M14" s="70" t="s">
        <v>44</v>
      </c>
      <c r="N14" s="117" t="s">
        <v>953</v>
      </c>
      <c r="O14" s="114" t="s">
        <v>45</v>
      </c>
      <c r="P14" s="70" t="s">
        <v>46</v>
      </c>
      <c r="Q14" s="70" t="s">
        <v>63</v>
      </c>
      <c r="R14" s="118">
        <v>189000</v>
      </c>
      <c r="S14" s="119">
        <f>+R14*0.08</f>
        <v>15120</v>
      </c>
      <c r="T14" s="74">
        <v>45778</v>
      </c>
      <c r="U14" s="119">
        <f t="shared" si="0"/>
        <v>204120</v>
      </c>
      <c r="V14" s="119">
        <v>202320</v>
      </c>
      <c r="W14" s="119">
        <f t="shared" ref="W14:W18" si="22">+U14*0.5</f>
        <v>102060</v>
      </c>
      <c r="X14" s="118">
        <f>+W14*50%</f>
        <v>51030</v>
      </c>
      <c r="Y14" s="118">
        <f>+V14-W14-X14</f>
        <v>49230</v>
      </c>
      <c r="Z14" s="118">
        <f t="shared" si="2"/>
        <v>202320</v>
      </c>
      <c r="AA14" s="119">
        <v>30</v>
      </c>
      <c r="AB14" s="115">
        <v>16</v>
      </c>
      <c r="AC14" s="115">
        <v>3</v>
      </c>
      <c r="AD14" s="115">
        <v>1</v>
      </c>
      <c r="AE14" s="115"/>
      <c r="AF14" s="115">
        <f t="shared" si="16"/>
        <v>14</v>
      </c>
      <c r="AG14" s="115">
        <f t="shared" si="17"/>
        <v>44</v>
      </c>
      <c r="AH14" s="101">
        <f t="shared" si="18"/>
        <v>30</v>
      </c>
      <c r="AI14" s="118">
        <f t="shared" si="3"/>
        <v>204120</v>
      </c>
      <c r="AJ14" s="118">
        <f t="shared" si="4"/>
        <v>202320</v>
      </c>
      <c r="AK14" s="118">
        <f t="shared" si="5"/>
        <v>102060</v>
      </c>
      <c r="AL14" s="118">
        <f t="shared" si="6"/>
        <v>51030</v>
      </c>
      <c r="AM14" s="118">
        <f t="shared" si="7"/>
        <v>49230</v>
      </c>
      <c r="AN14" s="119">
        <f t="shared" si="8"/>
        <v>0</v>
      </c>
      <c r="AO14" s="119">
        <f t="shared" si="20"/>
        <v>1800</v>
      </c>
      <c r="AP14" s="118">
        <f t="shared" si="9"/>
        <v>204120</v>
      </c>
      <c r="AQ14" s="118">
        <v>30000</v>
      </c>
      <c r="AR14" s="118">
        <f t="shared" si="10"/>
        <v>0</v>
      </c>
      <c r="AS14" s="118">
        <f t="shared" si="11"/>
        <v>0</v>
      </c>
      <c r="AT14" s="118">
        <f t="shared" si="12"/>
        <v>1800</v>
      </c>
      <c r="AU14" s="118">
        <f t="shared" si="13"/>
        <v>1800</v>
      </c>
      <c r="AV14" s="118"/>
      <c r="AW14" s="118">
        <v>0</v>
      </c>
      <c r="AX14" s="118">
        <f t="shared" ref="AX14:AX45" si="23">+AV14-AW14</f>
        <v>0</v>
      </c>
      <c r="AY14" s="120"/>
      <c r="AZ14" s="120">
        <v>0</v>
      </c>
      <c r="BA14" s="118">
        <f t="shared" si="19"/>
        <v>170520</v>
      </c>
      <c r="BB14" s="70" t="s">
        <v>50</v>
      </c>
      <c r="BC14" s="70" t="s">
        <v>51</v>
      </c>
      <c r="BD14" s="121" t="s">
        <v>52</v>
      </c>
      <c r="BE14" s="102"/>
      <c r="BF14" s="102"/>
      <c r="BG14" s="70" t="s">
        <v>48</v>
      </c>
      <c r="BH14" s="125">
        <v>0</v>
      </c>
      <c r="BI14" s="156"/>
      <c r="BJ14" s="70"/>
    </row>
    <row r="15" spans="1:62" s="13" customFormat="1" x14ac:dyDescent="0.25">
      <c r="A15" s="70">
        <f t="shared" si="14"/>
        <v>13</v>
      </c>
      <c r="B15" s="108">
        <v>1464</v>
      </c>
      <c r="C15" s="108" t="s">
        <v>41</v>
      </c>
      <c r="D15" s="99" t="s">
        <v>74</v>
      </c>
      <c r="E15" s="114" t="s">
        <v>75</v>
      </c>
      <c r="F15" s="114" t="s">
        <v>171</v>
      </c>
      <c r="G15" s="114">
        <v>9315827818</v>
      </c>
      <c r="H15" s="70" t="s">
        <v>43</v>
      </c>
      <c r="I15" s="74">
        <v>43306</v>
      </c>
      <c r="J15" s="74"/>
      <c r="K15" s="116"/>
      <c r="L15" s="116"/>
      <c r="M15" s="70" t="s">
        <v>44</v>
      </c>
      <c r="N15" s="117" t="s">
        <v>954</v>
      </c>
      <c r="O15" s="114" t="s">
        <v>53</v>
      </c>
      <c r="P15" s="70" t="s">
        <v>46</v>
      </c>
      <c r="Q15" s="70" t="s">
        <v>63</v>
      </c>
      <c r="R15" s="118">
        <v>36611</v>
      </c>
      <c r="S15" s="119">
        <f>+R15*0.12</f>
        <v>4393.32</v>
      </c>
      <c r="T15" s="74">
        <v>45778</v>
      </c>
      <c r="U15" s="119">
        <f t="shared" si="0"/>
        <v>41004.32</v>
      </c>
      <c r="V15" s="119">
        <v>39204</v>
      </c>
      <c r="W15" s="119">
        <f t="shared" si="22"/>
        <v>20502.16</v>
      </c>
      <c r="X15" s="118">
        <f>+W15*50%</f>
        <v>10251.08</v>
      </c>
      <c r="Y15" s="118">
        <f>+V15-W15-X15</f>
        <v>8450.76</v>
      </c>
      <c r="Z15" s="118">
        <f t="shared" si="2"/>
        <v>39204</v>
      </c>
      <c r="AA15" s="119">
        <v>30</v>
      </c>
      <c r="AB15" s="115">
        <v>20.5</v>
      </c>
      <c r="AC15" s="115">
        <v>0</v>
      </c>
      <c r="AD15" s="115">
        <v>1</v>
      </c>
      <c r="AE15" s="115"/>
      <c r="AF15" s="115">
        <f t="shared" si="16"/>
        <v>21.5</v>
      </c>
      <c r="AG15" s="115">
        <f t="shared" si="17"/>
        <v>51.5</v>
      </c>
      <c r="AH15" s="101">
        <f t="shared" si="18"/>
        <v>30</v>
      </c>
      <c r="AI15" s="118">
        <f t="shared" si="3"/>
        <v>41004</v>
      </c>
      <c r="AJ15" s="118">
        <f t="shared" si="4"/>
        <v>39204</v>
      </c>
      <c r="AK15" s="118">
        <f t="shared" si="5"/>
        <v>20502</v>
      </c>
      <c r="AL15" s="118">
        <f t="shared" si="6"/>
        <v>10251</v>
      </c>
      <c r="AM15" s="118">
        <f t="shared" si="7"/>
        <v>8451</v>
      </c>
      <c r="AN15" s="119">
        <f t="shared" si="8"/>
        <v>0</v>
      </c>
      <c r="AO15" s="119">
        <f t="shared" ref="AO15:AO47" si="24">ROUND(IF(AK15&lt;15001,AK15*12%,1800),0)</f>
        <v>1800</v>
      </c>
      <c r="AP15" s="118">
        <f t="shared" si="9"/>
        <v>41004</v>
      </c>
      <c r="AQ15" s="118">
        <v>0</v>
      </c>
      <c r="AR15" s="118">
        <f t="shared" si="10"/>
        <v>0</v>
      </c>
      <c r="AS15" s="118">
        <f t="shared" si="11"/>
        <v>0</v>
      </c>
      <c r="AT15" s="118">
        <f t="shared" si="12"/>
        <v>1800</v>
      </c>
      <c r="AU15" s="118">
        <f t="shared" si="13"/>
        <v>1800</v>
      </c>
      <c r="AV15" s="118">
        <v>0</v>
      </c>
      <c r="AW15" s="118">
        <v>0</v>
      </c>
      <c r="AX15" s="118">
        <f t="shared" si="23"/>
        <v>0</v>
      </c>
      <c r="AY15" s="120"/>
      <c r="AZ15" s="120">
        <v>0</v>
      </c>
      <c r="BA15" s="118">
        <f t="shared" si="19"/>
        <v>37404</v>
      </c>
      <c r="BB15" s="70" t="s">
        <v>57</v>
      </c>
      <c r="BC15" s="70" t="s">
        <v>58</v>
      </c>
      <c r="BD15" s="121" t="s">
        <v>76</v>
      </c>
      <c r="BE15" s="102"/>
      <c r="BF15" s="102"/>
      <c r="BG15" s="70" t="s">
        <v>48</v>
      </c>
      <c r="BH15" s="125">
        <v>0</v>
      </c>
      <c r="BI15" s="156"/>
      <c r="BJ15" s="70"/>
    </row>
    <row r="16" spans="1:62" s="13" customFormat="1" x14ac:dyDescent="0.25">
      <c r="A16" s="70">
        <f t="shared" si="14"/>
        <v>14</v>
      </c>
      <c r="B16" s="108">
        <v>1486</v>
      </c>
      <c r="C16" s="108" t="s">
        <v>41</v>
      </c>
      <c r="D16" s="99" t="s">
        <v>90</v>
      </c>
      <c r="E16" s="114" t="s">
        <v>91</v>
      </c>
      <c r="F16" s="114" t="s">
        <v>299</v>
      </c>
      <c r="G16" s="114">
        <v>9621057728</v>
      </c>
      <c r="H16" s="70" t="s">
        <v>43</v>
      </c>
      <c r="I16" s="74">
        <v>43399</v>
      </c>
      <c r="J16" s="74"/>
      <c r="K16" s="116"/>
      <c r="L16" s="116"/>
      <c r="M16" s="70" t="s">
        <v>44</v>
      </c>
      <c r="N16" s="117" t="s">
        <v>947</v>
      </c>
      <c r="O16" s="114" t="s">
        <v>977</v>
      </c>
      <c r="P16" s="70" t="s">
        <v>46</v>
      </c>
      <c r="Q16" s="70" t="s">
        <v>63</v>
      </c>
      <c r="R16" s="118">
        <v>22961</v>
      </c>
      <c r="S16" s="119">
        <f>+R16*0.17</f>
        <v>3903.3700000000003</v>
      </c>
      <c r="T16" s="74">
        <v>45778</v>
      </c>
      <c r="U16" s="119">
        <f t="shared" si="0"/>
        <v>26864.37</v>
      </c>
      <c r="V16" s="119">
        <v>25252</v>
      </c>
      <c r="W16" s="119">
        <f t="shared" si="22"/>
        <v>13432.184999999999</v>
      </c>
      <c r="X16" s="118">
        <f>+W16*0.5</f>
        <v>6716.0924999999997</v>
      </c>
      <c r="Y16" s="118">
        <f>+V16-W16-X16</f>
        <v>5103.7225000000008</v>
      </c>
      <c r="Z16" s="118">
        <f t="shared" si="2"/>
        <v>25252</v>
      </c>
      <c r="AA16" s="119">
        <v>30</v>
      </c>
      <c r="AB16" s="115">
        <v>30</v>
      </c>
      <c r="AC16" s="115">
        <v>0</v>
      </c>
      <c r="AD16" s="115">
        <v>2</v>
      </c>
      <c r="AE16" s="115"/>
      <c r="AF16" s="115">
        <f t="shared" si="16"/>
        <v>32</v>
      </c>
      <c r="AG16" s="115">
        <f t="shared" si="17"/>
        <v>62</v>
      </c>
      <c r="AH16" s="101">
        <f t="shared" si="18"/>
        <v>30</v>
      </c>
      <c r="AI16" s="118">
        <f t="shared" si="3"/>
        <v>26864</v>
      </c>
      <c r="AJ16" s="118">
        <f t="shared" si="4"/>
        <v>25252</v>
      </c>
      <c r="AK16" s="118">
        <f t="shared" si="5"/>
        <v>13432</v>
      </c>
      <c r="AL16" s="118">
        <f t="shared" si="6"/>
        <v>6716</v>
      </c>
      <c r="AM16" s="118">
        <f t="shared" si="7"/>
        <v>5104</v>
      </c>
      <c r="AN16" s="119">
        <f t="shared" si="8"/>
        <v>0</v>
      </c>
      <c r="AO16" s="119">
        <f t="shared" si="24"/>
        <v>1612</v>
      </c>
      <c r="AP16" s="118">
        <f t="shared" si="9"/>
        <v>26864</v>
      </c>
      <c r="AQ16" s="118">
        <v>0</v>
      </c>
      <c r="AR16" s="118">
        <f t="shared" si="10"/>
        <v>0</v>
      </c>
      <c r="AS16" s="118">
        <f t="shared" si="11"/>
        <v>0</v>
      </c>
      <c r="AT16" s="118">
        <f t="shared" si="12"/>
        <v>1612</v>
      </c>
      <c r="AU16" s="118">
        <f t="shared" si="13"/>
        <v>1612</v>
      </c>
      <c r="AV16" s="118">
        <v>0</v>
      </c>
      <c r="AW16" s="118">
        <v>0</v>
      </c>
      <c r="AX16" s="118">
        <v>0</v>
      </c>
      <c r="AY16" s="120"/>
      <c r="AZ16" s="120">
        <v>0</v>
      </c>
      <c r="BA16" s="118">
        <f t="shared" si="19"/>
        <v>23640</v>
      </c>
      <c r="BB16" s="70" t="s">
        <v>70</v>
      </c>
      <c r="BC16" s="70" t="s">
        <v>51</v>
      </c>
      <c r="BD16" s="121" t="s">
        <v>92</v>
      </c>
      <c r="BE16" s="102"/>
      <c r="BF16" s="102"/>
      <c r="BG16" s="70" t="s">
        <v>48</v>
      </c>
      <c r="BH16" s="125">
        <v>0</v>
      </c>
      <c r="BI16" s="156"/>
      <c r="BJ16" s="70"/>
    </row>
    <row r="17" spans="1:62" s="13" customFormat="1" x14ac:dyDescent="0.25">
      <c r="A17" s="70">
        <f t="shared" si="14"/>
        <v>15</v>
      </c>
      <c r="B17" s="108">
        <v>1509</v>
      </c>
      <c r="C17" s="108" t="s">
        <v>41</v>
      </c>
      <c r="D17" s="99" t="s">
        <v>84</v>
      </c>
      <c r="E17" s="114" t="s">
        <v>85</v>
      </c>
      <c r="F17" s="114" t="s">
        <v>175</v>
      </c>
      <c r="G17" s="114">
        <v>9897597079</v>
      </c>
      <c r="H17" s="70" t="s">
        <v>43</v>
      </c>
      <c r="I17" s="74">
        <v>43472</v>
      </c>
      <c r="J17" s="74"/>
      <c r="K17" s="116"/>
      <c r="L17" s="116"/>
      <c r="M17" s="70" t="s">
        <v>44</v>
      </c>
      <c r="N17" s="117" t="s">
        <v>947</v>
      </c>
      <c r="O17" s="114" t="s">
        <v>976</v>
      </c>
      <c r="P17" s="70" t="s">
        <v>46</v>
      </c>
      <c r="Q17" s="70" t="s">
        <v>63</v>
      </c>
      <c r="R17" s="118">
        <v>23960</v>
      </c>
      <c r="S17" s="119">
        <f>+R17*0.12+1167-28</f>
        <v>4014.2</v>
      </c>
      <c r="T17" s="74">
        <v>45778</v>
      </c>
      <c r="U17" s="119">
        <f t="shared" si="0"/>
        <v>27974.2</v>
      </c>
      <c r="V17" s="119">
        <v>26294</v>
      </c>
      <c r="W17" s="119">
        <f t="shared" si="22"/>
        <v>13987.1</v>
      </c>
      <c r="X17" s="118">
        <f>W17/2</f>
        <v>6993.55</v>
      </c>
      <c r="Y17" s="118">
        <f t="shared" ref="Y17:Y18" si="25">+V17-W17-X17</f>
        <v>5313.3499999999995</v>
      </c>
      <c r="Z17" s="118">
        <f t="shared" si="2"/>
        <v>26294</v>
      </c>
      <c r="AA17" s="119">
        <v>30</v>
      </c>
      <c r="AB17" s="115">
        <v>38</v>
      </c>
      <c r="AC17" s="115">
        <v>5</v>
      </c>
      <c r="AD17" s="115">
        <v>2</v>
      </c>
      <c r="AE17" s="115"/>
      <c r="AF17" s="115">
        <f t="shared" si="16"/>
        <v>35</v>
      </c>
      <c r="AG17" s="115">
        <f t="shared" si="17"/>
        <v>65</v>
      </c>
      <c r="AH17" s="101">
        <f t="shared" si="18"/>
        <v>30</v>
      </c>
      <c r="AI17" s="118">
        <f t="shared" si="3"/>
        <v>27974</v>
      </c>
      <c r="AJ17" s="118">
        <f t="shared" si="4"/>
        <v>26294</v>
      </c>
      <c r="AK17" s="118">
        <f t="shared" si="5"/>
        <v>13987</v>
      </c>
      <c r="AL17" s="118">
        <f t="shared" si="6"/>
        <v>6994</v>
      </c>
      <c r="AM17" s="118">
        <f t="shared" si="7"/>
        <v>5313</v>
      </c>
      <c r="AN17" s="119">
        <f t="shared" si="8"/>
        <v>0</v>
      </c>
      <c r="AO17" s="119">
        <f t="shared" si="24"/>
        <v>1678</v>
      </c>
      <c r="AP17" s="118">
        <f t="shared" si="9"/>
        <v>27972</v>
      </c>
      <c r="AQ17" s="118">
        <v>0</v>
      </c>
      <c r="AR17" s="118">
        <f t="shared" si="10"/>
        <v>0</v>
      </c>
      <c r="AS17" s="118">
        <f t="shared" si="11"/>
        <v>0</v>
      </c>
      <c r="AT17" s="118">
        <f t="shared" si="12"/>
        <v>1678</v>
      </c>
      <c r="AU17" s="118">
        <f t="shared" si="13"/>
        <v>1678</v>
      </c>
      <c r="AV17" s="118"/>
      <c r="AW17" s="118">
        <v>0</v>
      </c>
      <c r="AX17" s="118">
        <v>0</v>
      </c>
      <c r="AY17" s="120"/>
      <c r="AZ17" s="120">
        <v>0</v>
      </c>
      <c r="BA17" s="118">
        <f t="shared" si="19"/>
        <v>24616</v>
      </c>
      <c r="BB17" s="70" t="s">
        <v>70</v>
      </c>
      <c r="BC17" s="70" t="s">
        <v>51</v>
      </c>
      <c r="BD17" s="121" t="s">
        <v>86</v>
      </c>
      <c r="BE17" s="102"/>
      <c r="BF17" s="102"/>
      <c r="BG17" s="70" t="s">
        <v>48</v>
      </c>
      <c r="BH17" s="125">
        <v>0</v>
      </c>
      <c r="BI17" s="156"/>
      <c r="BJ17" s="70"/>
    </row>
    <row r="18" spans="1:62" s="13" customFormat="1" x14ac:dyDescent="0.25">
      <c r="A18" s="70">
        <f t="shared" si="14"/>
        <v>16</v>
      </c>
      <c r="B18" s="108">
        <v>1518</v>
      </c>
      <c r="C18" s="108" t="s">
        <v>41</v>
      </c>
      <c r="D18" s="99" t="s">
        <v>87</v>
      </c>
      <c r="E18" s="114" t="s">
        <v>88</v>
      </c>
      <c r="F18" s="114" t="s">
        <v>176</v>
      </c>
      <c r="G18" s="114">
        <v>7004622680</v>
      </c>
      <c r="H18" s="70" t="s">
        <v>43</v>
      </c>
      <c r="I18" s="74">
        <v>43493</v>
      </c>
      <c r="J18" s="74"/>
      <c r="K18" s="116"/>
      <c r="L18" s="116"/>
      <c r="M18" s="70" t="s">
        <v>44</v>
      </c>
      <c r="N18" s="117" t="s">
        <v>947</v>
      </c>
      <c r="O18" s="114" t="s">
        <v>977</v>
      </c>
      <c r="P18" s="70" t="s">
        <v>46</v>
      </c>
      <c r="Q18" s="70" t="s">
        <v>63</v>
      </c>
      <c r="R18" s="118">
        <v>27764</v>
      </c>
      <c r="S18" s="119">
        <f>+R18*0.05</f>
        <v>1388.2</v>
      </c>
      <c r="T18" s="74" t="s">
        <v>1530</v>
      </c>
      <c r="U18" s="119">
        <f t="shared" si="0"/>
        <v>29152.2</v>
      </c>
      <c r="V18" s="119">
        <v>27403</v>
      </c>
      <c r="W18" s="119">
        <f t="shared" si="22"/>
        <v>14576.1</v>
      </c>
      <c r="X18" s="118">
        <f>W18/2</f>
        <v>7288.05</v>
      </c>
      <c r="Y18" s="118">
        <f t="shared" si="25"/>
        <v>5538.8499999999995</v>
      </c>
      <c r="Z18" s="118">
        <f t="shared" si="2"/>
        <v>27403</v>
      </c>
      <c r="AA18" s="119">
        <v>30</v>
      </c>
      <c r="AB18" s="115">
        <v>17</v>
      </c>
      <c r="AC18" s="115">
        <v>11</v>
      </c>
      <c r="AD18" s="115">
        <v>1</v>
      </c>
      <c r="AE18" s="115"/>
      <c r="AF18" s="115">
        <f t="shared" si="16"/>
        <v>7</v>
      </c>
      <c r="AG18" s="115">
        <f t="shared" si="17"/>
        <v>37</v>
      </c>
      <c r="AH18" s="101">
        <f t="shared" si="18"/>
        <v>30</v>
      </c>
      <c r="AI18" s="118">
        <f t="shared" si="3"/>
        <v>29152</v>
      </c>
      <c r="AJ18" s="118">
        <f t="shared" si="4"/>
        <v>27403</v>
      </c>
      <c r="AK18" s="118">
        <f t="shared" si="5"/>
        <v>14576</v>
      </c>
      <c r="AL18" s="118">
        <f t="shared" si="6"/>
        <v>7288</v>
      </c>
      <c r="AM18" s="118">
        <f t="shared" si="7"/>
        <v>5539</v>
      </c>
      <c r="AN18" s="119">
        <f t="shared" si="8"/>
        <v>0</v>
      </c>
      <c r="AO18" s="119">
        <f t="shared" si="24"/>
        <v>1749</v>
      </c>
      <c r="AP18" s="118">
        <f t="shared" si="9"/>
        <v>29152</v>
      </c>
      <c r="AQ18" s="118">
        <v>0</v>
      </c>
      <c r="AR18" s="118">
        <f t="shared" si="10"/>
        <v>0</v>
      </c>
      <c r="AS18" s="118">
        <f t="shared" si="11"/>
        <v>0</v>
      </c>
      <c r="AT18" s="118">
        <f t="shared" si="12"/>
        <v>1749</v>
      </c>
      <c r="AU18" s="118">
        <f t="shared" si="13"/>
        <v>1749</v>
      </c>
      <c r="AV18" s="118">
        <v>0</v>
      </c>
      <c r="AW18" s="118">
        <v>0</v>
      </c>
      <c r="AX18" s="118">
        <f t="shared" si="23"/>
        <v>0</v>
      </c>
      <c r="AY18" s="120"/>
      <c r="AZ18" s="120">
        <v>0</v>
      </c>
      <c r="BA18" s="118">
        <f t="shared" si="19"/>
        <v>25654</v>
      </c>
      <c r="BB18" s="70" t="s">
        <v>70</v>
      </c>
      <c r="BC18" s="70" t="s">
        <v>51</v>
      </c>
      <c r="BD18" s="121" t="s">
        <v>89</v>
      </c>
      <c r="BE18" s="102"/>
      <c r="BF18" s="102"/>
      <c r="BG18" s="70" t="s">
        <v>48</v>
      </c>
      <c r="BH18" s="125">
        <v>0</v>
      </c>
      <c r="BI18" s="156"/>
      <c r="BJ18" s="70"/>
    </row>
    <row r="19" spans="1:62" s="13" customFormat="1" x14ac:dyDescent="0.25">
      <c r="A19" s="70">
        <f t="shared" si="14"/>
        <v>17</v>
      </c>
      <c r="B19" s="108">
        <v>1636</v>
      </c>
      <c r="C19" s="108" t="s">
        <v>41</v>
      </c>
      <c r="D19" s="99" t="s">
        <v>155</v>
      </c>
      <c r="E19" s="114" t="s">
        <v>405</v>
      </c>
      <c r="F19" s="114" t="s">
        <v>179</v>
      </c>
      <c r="G19" s="115">
        <v>0</v>
      </c>
      <c r="H19" s="122" t="s">
        <v>43</v>
      </c>
      <c r="I19" s="129">
        <v>44287</v>
      </c>
      <c r="J19" s="129"/>
      <c r="K19" s="116"/>
      <c r="L19" s="129"/>
      <c r="M19" s="128" t="s">
        <v>44</v>
      </c>
      <c r="N19" s="117" t="s">
        <v>940</v>
      </c>
      <c r="O19" s="114" t="s">
        <v>1000</v>
      </c>
      <c r="P19" s="70" t="s">
        <v>46</v>
      </c>
      <c r="Q19" s="128" t="s">
        <v>63</v>
      </c>
      <c r="R19" s="118">
        <v>24740</v>
      </c>
      <c r="S19" s="119">
        <f>+R19*0.05</f>
        <v>1237</v>
      </c>
      <c r="T19" s="74" t="s">
        <v>1529</v>
      </c>
      <c r="U19" s="119">
        <f t="shared" si="0"/>
        <v>25977</v>
      </c>
      <c r="V19" s="119">
        <v>24418</v>
      </c>
      <c r="W19" s="125">
        <f>+U19*0.5</f>
        <v>12988.5</v>
      </c>
      <c r="X19" s="125">
        <f t="shared" ref="X19:X21" si="26">+W19*0.5</f>
        <v>6494.25</v>
      </c>
      <c r="Y19" s="118">
        <f>+V19-W19-X19</f>
        <v>4935.25</v>
      </c>
      <c r="Z19" s="118">
        <f t="shared" si="2"/>
        <v>24418</v>
      </c>
      <c r="AA19" s="119">
        <v>30</v>
      </c>
      <c r="AB19" s="115">
        <v>33</v>
      </c>
      <c r="AC19" s="115">
        <v>0</v>
      </c>
      <c r="AD19" s="115">
        <v>2</v>
      </c>
      <c r="AE19" s="115"/>
      <c r="AF19" s="115">
        <f t="shared" si="16"/>
        <v>35</v>
      </c>
      <c r="AG19" s="115">
        <f t="shared" si="17"/>
        <v>65</v>
      </c>
      <c r="AH19" s="101">
        <f t="shared" si="18"/>
        <v>30</v>
      </c>
      <c r="AI19" s="118">
        <f t="shared" si="3"/>
        <v>25977</v>
      </c>
      <c r="AJ19" s="118">
        <f t="shared" si="4"/>
        <v>24418</v>
      </c>
      <c r="AK19" s="118">
        <f t="shared" si="5"/>
        <v>12989</v>
      </c>
      <c r="AL19" s="118">
        <f t="shared" si="6"/>
        <v>6494</v>
      </c>
      <c r="AM19" s="118">
        <f t="shared" si="7"/>
        <v>4935</v>
      </c>
      <c r="AN19" s="119">
        <f t="shared" si="8"/>
        <v>0</v>
      </c>
      <c r="AO19" s="119">
        <f t="shared" si="24"/>
        <v>1559</v>
      </c>
      <c r="AP19" s="118">
        <f t="shared" si="9"/>
        <v>25977</v>
      </c>
      <c r="AQ19" s="118">
        <v>0</v>
      </c>
      <c r="AR19" s="118">
        <f t="shared" si="10"/>
        <v>0</v>
      </c>
      <c r="AS19" s="118">
        <f t="shared" si="11"/>
        <v>0</v>
      </c>
      <c r="AT19" s="118">
        <f t="shared" si="12"/>
        <v>1559</v>
      </c>
      <c r="AU19" s="118">
        <f t="shared" si="13"/>
        <v>1559</v>
      </c>
      <c r="AV19" s="118"/>
      <c r="AW19" s="118">
        <v>0</v>
      </c>
      <c r="AX19" s="118">
        <f t="shared" si="23"/>
        <v>0</v>
      </c>
      <c r="AY19" s="120"/>
      <c r="AZ19" s="120">
        <v>0</v>
      </c>
      <c r="BA19" s="118">
        <f t="shared" si="19"/>
        <v>22859</v>
      </c>
      <c r="BB19" s="122" t="s">
        <v>455</v>
      </c>
      <c r="BC19" s="70" t="s">
        <v>624</v>
      </c>
      <c r="BD19" s="121" t="s">
        <v>625</v>
      </c>
      <c r="BE19" s="102"/>
      <c r="BF19" s="102"/>
      <c r="BG19" s="70" t="s">
        <v>48</v>
      </c>
      <c r="BH19" s="125">
        <v>0</v>
      </c>
      <c r="BI19" s="156"/>
      <c r="BJ19" s="70"/>
    </row>
    <row r="20" spans="1:62" s="13" customFormat="1" x14ac:dyDescent="0.25">
      <c r="A20" s="70">
        <f t="shared" si="14"/>
        <v>18</v>
      </c>
      <c r="B20" s="108">
        <v>1686</v>
      </c>
      <c r="C20" s="108" t="s">
        <v>41</v>
      </c>
      <c r="D20" s="99" t="s">
        <v>199</v>
      </c>
      <c r="E20" s="114" t="s">
        <v>143</v>
      </c>
      <c r="F20" s="114" t="s">
        <v>177</v>
      </c>
      <c r="G20" s="115">
        <v>0</v>
      </c>
      <c r="H20" s="122" t="s">
        <v>43</v>
      </c>
      <c r="I20" s="74">
        <v>44200</v>
      </c>
      <c r="J20" s="129"/>
      <c r="K20" s="116"/>
      <c r="L20" s="129"/>
      <c r="M20" s="128" t="s">
        <v>44</v>
      </c>
      <c r="N20" s="117" t="s">
        <v>947</v>
      </c>
      <c r="O20" s="114" t="s">
        <v>976</v>
      </c>
      <c r="P20" s="70" t="s">
        <v>46</v>
      </c>
      <c r="Q20" s="128" t="s">
        <v>142</v>
      </c>
      <c r="R20" s="125">
        <v>27176</v>
      </c>
      <c r="S20" s="119">
        <f>+R20*0.1</f>
        <v>2717.6000000000004</v>
      </c>
      <c r="T20" s="74" t="s">
        <v>1530</v>
      </c>
      <c r="U20" s="119">
        <f t="shared" si="0"/>
        <v>29893.599999999999</v>
      </c>
      <c r="V20" s="119">
        <v>28100</v>
      </c>
      <c r="W20" s="125">
        <f>+U20*0.5</f>
        <v>14946.8</v>
      </c>
      <c r="X20" s="118">
        <f t="shared" si="26"/>
        <v>7473.4</v>
      </c>
      <c r="Y20" s="118">
        <f t="shared" ref="Y20:Y23" si="27">+V20-W20-X20</f>
        <v>5679.8000000000011</v>
      </c>
      <c r="Z20" s="118">
        <f t="shared" si="2"/>
        <v>28100</v>
      </c>
      <c r="AA20" s="119">
        <v>30</v>
      </c>
      <c r="AB20" s="115">
        <v>9.5</v>
      </c>
      <c r="AC20" s="115">
        <v>2</v>
      </c>
      <c r="AD20" s="115">
        <v>1</v>
      </c>
      <c r="AE20" s="115"/>
      <c r="AF20" s="115">
        <f t="shared" si="16"/>
        <v>8.5</v>
      </c>
      <c r="AG20" s="115">
        <f t="shared" si="17"/>
        <v>38.5</v>
      </c>
      <c r="AH20" s="101">
        <f t="shared" si="18"/>
        <v>30</v>
      </c>
      <c r="AI20" s="118">
        <f t="shared" si="3"/>
        <v>29894</v>
      </c>
      <c r="AJ20" s="118">
        <f t="shared" si="4"/>
        <v>28100</v>
      </c>
      <c r="AK20" s="118">
        <f t="shared" si="5"/>
        <v>14947</v>
      </c>
      <c r="AL20" s="118">
        <f t="shared" si="6"/>
        <v>7473</v>
      </c>
      <c r="AM20" s="118">
        <f t="shared" si="7"/>
        <v>5680</v>
      </c>
      <c r="AN20" s="119">
        <f t="shared" si="8"/>
        <v>0</v>
      </c>
      <c r="AO20" s="119">
        <f t="shared" si="24"/>
        <v>1794</v>
      </c>
      <c r="AP20" s="118">
        <f t="shared" si="9"/>
        <v>29894</v>
      </c>
      <c r="AQ20" s="118">
        <v>0</v>
      </c>
      <c r="AR20" s="118">
        <f t="shared" si="10"/>
        <v>0</v>
      </c>
      <c r="AS20" s="118">
        <f t="shared" si="11"/>
        <v>0</v>
      </c>
      <c r="AT20" s="118">
        <f t="shared" si="12"/>
        <v>1794</v>
      </c>
      <c r="AU20" s="118">
        <f t="shared" si="13"/>
        <v>1794</v>
      </c>
      <c r="AV20" s="118"/>
      <c r="AW20" s="118">
        <v>0</v>
      </c>
      <c r="AX20" s="118">
        <v>0</v>
      </c>
      <c r="AY20" s="120"/>
      <c r="AZ20" s="120">
        <v>0</v>
      </c>
      <c r="BA20" s="118">
        <f t="shared" si="19"/>
        <v>26306</v>
      </c>
      <c r="BB20" s="122" t="s">
        <v>57</v>
      </c>
      <c r="BC20" s="70" t="s">
        <v>93</v>
      </c>
      <c r="BD20" s="121" t="s">
        <v>146</v>
      </c>
      <c r="BE20" s="102"/>
      <c r="BF20" s="102"/>
      <c r="BG20" s="70" t="s">
        <v>48</v>
      </c>
      <c r="BH20" s="125">
        <v>0</v>
      </c>
      <c r="BI20" s="156"/>
      <c r="BJ20" s="70"/>
    </row>
    <row r="21" spans="1:62" s="13" customFormat="1" x14ac:dyDescent="0.25">
      <c r="A21" s="70">
        <f t="shared" si="14"/>
        <v>19</v>
      </c>
      <c r="B21" s="108">
        <v>1687</v>
      </c>
      <c r="C21" s="108" t="s">
        <v>41</v>
      </c>
      <c r="D21" s="99" t="s">
        <v>148</v>
      </c>
      <c r="E21" s="114" t="s">
        <v>151</v>
      </c>
      <c r="F21" s="114" t="s">
        <v>178</v>
      </c>
      <c r="G21" s="115">
        <v>0</v>
      </c>
      <c r="H21" s="122" t="s">
        <v>43</v>
      </c>
      <c r="I21" s="74">
        <v>44200</v>
      </c>
      <c r="J21" s="129"/>
      <c r="K21" s="116"/>
      <c r="L21" s="129"/>
      <c r="M21" s="128" t="s">
        <v>44</v>
      </c>
      <c r="N21" s="117" t="s">
        <v>947</v>
      </c>
      <c r="O21" s="114" t="s">
        <v>976</v>
      </c>
      <c r="P21" s="70" t="s">
        <v>46</v>
      </c>
      <c r="Q21" s="128" t="s">
        <v>63</v>
      </c>
      <c r="R21" s="125">
        <v>24157</v>
      </c>
      <c r="S21" s="119">
        <v>2500</v>
      </c>
      <c r="T21" s="74">
        <v>45658</v>
      </c>
      <c r="U21" s="119">
        <f t="shared" si="0"/>
        <v>26657</v>
      </c>
      <c r="V21" s="119">
        <v>25097</v>
      </c>
      <c r="W21" s="119">
        <v>13000</v>
      </c>
      <c r="X21" s="118">
        <f t="shared" si="26"/>
        <v>6500</v>
      </c>
      <c r="Y21" s="118">
        <f t="shared" si="27"/>
        <v>5597</v>
      </c>
      <c r="Z21" s="118">
        <f t="shared" si="2"/>
        <v>25097</v>
      </c>
      <c r="AA21" s="119">
        <v>30</v>
      </c>
      <c r="AB21" s="115">
        <v>23</v>
      </c>
      <c r="AC21" s="115">
        <v>5</v>
      </c>
      <c r="AD21" s="115">
        <v>2</v>
      </c>
      <c r="AE21" s="115"/>
      <c r="AF21" s="115">
        <f t="shared" si="16"/>
        <v>20</v>
      </c>
      <c r="AG21" s="115">
        <f t="shared" si="17"/>
        <v>50</v>
      </c>
      <c r="AH21" s="101">
        <f t="shared" si="18"/>
        <v>30</v>
      </c>
      <c r="AI21" s="118">
        <f t="shared" si="3"/>
        <v>26657</v>
      </c>
      <c r="AJ21" s="118">
        <f t="shared" si="4"/>
        <v>25097</v>
      </c>
      <c r="AK21" s="118">
        <f t="shared" si="5"/>
        <v>13000</v>
      </c>
      <c r="AL21" s="118">
        <f t="shared" si="6"/>
        <v>6500</v>
      </c>
      <c r="AM21" s="118">
        <f t="shared" si="7"/>
        <v>5597</v>
      </c>
      <c r="AN21" s="119">
        <f t="shared" si="8"/>
        <v>0</v>
      </c>
      <c r="AO21" s="119">
        <f t="shared" si="24"/>
        <v>1560</v>
      </c>
      <c r="AP21" s="118">
        <f t="shared" si="9"/>
        <v>26657</v>
      </c>
      <c r="AQ21" s="118">
        <v>0</v>
      </c>
      <c r="AR21" s="118">
        <f t="shared" si="10"/>
        <v>0</v>
      </c>
      <c r="AS21" s="118">
        <f t="shared" si="11"/>
        <v>0</v>
      </c>
      <c r="AT21" s="118">
        <f t="shared" si="12"/>
        <v>1560</v>
      </c>
      <c r="AU21" s="118">
        <f t="shared" si="13"/>
        <v>1560</v>
      </c>
      <c r="AV21" s="118"/>
      <c r="AW21" s="118">
        <v>0</v>
      </c>
      <c r="AX21" s="118">
        <v>0</v>
      </c>
      <c r="AY21" s="120"/>
      <c r="AZ21" s="120">
        <v>1000</v>
      </c>
      <c r="BA21" s="118">
        <f t="shared" si="19"/>
        <v>22537</v>
      </c>
      <c r="BB21" s="122" t="s">
        <v>140</v>
      </c>
      <c r="BC21" s="70" t="s">
        <v>147</v>
      </c>
      <c r="BD21" s="121" t="s">
        <v>203</v>
      </c>
      <c r="BE21" s="102"/>
      <c r="BF21" s="102"/>
      <c r="BG21" s="70" t="s">
        <v>48</v>
      </c>
      <c r="BH21" s="125">
        <v>0</v>
      </c>
      <c r="BI21" s="156"/>
      <c r="BJ21" s="70"/>
    </row>
    <row r="22" spans="1:62" s="13" customFormat="1" x14ac:dyDescent="0.25">
      <c r="A22" s="70">
        <f t="shared" si="14"/>
        <v>20</v>
      </c>
      <c r="B22" s="108">
        <v>1717</v>
      </c>
      <c r="C22" s="108" t="s">
        <v>41</v>
      </c>
      <c r="D22" s="99" t="s">
        <v>161</v>
      </c>
      <c r="E22" s="114" t="s">
        <v>154</v>
      </c>
      <c r="F22" s="114" t="s">
        <v>180</v>
      </c>
      <c r="G22" s="115">
        <v>0</v>
      </c>
      <c r="H22" s="122" t="s">
        <v>43</v>
      </c>
      <c r="I22" s="129">
        <v>44299</v>
      </c>
      <c r="J22" s="129"/>
      <c r="K22" s="116"/>
      <c r="L22" s="129"/>
      <c r="M22" s="128" t="s">
        <v>44</v>
      </c>
      <c r="N22" s="117" t="s">
        <v>955</v>
      </c>
      <c r="O22" s="114" t="s">
        <v>1001</v>
      </c>
      <c r="P22" s="70" t="s">
        <v>46</v>
      </c>
      <c r="Q22" s="128" t="s">
        <v>63</v>
      </c>
      <c r="R22" s="125">
        <f>24000-72</f>
        <v>23928</v>
      </c>
      <c r="S22" s="119">
        <v>3500</v>
      </c>
      <c r="T22" s="74">
        <v>45658</v>
      </c>
      <c r="U22" s="119">
        <f t="shared" si="0"/>
        <v>27428</v>
      </c>
      <c r="V22" s="119">
        <v>25808</v>
      </c>
      <c r="W22" s="119">
        <v>13500</v>
      </c>
      <c r="X22" s="118">
        <f>+W22*0.5</f>
        <v>6750</v>
      </c>
      <c r="Y22" s="118">
        <f t="shared" si="27"/>
        <v>5558</v>
      </c>
      <c r="Z22" s="118">
        <f>+W22+X22+Y22</f>
        <v>25808</v>
      </c>
      <c r="AA22" s="119">
        <v>30</v>
      </c>
      <c r="AB22" s="115">
        <v>7</v>
      </c>
      <c r="AC22" s="115">
        <v>3.5</v>
      </c>
      <c r="AD22" s="115">
        <v>1</v>
      </c>
      <c r="AE22" s="115"/>
      <c r="AF22" s="115">
        <f t="shared" si="16"/>
        <v>4.5</v>
      </c>
      <c r="AG22" s="115">
        <f t="shared" si="17"/>
        <v>34.5</v>
      </c>
      <c r="AH22" s="101">
        <f t="shared" si="18"/>
        <v>30</v>
      </c>
      <c r="AI22" s="118">
        <f t="shared" si="3"/>
        <v>27428</v>
      </c>
      <c r="AJ22" s="118">
        <f t="shared" si="4"/>
        <v>25808</v>
      </c>
      <c r="AK22" s="118">
        <f t="shared" si="5"/>
        <v>13500</v>
      </c>
      <c r="AL22" s="118">
        <f t="shared" si="6"/>
        <v>6750</v>
      </c>
      <c r="AM22" s="118">
        <f t="shared" si="7"/>
        <v>5558</v>
      </c>
      <c r="AN22" s="119">
        <f t="shared" si="8"/>
        <v>0</v>
      </c>
      <c r="AO22" s="119">
        <f t="shared" si="24"/>
        <v>1620</v>
      </c>
      <c r="AP22" s="118">
        <f t="shared" si="9"/>
        <v>27428</v>
      </c>
      <c r="AQ22" s="118">
        <v>0</v>
      </c>
      <c r="AR22" s="118">
        <f t="shared" si="10"/>
        <v>0</v>
      </c>
      <c r="AS22" s="118">
        <f t="shared" si="11"/>
        <v>0</v>
      </c>
      <c r="AT22" s="118">
        <f t="shared" si="12"/>
        <v>1620</v>
      </c>
      <c r="AU22" s="118">
        <f t="shared" si="13"/>
        <v>1620</v>
      </c>
      <c r="AV22" s="118"/>
      <c r="AW22" s="118">
        <v>0</v>
      </c>
      <c r="AX22" s="118">
        <f t="shared" si="23"/>
        <v>0</v>
      </c>
      <c r="AY22" s="120"/>
      <c r="AZ22" s="120">
        <v>0</v>
      </c>
      <c r="BA22" s="118">
        <f t="shared" si="19"/>
        <v>24188</v>
      </c>
      <c r="BB22" s="122" t="s">
        <v>107</v>
      </c>
      <c r="BC22" s="70" t="s">
        <v>158</v>
      </c>
      <c r="BD22" s="121" t="s">
        <v>156</v>
      </c>
      <c r="BE22" s="102"/>
      <c r="BF22" s="102"/>
      <c r="BG22" s="70" t="s">
        <v>48</v>
      </c>
      <c r="BH22" s="125">
        <v>0</v>
      </c>
      <c r="BI22" s="156"/>
      <c r="BJ22" s="70"/>
    </row>
    <row r="23" spans="1:62" s="13" customFormat="1" x14ac:dyDescent="0.25">
      <c r="A23" s="70">
        <f t="shared" si="14"/>
        <v>21</v>
      </c>
      <c r="B23" s="108">
        <v>1719</v>
      </c>
      <c r="C23" s="108" t="s">
        <v>41</v>
      </c>
      <c r="D23" s="99" t="s">
        <v>160</v>
      </c>
      <c r="E23" s="114" t="s">
        <v>255</v>
      </c>
      <c r="F23" s="114" t="s">
        <v>181</v>
      </c>
      <c r="G23" s="114">
        <v>7309782666</v>
      </c>
      <c r="H23" s="122" t="s">
        <v>43</v>
      </c>
      <c r="I23" s="129">
        <v>44301</v>
      </c>
      <c r="J23" s="129"/>
      <c r="K23" s="116"/>
      <c r="L23" s="129"/>
      <c r="M23" s="128" t="s">
        <v>44</v>
      </c>
      <c r="N23" s="117" t="s">
        <v>940</v>
      </c>
      <c r="O23" s="114" t="s">
        <v>307</v>
      </c>
      <c r="P23" s="70" t="s">
        <v>46</v>
      </c>
      <c r="Q23" s="128" t="s">
        <v>63</v>
      </c>
      <c r="R23" s="125">
        <v>33285</v>
      </c>
      <c r="S23" s="119">
        <f>+R23*0.1</f>
        <v>3328.5</v>
      </c>
      <c r="T23" s="74">
        <v>45778</v>
      </c>
      <c r="U23" s="119">
        <f t="shared" si="0"/>
        <v>36613.5</v>
      </c>
      <c r="V23" s="119">
        <v>34814</v>
      </c>
      <c r="W23" s="119">
        <f>+U23*0.5</f>
        <v>18306.75</v>
      </c>
      <c r="X23" s="125">
        <f t="shared" ref="X23:X28" si="28">+W23*0.5</f>
        <v>9153.375</v>
      </c>
      <c r="Y23" s="118">
        <f t="shared" si="27"/>
        <v>7353.875</v>
      </c>
      <c r="Z23" s="118">
        <f t="shared" ref="Z23:Z33" si="29">+W23+X23+Y23</f>
        <v>34814</v>
      </c>
      <c r="AA23" s="119">
        <v>30</v>
      </c>
      <c r="AB23" s="115">
        <v>6</v>
      </c>
      <c r="AC23" s="115">
        <v>1</v>
      </c>
      <c r="AD23" s="115">
        <v>1</v>
      </c>
      <c r="AE23" s="115"/>
      <c r="AF23" s="115">
        <f t="shared" si="16"/>
        <v>6</v>
      </c>
      <c r="AG23" s="115">
        <f t="shared" si="17"/>
        <v>36</v>
      </c>
      <c r="AH23" s="101">
        <f t="shared" si="18"/>
        <v>30</v>
      </c>
      <c r="AI23" s="118">
        <f t="shared" si="3"/>
        <v>36614</v>
      </c>
      <c r="AJ23" s="118">
        <f t="shared" si="4"/>
        <v>34814</v>
      </c>
      <c r="AK23" s="118">
        <f t="shared" si="5"/>
        <v>18307</v>
      </c>
      <c r="AL23" s="118">
        <f t="shared" si="6"/>
        <v>9153</v>
      </c>
      <c r="AM23" s="118">
        <f t="shared" si="7"/>
        <v>7354</v>
      </c>
      <c r="AN23" s="119">
        <f t="shared" si="8"/>
        <v>0</v>
      </c>
      <c r="AO23" s="119">
        <f t="shared" si="24"/>
        <v>1800</v>
      </c>
      <c r="AP23" s="118">
        <f t="shared" si="9"/>
        <v>36614</v>
      </c>
      <c r="AQ23" s="118">
        <v>0</v>
      </c>
      <c r="AR23" s="118">
        <f t="shared" si="10"/>
        <v>0</v>
      </c>
      <c r="AS23" s="118">
        <f t="shared" si="11"/>
        <v>0</v>
      </c>
      <c r="AT23" s="118">
        <f t="shared" si="12"/>
        <v>1800</v>
      </c>
      <c r="AU23" s="118">
        <f t="shared" si="13"/>
        <v>1800</v>
      </c>
      <c r="AV23" s="118">
        <v>190000</v>
      </c>
      <c r="AW23" s="118">
        <v>10000</v>
      </c>
      <c r="AX23" s="118">
        <f>+AV23-AW23</f>
        <v>180000</v>
      </c>
      <c r="AY23" s="120"/>
      <c r="AZ23" s="120">
        <v>0</v>
      </c>
      <c r="BA23" s="118">
        <f t="shared" si="19"/>
        <v>23014</v>
      </c>
      <c r="BB23" s="122" t="s">
        <v>1255</v>
      </c>
      <c r="BC23" s="70" t="s">
        <v>1285</v>
      </c>
      <c r="BD23" s="130" t="s">
        <v>1287</v>
      </c>
      <c r="BE23" s="102"/>
      <c r="BF23" s="102"/>
      <c r="BG23" s="70" t="s">
        <v>48</v>
      </c>
      <c r="BH23" s="125">
        <v>0</v>
      </c>
      <c r="BI23" s="156"/>
      <c r="BJ23" s="70"/>
    </row>
    <row r="24" spans="1:62" s="13" customFormat="1" x14ac:dyDescent="0.25">
      <c r="A24" s="70">
        <f t="shared" si="14"/>
        <v>22</v>
      </c>
      <c r="B24" s="108">
        <v>1733</v>
      </c>
      <c r="C24" s="108" t="s">
        <v>41</v>
      </c>
      <c r="D24" s="99" t="s">
        <v>187</v>
      </c>
      <c r="E24" s="114" t="s">
        <v>182</v>
      </c>
      <c r="F24" s="114" t="s">
        <v>189</v>
      </c>
      <c r="G24" s="115">
        <v>0</v>
      </c>
      <c r="H24" s="122" t="s">
        <v>43</v>
      </c>
      <c r="I24" s="129">
        <v>44389</v>
      </c>
      <c r="J24" s="129"/>
      <c r="K24" s="116"/>
      <c r="L24" s="129"/>
      <c r="M24" s="128" t="s">
        <v>44</v>
      </c>
      <c r="N24" s="117" t="s">
        <v>956</v>
      </c>
      <c r="O24" s="114" t="s">
        <v>1112</v>
      </c>
      <c r="P24" s="70" t="s">
        <v>46</v>
      </c>
      <c r="Q24" s="128" t="s">
        <v>63</v>
      </c>
      <c r="R24" s="125">
        <v>43600</v>
      </c>
      <c r="S24" s="119">
        <f>+R24*0.07</f>
        <v>3052.0000000000005</v>
      </c>
      <c r="T24" s="74">
        <v>45778</v>
      </c>
      <c r="U24" s="119">
        <f t="shared" si="0"/>
        <v>46652</v>
      </c>
      <c r="V24" s="119">
        <v>44852</v>
      </c>
      <c r="W24" s="119">
        <f>+U24*0.5</f>
        <v>23326</v>
      </c>
      <c r="X24" s="125">
        <f t="shared" si="28"/>
        <v>11663</v>
      </c>
      <c r="Y24" s="118">
        <f>+V24-X24-W24</f>
        <v>9863</v>
      </c>
      <c r="Z24" s="118">
        <f t="shared" si="29"/>
        <v>44852</v>
      </c>
      <c r="AA24" s="119">
        <v>30</v>
      </c>
      <c r="AB24" s="115">
        <v>1.5</v>
      </c>
      <c r="AC24" s="115">
        <v>9</v>
      </c>
      <c r="AD24" s="115">
        <v>2</v>
      </c>
      <c r="AE24" s="115"/>
      <c r="AF24" s="115">
        <f t="shared" si="16"/>
        <v>-5.5</v>
      </c>
      <c r="AG24" s="115">
        <f t="shared" si="17"/>
        <v>24.5</v>
      </c>
      <c r="AH24" s="101">
        <f t="shared" si="18"/>
        <v>24.5</v>
      </c>
      <c r="AI24" s="118">
        <f t="shared" si="3"/>
        <v>38099</v>
      </c>
      <c r="AJ24" s="118">
        <f t="shared" si="4"/>
        <v>36629</v>
      </c>
      <c r="AK24" s="118">
        <f t="shared" si="5"/>
        <v>19050</v>
      </c>
      <c r="AL24" s="118">
        <f t="shared" si="6"/>
        <v>9525</v>
      </c>
      <c r="AM24" s="118">
        <f t="shared" si="7"/>
        <v>8055</v>
      </c>
      <c r="AN24" s="119">
        <f t="shared" si="8"/>
        <v>0</v>
      </c>
      <c r="AO24" s="119">
        <f t="shared" si="24"/>
        <v>1800</v>
      </c>
      <c r="AP24" s="118">
        <f t="shared" si="9"/>
        <v>38430</v>
      </c>
      <c r="AQ24" s="118">
        <v>0</v>
      </c>
      <c r="AR24" s="118">
        <f t="shared" si="10"/>
        <v>0</v>
      </c>
      <c r="AS24" s="118">
        <f t="shared" si="11"/>
        <v>0</v>
      </c>
      <c r="AT24" s="118">
        <f t="shared" si="12"/>
        <v>1800</v>
      </c>
      <c r="AU24" s="118">
        <f t="shared" si="13"/>
        <v>1800</v>
      </c>
      <c r="AV24" s="118"/>
      <c r="AW24" s="118">
        <v>0</v>
      </c>
      <c r="AX24" s="118">
        <f t="shared" si="23"/>
        <v>0</v>
      </c>
      <c r="AY24" s="120"/>
      <c r="AZ24" s="120">
        <v>0</v>
      </c>
      <c r="BA24" s="118">
        <f t="shared" si="19"/>
        <v>34830</v>
      </c>
      <c r="BB24" s="122" t="s">
        <v>586</v>
      </c>
      <c r="BC24" s="70" t="s">
        <v>150</v>
      </c>
      <c r="BD24" s="121" t="s">
        <v>212</v>
      </c>
      <c r="BE24" s="102"/>
      <c r="BF24" s="102"/>
      <c r="BG24" s="70" t="s">
        <v>48</v>
      </c>
      <c r="BH24" s="125">
        <v>0</v>
      </c>
      <c r="BI24" s="156"/>
      <c r="BJ24" s="70"/>
    </row>
    <row r="25" spans="1:62" s="13" customFormat="1" x14ac:dyDescent="0.25">
      <c r="A25" s="70">
        <f t="shared" si="14"/>
        <v>23</v>
      </c>
      <c r="B25" s="108">
        <v>1735</v>
      </c>
      <c r="C25" s="108" t="s">
        <v>233</v>
      </c>
      <c r="D25" s="99" t="s">
        <v>188</v>
      </c>
      <c r="E25" s="114" t="s">
        <v>183</v>
      </c>
      <c r="F25" s="114" t="s">
        <v>190</v>
      </c>
      <c r="G25" s="115">
        <v>0</v>
      </c>
      <c r="H25" s="122" t="s">
        <v>43</v>
      </c>
      <c r="I25" s="129">
        <v>44391</v>
      </c>
      <c r="J25" s="129"/>
      <c r="K25" s="116"/>
      <c r="L25" s="129"/>
      <c r="M25" s="128" t="s">
        <v>44</v>
      </c>
      <c r="N25" s="117" t="s">
        <v>940</v>
      </c>
      <c r="O25" s="114" t="s">
        <v>977</v>
      </c>
      <c r="P25" s="70" t="s">
        <v>63</v>
      </c>
      <c r="Q25" s="128" t="s">
        <v>63</v>
      </c>
      <c r="R25" s="125">
        <v>18181</v>
      </c>
      <c r="S25" s="119">
        <f>+R25*0.25</f>
        <v>4545.25</v>
      </c>
      <c r="T25" s="74">
        <v>45778</v>
      </c>
      <c r="U25" s="119">
        <f t="shared" si="0"/>
        <v>22726.25</v>
      </c>
      <c r="V25" s="119">
        <v>20689</v>
      </c>
      <c r="W25" s="119">
        <f t="shared" ref="W25:W30" si="30">+U25*0.5</f>
        <v>11363.125</v>
      </c>
      <c r="X25" s="125">
        <f t="shared" si="28"/>
        <v>5681.5625</v>
      </c>
      <c r="Y25" s="118">
        <f>+V25-X25-W25</f>
        <v>3644.3125</v>
      </c>
      <c r="Z25" s="118">
        <f t="shared" si="29"/>
        <v>20689</v>
      </c>
      <c r="AA25" s="119">
        <v>30</v>
      </c>
      <c r="AB25" s="115">
        <v>8</v>
      </c>
      <c r="AC25" s="115">
        <v>1</v>
      </c>
      <c r="AD25" s="115">
        <v>1</v>
      </c>
      <c r="AE25" s="115"/>
      <c r="AF25" s="115">
        <f t="shared" si="16"/>
        <v>8</v>
      </c>
      <c r="AG25" s="115">
        <f t="shared" si="17"/>
        <v>38</v>
      </c>
      <c r="AH25" s="101">
        <f t="shared" si="18"/>
        <v>30</v>
      </c>
      <c r="AI25" s="118">
        <f t="shared" si="3"/>
        <v>22726</v>
      </c>
      <c r="AJ25" s="118">
        <f t="shared" si="4"/>
        <v>20689</v>
      </c>
      <c r="AK25" s="118">
        <f t="shared" si="5"/>
        <v>11363</v>
      </c>
      <c r="AL25" s="118">
        <f t="shared" si="6"/>
        <v>5682</v>
      </c>
      <c r="AM25" s="118">
        <f t="shared" si="7"/>
        <v>3644</v>
      </c>
      <c r="AN25" s="119">
        <f t="shared" si="8"/>
        <v>673</v>
      </c>
      <c r="AO25" s="119">
        <f t="shared" si="24"/>
        <v>1364</v>
      </c>
      <c r="AP25" s="118">
        <f t="shared" si="9"/>
        <v>22726</v>
      </c>
      <c r="AQ25" s="118">
        <v>0</v>
      </c>
      <c r="AR25" s="118">
        <f t="shared" si="10"/>
        <v>156</v>
      </c>
      <c r="AS25" s="118">
        <f t="shared" si="11"/>
        <v>673</v>
      </c>
      <c r="AT25" s="118">
        <f t="shared" si="12"/>
        <v>1364</v>
      </c>
      <c r="AU25" s="118">
        <f t="shared" si="13"/>
        <v>1364</v>
      </c>
      <c r="AV25" s="118"/>
      <c r="AW25" s="118">
        <v>0</v>
      </c>
      <c r="AX25" s="118">
        <f t="shared" si="23"/>
        <v>0</v>
      </c>
      <c r="AY25" s="120"/>
      <c r="AZ25" s="120">
        <v>0</v>
      </c>
      <c r="BA25" s="118">
        <f t="shared" si="19"/>
        <v>19169</v>
      </c>
      <c r="BB25" s="122" t="s">
        <v>114</v>
      </c>
      <c r="BC25" s="70" t="s">
        <v>157</v>
      </c>
      <c r="BD25" s="121" t="s">
        <v>263</v>
      </c>
      <c r="BE25" s="102"/>
      <c r="BF25" s="102"/>
      <c r="BG25" s="70" t="s">
        <v>48</v>
      </c>
      <c r="BH25" s="125">
        <v>0</v>
      </c>
      <c r="BI25" s="156"/>
      <c r="BJ25" s="70"/>
    </row>
    <row r="26" spans="1:62" s="13" customFormat="1" x14ac:dyDescent="0.25">
      <c r="A26" s="70">
        <f t="shared" si="14"/>
        <v>24</v>
      </c>
      <c r="B26" s="108">
        <v>1741</v>
      </c>
      <c r="C26" s="108" t="s">
        <v>41</v>
      </c>
      <c r="D26" s="99" t="s">
        <v>198</v>
      </c>
      <c r="E26" s="114" t="s">
        <v>184</v>
      </c>
      <c r="F26" s="114" t="s">
        <v>191</v>
      </c>
      <c r="G26" s="115">
        <v>0</v>
      </c>
      <c r="H26" s="122" t="s">
        <v>43</v>
      </c>
      <c r="I26" s="129">
        <v>44398</v>
      </c>
      <c r="J26" s="129"/>
      <c r="K26" s="116"/>
      <c r="L26" s="129"/>
      <c r="M26" s="128" t="s">
        <v>44</v>
      </c>
      <c r="N26" s="117" t="s">
        <v>955</v>
      </c>
      <c r="O26" s="114" t="s">
        <v>110</v>
      </c>
      <c r="P26" s="70" t="s">
        <v>46</v>
      </c>
      <c r="Q26" s="128" t="s">
        <v>63</v>
      </c>
      <c r="R26" s="125">
        <v>23040</v>
      </c>
      <c r="S26" s="119">
        <f>+R26*0.1</f>
        <v>2304</v>
      </c>
      <c r="T26" s="74">
        <v>45778</v>
      </c>
      <c r="U26" s="119">
        <f t="shared" si="0"/>
        <v>25344</v>
      </c>
      <c r="V26" s="119">
        <v>23709</v>
      </c>
      <c r="W26" s="125">
        <f t="shared" si="30"/>
        <v>12672</v>
      </c>
      <c r="X26" s="125">
        <f t="shared" si="28"/>
        <v>6336</v>
      </c>
      <c r="Y26" s="118">
        <f>+V26-W26-X26</f>
        <v>4701</v>
      </c>
      <c r="Z26" s="118">
        <f t="shared" si="29"/>
        <v>23709</v>
      </c>
      <c r="AA26" s="119">
        <v>30</v>
      </c>
      <c r="AB26" s="115">
        <v>14.5</v>
      </c>
      <c r="AC26" s="115">
        <v>3.5</v>
      </c>
      <c r="AD26" s="115">
        <v>1</v>
      </c>
      <c r="AE26" s="115"/>
      <c r="AF26" s="115">
        <f t="shared" si="16"/>
        <v>12</v>
      </c>
      <c r="AG26" s="115">
        <f t="shared" si="17"/>
        <v>42</v>
      </c>
      <c r="AH26" s="101">
        <f t="shared" si="18"/>
        <v>30</v>
      </c>
      <c r="AI26" s="118">
        <f t="shared" si="3"/>
        <v>25344</v>
      </c>
      <c r="AJ26" s="118">
        <f t="shared" si="4"/>
        <v>23709</v>
      </c>
      <c r="AK26" s="118">
        <f t="shared" si="5"/>
        <v>12672</v>
      </c>
      <c r="AL26" s="118">
        <f t="shared" si="6"/>
        <v>6336</v>
      </c>
      <c r="AM26" s="118">
        <f t="shared" si="7"/>
        <v>4701</v>
      </c>
      <c r="AN26" s="119">
        <f t="shared" si="8"/>
        <v>0</v>
      </c>
      <c r="AO26" s="119">
        <f t="shared" si="24"/>
        <v>1521</v>
      </c>
      <c r="AP26" s="118">
        <f t="shared" si="9"/>
        <v>25230</v>
      </c>
      <c r="AQ26" s="118">
        <v>0</v>
      </c>
      <c r="AR26" s="118">
        <f t="shared" si="10"/>
        <v>0</v>
      </c>
      <c r="AS26" s="118">
        <f t="shared" si="11"/>
        <v>0</v>
      </c>
      <c r="AT26" s="118">
        <f t="shared" si="12"/>
        <v>1521</v>
      </c>
      <c r="AU26" s="118">
        <f t="shared" si="13"/>
        <v>1521</v>
      </c>
      <c r="AV26" s="118"/>
      <c r="AW26" s="118">
        <v>0</v>
      </c>
      <c r="AX26" s="118">
        <v>0</v>
      </c>
      <c r="AY26" s="120"/>
      <c r="AZ26" s="120">
        <v>1000</v>
      </c>
      <c r="BA26" s="118">
        <f t="shared" si="19"/>
        <v>21188</v>
      </c>
      <c r="BB26" s="122" t="s">
        <v>107</v>
      </c>
      <c r="BC26" s="70" t="s">
        <v>196</v>
      </c>
      <c r="BD26" s="121" t="s">
        <v>195</v>
      </c>
      <c r="BE26" s="102"/>
      <c r="BF26" s="102"/>
      <c r="BG26" s="70" t="s">
        <v>48</v>
      </c>
      <c r="BH26" s="125">
        <v>0</v>
      </c>
      <c r="BI26" s="156"/>
      <c r="BJ26" s="70"/>
    </row>
    <row r="27" spans="1:62" s="13" customFormat="1" x14ac:dyDescent="0.25">
      <c r="A27" s="70">
        <f t="shared" si="14"/>
        <v>25</v>
      </c>
      <c r="B27" s="108">
        <v>1745</v>
      </c>
      <c r="C27" s="108" t="s">
        <v>41</v>
      </c>
      <c r="D27" s="99" t="s">
        <v>258</v>
      </c>
      <c r="E27" s="114" t="s">
        <v>186</v>
      </c>
      <c r="F27" s="114" t="s">
        <v>192</v>
      </c>
      <c r="G27" s="115">
        <v>0</v>
      </c>
      <c r="H27" s="122" t="s">
        <v>43</v>
      </c>
      <c r="I27" s="129">
        <v>44403</v>
      </c>
      <c r="J27" s="129"/>
      <c r="K27" s="116"/>
      <c r="L27" s="129"/>
      <c r="M27" s="128" t="s">
        <v>44</v>
      </c>
      <c r="N27" s="117" t="s">
        <v>956</v>
      </c>
      <c r="O27" s="114" t="s">
        <v>1112</v>
      </c>
      <c r="P27" s="70" t="s">
        <v>46</v>
      </c>
      <c r="Q27" s="128" t="s">
        <v>63</v>
      </c>
      <c r="R27" s="125">
        <v>36500</v>
      </c>
      <c r="S27" s="119">
        <f>+R27*0.2</f>
        <v>7300</v>
      </c>
      <c r="T27" s="74">
        <v>45778</v>
      </c>
      <c r="U27" s="119">
        <f t="shared" si="0"/>
        <v>43800</v>
      </c>
      <c r="V27" s="119">
        <v>42000</v>
      </c>
      <c r="W27" s="125">
        <f t="shared" si="30"/>
        <v>21900</v>
      </c>
      <c r="X27" s="125">
        <f t="shared" si="28"/>
        <v>10950</v>
      </c>
      <c r="Y27" s="118">
        <f>V27-W27-X27</f>
        <v>9150</v>
      </c>
      <c r="Z27" s="118">
        <f t="shared" si="29"/>
        <v>42000</v>
      </c>
      <c r="AA27" s="119">
        <v>30</v>
      </c>
      <c r="AB27" s="115">
        <v>17.5</v>
      </c>
      <c r="AC27" s="115">
        <v>0</v>
      </c>
      <c r="AD27" s="115">
        <v>1</v>
      </c>
      <c r="AE27" s="115"/>
      <c r="AF27" s="115">
        <f t="shared" si="16"/>
        <v>18.5</v>
      </c>
      <c r="AG27" s="115">
        <f t="shared" si="17"/>
        <v>48.5</v>
      </c>
      <c r="AH27" s="101">
        <f t="shared" si="18"/>
        <v>30</v>
      </c>
      <c r="AI27" s="118">
        <f t="shared" si="3"/>
        <v>43800</v>
      </c>
      <c r="AJ27" s="118">
        <f t="shared" si="4"/>
        <v>42000</v>
      </c>
      <c r="AK27" s="118">
        <f t="shared" si="5"/>
        <v>21900</v>
      </c>
      <c r="AL27" s="118">
        <f t="shared" si="6"/>
        <v>10950</v>
      </c>
      <c r="AM27" s="118">
        <f t="shared" si="7"/>
        <v>9150</v>
      </c>
      <c r="AN27" s="119">
        <f t="shared" si="8"/>
        <v>0</v>
      </c>
      <c r="AO27" s="119">
        <f t="shared" si="24"/>
        <v>1800</v>
      </c>
      <c r="AP27" s="118">
        <f t="shared" si="9"/>
        <v>43800</v>
      </c>
      <c r="AQ27" s="118">
        <v>0</v>
      </c>
      <c r="AR27" s="118">
        <f t="shared" si="10"/>
        <v>0</v>
      </c>
      <c r="AS27" s="118">
        <f t="shared" si="11"/>
        <v>0</v>
      </c>
      <c r="AT27" s="118">
        <f t="shared" si="12"/>
        <v>1800</v>
      </c>
      <c r="AU27" s="118">
        <f t="shared" si="13"/>
        <v>1800</v>
      </c>
      <c r="AV27" s="118"/>
      <c r="AW27" s="118">
        <v>0</v>
      </c>
      <c r="AX27" s="118">
        <v>0</v>
      </c>
      <c r="AY27" s="120"/>
      <c r="AZ27" s="120">
        <v>1000</v>
      </c>
      <c r="BA27" s="118">
        <f t="shared" si="19"/>
        <v>39200</v>
      </c>
      <c r="BB27" s="122" t="s">
        <v>525</v>
      </c>
      <c r="BC27" s="70" t="s">
        <v>533</v>
      </c>
      <c r="BD27" s="130" t="s">
        <v>635</v>
      </c>
      <c r="BE27" s="102"/>
      <c r="BF27" s="102"/>
      <c r="BG27" s="70" t="s">
        <v>48</v>
      </c>
      <c r="BH27" s="125">
        <v>0</v>
      </c>
      <c r="BI27" s="156"/>
      <c r="BJ27" s="70"/>
    </row>
    <row r="28" spans="1:62" s="13" customFormat="1" x14ac:dyDescent="0.25">
      <c r="A28" s="70">
        <f t="shared" si="14"/>
        <v>26</v>
      </c>
      <c r="B28" s="108">
        <v>1754</v>
      </c>
      <c r="C28" s="108" t="s">
        <v>41</v>
      </c>
      <c r="D28" s="99" t="s">
        <v>937</v>
      </c>
      <c r="E28" s="114" t="s">
        <v>938</v>
      </c>
      <c r="F28" s="114" t="s">
        <v>939</v>
      </c>
      <c r="G28" s="115">
        <v>0</v>
      </c>
      <c r="H28" s="122" t="s">
        <v>43</v>
      </c>
      <c r="I28" s="160">
        <v>44413</v>
      </c>
      <c r="J28" s="129"/>
      <c r="K28" s="116"/>
      <c r="L28" s="129"/>
      <c r="M28" s="128" t="s">
        <v>44</v>
      </c>
      <c r="N28" s="117" t="s">
        <v>948</v>
      </c>
      <c r="O28" s="114" t="s">
        <v>998</v>
      </c>
      <c r="P28" s="70" t="s">
        <v>46</v>
      </c>
      <c r="Q28" s="128" t="s">
        <v>63</v>
      </c>
      <c r="R28" s="125">
        <v>23285</v>
      </c>
      <c r="S28" s="119">
        <f>+R28*0.1</f>
        <v>2328.5</v>
      </c>
      <c r="T28" s="74">
        <v>45778</v>
      </c>
      <c r="U28" s="119">
        <f t="shared" si="0"/>
        <v>25613.5</v>
      </c>
      <c r="V28" s="119">
        <v>24077</v>
      </c>
      <c r="W28" s="125">
        <f>+U28*0.5</f>
        <v>12806.75</v>
      </c>
      <c r="X28" s="125">
        <f t="shared" si="28"/>
        <v>6403.375</v>
      </c>
      <c r="Y28" s="118">
        <f>V28-W28-X28</f>
        <v>4866.875</v>
      </c>
      <c r="Z28" s="118">
        <f t="shared" si="29"/>
        <v>24077</v>
      </c>
      <c r="AA28" s="119">
        <v>30</v>
      </c>
      <c r="AB28" s="115">
        <v>5</v>
      </c>
      <c r="AC28" s="115">
        <v>0</v>
      </c>
      <c r="AD28" s="115">
        <v>1</v>
      </c>
      <c r="AE28" s="115"/>
      <c r="AF28" s="115">
        <f t="shared" si="16"/>
        <v>6</v>
      </c>
      <c r="AG28" s="115">
        <f t="shared" si="17"/>
        <v>36</v>
      </c>
      <c r="AH28" s="101">
        <f t="shared" si="18"/>
        <v>30</v>
      </c>
      <c r="AI28" s="118">
        <f t="shared" si="3"/>
        <v>25614</v>
      </c>
      <c r="AJ28" s="118">
        <f t="shared" si="4"/>
        <v>24077</v>
      </c>
      <c r="AK28" s="118">
        <f t="shared" si="5"/>
        <v>12807</v>
      </c>
      <c r="AL28" s="118">
        <f t="shared" si="6"/>
        <v>6403</v>
      </c>
      <c r="AM28" s="118">
        <f t="shared" si="7"/>
        <v>4867</v>
      </c>
      <c r="AN28" s="119">
        <f t="shared" si="8"/>
        <v>0</v>
      </c>
      <c r="AO28" s="119">
        <f t="shared" si="24"/>
        <v>1537</v>
      </c>
      <c r="AP28" s="118">
        <f t="shared" si="9"/>
        <v>25614</v>
      </c>
      <c r="AQ28" s="118">
        <v>0</v>
      </c>
      <c r="AR28" s="118">
        <f t="shared" si="10"/>
        <v>0</v>
      </c>
      <c r="AS28" s="118">
        <f t="shared" si="11"/>
        <v>0</v>
      </c>
      <c r="AT28" s="118">
        <f t="shared" si="12"/>
        <v>1537</v>
      </c>
      <c r="AU28" s="118">
        <f t="shared" si="13"/>
        <v>1537</v>
      </c>
      <c r="AV28" s="118">
        <v>8000</v>
      </c>
      <c r="AW28" s="118">
        <v>22540</v>
      </c>
      <c r="AX28" s="118">
        <f>+AV28-AW28+22540</f>
        <v>8000</v>
      </c>
      <c r="AY28" s="120"/>
      <c r="AZ28" s="120">
        <v>0</v>
      </c>
      <c r="BA28" s="118">
        <f t="shared" si="19"/>
        <v>0</v>
      </c>
      <c r="BB28" s="122" t="s">
        <v>525</v>
      </c>
      <c r="BC28" s="70" t="s">
        <v>942</v>
      </c>
      <c r="BD28" s="130" t="s">
        <v>941</v>
      </c>
      <c r="BE28" s="102"/>
      <c r="BF28" s="102"/>
      <c r="BG28" s="70" t="s">
        <v>48</v>
      </c>
      <c r="BH28" s="125">
        <v>0</v>
      </c>
      <c r="BI28" s="156"/>
      <c r="BJ28" s="70"/>
    </row>
    <row r="29" spans="1:62" s="13" customFormat="1" x14ac:dyDescent="0.25">
      <c r="A29" s="70">
        <f t="shared" si="14"/>
        <v>27</v>
      </c>
      <c r="B29" s="108">
        <v>1761</v>
      </c>
      <c r="C29" s="108" t="s">
        <v>41</v>
      </c>
      <c r="D29" s="99" t="s">
        <v>259</v>
      </c>
      <c r="E29" s="114" t="s">
        <v>200</v>
      </c>
      <c r="F29" s="114" t="s">
        <v>300</v>
      </c>
      <c r="G29" s="115">
        <v>0</v>
      </c>
      <c r="H29" s="122" t="s">
        <v>43</v>
      </c>
      <c r="I29" s="129">
        <v>44424</v>
      </c>
      <c r="J29" s="129"/>
      <c r="K29" s="116"/>
      <c r="L29" s="129"/>
      <c r="M29" s="128" t="s">
        <v>44</v>
      </c>
      <c r="N29" s="117" t="s">
        <v>945</v>
      </c>
      <c r="O29" s="114" t="s">
        <v>975</v>
      </c>
      <c r="P29" s="70" t="s">
        <v>46</v>
      </c>
      <c r="Q29" s="128" t="s">
        <v>63</v>
      </c>
      <c r="R29" s="125">
        <v>59207</v>
      </c>
      <c r="S29" s="119">
        <f>+R29*0.15</f>
        <v>8881.0499999999993</v>
      </c>
      <c r="T29" s="74" t="s">
        <v>1534</v>
      </c>
      <c r="U29" s="119">
        <f t="shared" si="0"/>
        <v>68088.05</v>
      </c>
      <c r="V29" s="119">
        <v>66288</v>
      </c>
      <c r="W29" s="119">
        <v>29000</v>
      </c>
      <c r="X29" s="125">
        <f>+W29*0.5</f>
        <v>14500</v>
      </c>
      <c r="Y29" s="118">
        <f t="shared" ref="Y29:Y36" si="31">+V29-W29-X29</f>
        <v>22788</v>
      </c>
      <c r="Z29" s="118">
        <f t="shared" si="29"/>
        <v>66288</v>
      </c>
      <c r="AA29" s="119">
        <v>30</v>
      </c>
      <c r="AB29" s="115">
        <v>25</v>
      </c>
      <c r="AC29" s="115">
        <v>0.5</v>
      </c>
      <c r="AD29" s="115">
        <v>1</v>
      </c>
      <c r="AE29" s="115"/>
      <c r="AF29" s="115">
        <f t="shared" si="16"/>
        <v>25.5</v>
      </c>
      <c r="AG29" s="115">
        <f t="shared" si="17"/>
        <v>55.5</v>
      </c>
      <c r="AH29" s="101">
        <f t="shared" si="18"/>
        <v>30</v>
      </c>
      <c r="AI29" s="118">
        <f t="shared" si="3"/>
        <v>68088</v>
      </c>
      <c r="AJ29" s="118">
        <f t="shared" si="4"/>
        <v>66288</v>
      </c>
      <c r="AK29" s="118">
        <f t="shared" si="5"/>
        <v>29000</v>
      </c>
      <c r="AL29" s="118">
        <f t="shared" si="6"/>
        <v>14500</v>
      </c>
      <c r="AM29" s="118">
        <f t="shared" ref="AM29:AM54" si="32">ROUND(Y29*AH29/AA29,0)</f>
        <v>22788</v>
      </c>
      <c r="AN29" s="119">
        <f t="shared" si="8"/>
        <v>0</v>
      </c>
      <c r="AO29" s="119">
        <f t="shared" si="24"/>
        <v>1800</v>
      </c>
      <c r="AP29" s="118">
        <f t="shared" ref="AP29:AP54" si="33">SUM(AK29:AO29)</f>
        <v>68088</v>
      </c>
      <c r="AQ29" s="118">
        <v>0</v>
      </c>
      <c r="AR29" s="118">
        <f t="shared" si="10"/>
        <v>0</v>
      </c>
      <c r="AS29" s="118">
        <f t="shared" ref="AS29:AS54" si="34">AN29</f>
        <v>0</v>
      </c>
      <c r="AT29" s="118">
        <f t="shared" ref="AT29:AT54" si="35">AO29</f>
        <v>1800</v>
      </c>
      <c r="AU29" s="118">
        <f t="shared" ref="AU29:AU54" si="36">AO29</f>
        <v>1800</v>
      </c>
      <c r="AV29" s="118">
        <v>0</v>
      </c>
      <c r="AW29" s="118">
        <v>0</v>
      </c>
      <c r="AX29" s="118">
        <v>0</v>
      </c>
      <c r="AY29" s="120"/>
      <c r="AZ29" s="120">
        <v>0</v>
      </c>
      <c r="BA29" s="118">
        <f t="shared" si="19"/>
        <v>64488</v>
      </c>
      <c r="BB29" s="122" t="s">
        <v>50</v>
      </c>
      <c r="BC29" s="70" t="s">
        <v>51</v>
      </c>
      <c r="BD29" s="121" t="s">
        <v>201</v>
      </c>
      <c r="BE29" s="102"/>
      <c r="BF29" s="102"/>
      <c r="BG29" s="70" t="s">
        <v>48</v>
      </c>
      <c r="BH29" s="125">
        <v>0</v>
      </c>
      <c r="BI29" s="156"/>
      <c r="BJ29" s="70"/>
    </row>
    <row r="30" spans="1:62" s="13" customFormat="1" x14ac:dyDescent="0.25">
      <c r="A30" s="70">
        <f t="shared" si="14"/>
        <v>28</v>
      </c>
      <c r="B30" s="108">
        <v>1768</v>
      </c>
      <c r="C30" s="108" t="s">
        <v>41</v>
      </c>
      <c r="D30" s="99" t="s">
        <v>204</v>
      </c>
      <c r="E30" s="114" t="s">
        <v>197</v>
      </c>
      <c r="F30" s="114" t="s">
        <v>206</v>
      </c>
      <c r="G30" s="115">
        <v>0</v>
      </c>
      <c r="H30" s="122" t="s">
        <v>43</v>
      </c>
      <c r="I30" s="129">
        <v>44441</v>
      </c>
      <c r="J30" s="129"/>
      <c r="K30" s="116"/>
      <c r="L30" s="129"/>
      <c r="M30" s="128" t="s">
        <v>44</v>
      </c>
      <c r="N30" s="117" t="s">
        <v>947</v>
      </c>
      <c r="O30" s="114" t="s">
        <v>998</v>
      </c>
      <c r="P30" s="70" t="s">
        <v>46</v>
      </c>
      <c r="Q30" s="128" t="s">
        <v>63</v>
      </c>
      <c r="R30" s="119">
        <v>27000</v>
      </c>
      <c r="S30" s="119">
        <f>+R30*0.16</f>
        <v>4320</v>
      </c>
      <c r="T30" s="74">
        <v>45778</v>
      </c>
      <c r="U30" s="119">
        <f t="shared" si="0"/>
        <v>31320</v>
      </c>
      <c r="V30" s="119">
        <v>29520</v>
      </c>
      <c r="W30" s="125">
        <f t="shared" si="30"/>
        <v>15660</v>
      </c>
      <c r="X30" s="125">
        <f>+W30*0.5</f>
        <v>7830</v>
      </c>
      <c r="Y30" s="118">
        <f t="shared" si="31"/>
        <v>6030</v>
      </c>
      <c r="Z30" s="118">
        <f t="shared" si="29"/>
        <v>29520</v>
      </c>
      <c r="AA30" s="119">
        <v>30</v>
      </c>
      <c r="AB30" s="115">
        <v>8</v>
      </c>
      <c r="AC30" s="115">
        <v>2.5</v>
      </c>
      <c r="AD30" s="115">
        <v>3</v>
      </c>
      <c r="AE30" s="115"/>
      <c r="AF30" s="115">
        <f t="shared" si="16"/>
        <v>8.5</v>
      </c>
      <c r="AG30" s="115">
        <f t="shared" si="17"/>
        <v>38.5</v>
      </c>
      <c r="AH30" s="101">
        <f t="shared" si="18"/>
        <v>30</v>
      </c>
      <c r="AI30" s="118">
        <f t="shared" si="3"/>
        <v>31320</v>
      </c>
      <c r="AJ30" s="118">
        <f t="shared" si="4"/>
        <v>29520</v>
      </c>
      <c r="AK30" s="118">
        <f t="shared" si="5"/>
        <v>15660</v>
      </c>
      <c r="AL30" s="118">
        <f t="shared" si="6"/>
        <v>7830</v>
      </c>
      <c r="AM30" s="118">
        <f t="shared" si="32"/>
        <v>6030</v>
      </c>
      <c r="AN30" s="119">
        <f t="shared" si="8"/>
        <v>0</v>
      </c>
      <c r="AO30" s="119">
        <f t="shared" si="24"/>
        <v>1800</v>
      </c>
      <c r="AP30" s="118">
        <f t="shared" si="33"/>
        <v>31320</v>
      </c>
      <c r="AQ30" s="118">
        <v>0</v>
      </c>
      <c r="AR30" s="118">
        <f t="shared" si="10"/>
        <v>0</v>
      </c>
      <c r="AS30" s="118">
        <f t="shared" si="34"/>
        <v>0</v>
      </c>
      <c r="AT30" s="118">
        <f t="shared" si="35"/>
        <v>1800</v>
      </c>
      <c r="AU30" s="118">
        <f t="shared" si="36"/>
        <v>1800</v>
      </c>
      <c r="AV30" s="118">
        <v>0</v>
      </c>
      <c r="AW30" s="118">
        <v>0</v>
      </c>
      <c r="AX30" s="118">
        <v>0</v>
      </c>
      <c r="AY30" s="120"/>
      <c r="AZ30" s="120">
        <v>0</v>
      </c>
      <c r="BA30" s="118">
        <f t="shared" si="19"/>
        <v>27720</v>
      </c>
      <c r="BB30" s="122" t="s">
        <v>54</v>
      </c>
      <c r="BC30" s="70" t="s">
        <v>137</v>
      </c>
      <c r="BD30" s="121" t="s">
        <v>211</v>
      </c>
      <c r="BE30" s="102"/>
      <c r="BF30" s="102"/>
      <c r="BG30" s="70" t="s">
        <v>48</v>
      </c>
      <c r="BH30" s="125">
        <v>0</v>
      </c>
      <c r="BI30" s="156"/>
      <c r="BJ30" s="70"/>
    </row>
    <row r="31" spans="1:62" s="13" customFormat="1" x14ac:dyDescent="0.25">
      <c r="A31" s="70">
        <f t="shared" si="14"/>
        <v>29</v>
      </c>
      <c r="B31" s="108">
        <v>1780</v>
      </c>
      <c r="C31" s="108" t="s">
        <v>41</v>
      </c>
      <c r="D31" s="99" t="s">
        <v>205</v>
      </c>
      <c r="E31" s="114" t="s">
        <v>278</v>
      </c>
      <c r="F31" s="114" t="s">
        <v>207</v>
      </c>
      <c r="G31" s="115">
        <v>0</v>
      </c>
      <c r="H31" s="122" t="s">
        <v>43</v>
      </c>
      <c r="I31" s="129">
        <v>44450</v>
      </c>
      <c r="J31" s="129"/>
      <c r="K31" s="116"/>
      <c r="L31" s="129"/>
      <c r="M31" s="128" t="s">
        <v>44</v>
      </c>
      <c r="N31" s="117" t="s">
        <v>955</v>
      </c>
      <c r="O31" s="114" t="s">
        <v>1001</v>
      </c>
      <c r="P31" s="70" t="s">
        <v>46</v>
      </c>
      <c r="Q31" s="128" t="s">
        <v>63</v>
      </c>
      <c r="R31" s="125">
        <v>34300</v>
      </c>
      <c r="S31" s="119">
        <f>+R31*0.1</f>
        <v>3430</v>
      </c>
      <c r="T31" s="74" t="s">
        <v>1532</v>
      </c>
      <c r="U31" s="119">
        <f t="shared" si="0"/>
        <v>37730</v>
      </c>
      <c r="V31" s="119">
        <v>35930</v>
      </c>
      <c r="W31" s="119">
        <f>+U31*0.5</f>
        <v>18865</v>
      </c>
      <c r="X31" s="125">
        <f>+W31*0.5</f>
        <v>9432.5</v>
      </c>
      <c r="Y31" s="118">
        <f t="shared" si="31"/>
        <v>7632.5</v>
      </c>
      <c r="Z31" s="118">
        <f t="shared" si="29"/>
        <v>35930</v>
      </c>
      <c r="AA31" s="119">
        <v>30</v>
      </c>
      <c r="AB31" s="115">
        <v>6.5</v>
      </c>
      <c r="AC31" s="115">
        <v>0.5</v>
      </c>
      <c r="AD31" s="115">
        <v>1</v>
      </c>
      <c r="AE31" s="115"/>
      <c r="AF31" s="115">
        <f t="shared" si="16"/>
        <v>7</v>
      </c>
      <c r="AG31" s="115">
        <f t="shared" si="17"/>
        <v>37</v>
      </c>
      <c r="AH31" s="101">
        <f t="shared" si="18"/>
        <v>30</v>
      </c>
      <c r="AI31" s="118">
        <f t="shared" si="3"/>
        <v>37730</v>
      </c>
      <c r="AJ31" s="118">
        <f t="shared" si="4"/>
        <v>35930</v>
      </c>
      <c r="AK31" s="118">
        <f t="shared" si="5"/>
        <v>18865</v>
      </c>
      <c r="AL31" s="118">
        <f t="shared" si="6"/>
        <v>9433</v>
      </c>
      <c r="AM31" s="118">
        <f t="shared" si="32"/>
        <v>7633</v>
      </c>
      <c r="AN31" s="119">
        <f t="shared" si="8"/>
        <v>0</v>
      </c>
      <c r="AO31" s="119">
        <f t="shared" si="24"/>
        <v>1800</v>
      </c>
      <c r="AP31" s="118">
        <f t="shared" si="33"/>
        <v>37731</v>
      </c>
      <c r="AQ31" s="118">
        <v>0</v>
      </c>
      <c r="AR31" s="118">
        <f t="shared" si="10"/>
        <v>0</v>
      </c>
      <c r="AS31" s="118">
        <f t="shared" si="34"/>
        <v>0</v>
      </c>
      <c r="AT31" s="118">
        <f t="shared" si="35"/>
        <v>1800</v>
      </c>
      <c r="AU31" s="118">
        <f t="shared" si="36"/>
        <v>1800</v>
      </c>
      <c r="AV31" s="118">
        <f>100000</f>
        <v>100000</v>
      </c>
      <c r="AW31" s="118">
        <v>8000</v>
      </c>
      <c r="AX31" s="118">
        <f>+AV31-AW31</f>
        <v>92000</v>
      </c>
      <c r="AY31" s="120"/>
      <c r="AZ31" s="120">
        <v>0</v>
      </c>
      <c r="BA31" s="118">
        <f t="shared" si="19"/>
        <v>26131</v>
      </c>
      <c r="BB31" s="122" t="s">
        <v>659</v>
      </c>
      <c r="BC31" s="70" t="s">
        <v>828</v>
      </c>
      <c r="BD31" s="130" t="s">
        <v>827</v>
      </c>
      <c r="BE31" s="102"/>
      <c r="BF31" s="102"/>
      <c r="BG31" s="70" t="s">
        <v>48</v>
      </c>
      <c r="BH31" s="125">
        <v>0</v>
      </c>
      <c r="BI31" s="156"/>
      <c r="BJ31" s="70"/>
    </row>
    <row r="32" spans="1:62" s="13" customFormat="1" x14ac:dyDescent="0.25">
      <c r="A32" s="70">
        <f t="shared" si="14"/>
        <v>30</v>
      </c>
      <c r="B32" s="108">
        <v>1786</v>
      </c>
      <c r="C32" s="108" t="s">
        <v>41</v>
      </c>
      <c r="D32" s="99" t="s">
        <v>260</v>
      </c>
      <c r="E32" s="114" t="s">
        <v>153</v>
      </c>
      <c r="F32" s="114" t="s">
        <v>208</v>
      </c>
      <c r="G32" s="115">
        <v>0</v>
      </c>
      <c r="H32" s="122" t="s">
        <v>43</v>
      </c>
      <c r="I32" s="129">
        <v>44452</v>
      </c>
      <c r="J32" s="129"/>
      <c r="K32" s="116"/>
      <c r="L32" s="129"/>
      <c r="M32" s="128" t="s">
        <v>44</v>
      </c>
      <c r="N32" s="117" t="s">
        <v>947</v>
      </c>
      <c r="O32" s="114" t="s">
        <v>1001</v>
      </c>
      <c r="P32" s="70" t="s">
        <v>46</v>
      </c>
      <c r="Q32" s="128" t="s">
        <v>63</v>
      </c>
      <c r="R32" s="118">
        <v>27491</v>
      </c>
      <c r="S32" s="119">
        <f>+R32*0.07</f>
        <v>1924.3700000000001</v>
      </c>
      <c r="T32" s="74">
        <v>45778</v>
      </c>
      <c r="U32" s="119">
        <f t="shared" si="0"/>
        <v>29415.37</v>
      </c>
      <c r="V32" s="119">
        <v>27650</v>
      </c>
      <c r="W32" s="125">
        <f t="shared" ref="W32:W34" si="37">+U32*0.5</f>
        <v>14707.684999999999</v>
      </c>
      <c r="X32" s="125">
        <f t="shared" ref="X32:X35" si="38">+W32*0.5</f>
        <v>7353.8424999999997</v>
      </c>
      <c r="Y32" s="118">
        <f t="shared" si="31"/>
        <v>5588.4725000000008</v>
      </c>
      <c r="Z32" s="118">
        <f t="shared" si="29"/>
        <v>27650</v>
      </c>
      <c r="AA32" s="119">
        <v>30</v>
      </c>
      <c r="AB32" s="115">
        <v>11.5</v>
      </c>
      <c r="AC32" s="115">
        <v>1</v>
      </c>
      <c r="AD32" s="115">
        <v>1</v>
      </c>
      <c r="AE32" s="115"/>
      <c r="AF32" s="115">
        <f t="shared" si="16"/>
        <v>11.5</v>
      </c>
      <c r="AG32" s="115">
        <f t="shared" si="17"/>
        <v>41.5</v>
      </c>
      <c r="AH32" s="101">
        <f t="shared" si="18"/>
        <v>30</v>
      </c>
      <c r="AI32" s="118">
        <f t="shared" si="3"/>
        <v>29415</v>
      </c>
      <c r="AJ32" s="118">
        <f t="shared" si="4"/>
        <v>27650</v>
      </c>
      <c r="AK32" s="118">
        <f t="shared" si="5"/>
        <v>14708</v>
      </c>
      <c r="AL32" s="118">
        <f t="shared" si="6"/>
        <v>7354</v>
      </c>
      <c r="AM32" s="118">
        <f t="shared" si="32"/>
        <v>5588</v>
      </c>
      <c r="AN32" s="119">
        <f t="shared" si="8"/>
        <v>0</v>
      </c>
      <c r="AO32" s="119">
        <f t="shared" si="24"/>
        <v>1765</v>
      </c>
      <c r="AP32" s="118">
        <f t="shared" si="33"/>
        <v>29415</v>
      </c>
      <c r="AQ32" s="118">
        <v>0</v>
      </c>
      <c r="AR32" s="118">
        <f t="shared" si="10"/>
        <v>0</v>
      </c>
      <c r="AS32" s="118">
        <f t="shared" si="34"/>
        <v>0</v>
      </c>
      <c r="AT32" s="118">
        <f t="shared" si="35"/>
        <v>1765</v>
      </c>
      <c r="AU32" s="118">
        <f t="shared" si="36"/>
        <v>1765</v>
      </c>
      <c r="AV32" s="118">
        <f>20000+35000</f>
        <v>55000</v>
      </c>
      <c r="AW32" s="118">
        <v>5000</v>
      </c>
      <c r="AX32" s="118">
        <f>+AV32-AW32</f>
        <v>50000</v>
      </c>
      <c r="AY32" s="120"/>
      <c r="AZ32" s="120">
        <v>0</v>
      </c>
      <c r="BA32" s="118">
        <f t="shared" si="19"/>
        <v>20885</v>
      </c>
      <c r="BB32" s="122" t="s">
        <v>393</v>
      </c>
      <c r="BC32" s="70" t="s">
        <v>829</v>
      </c>
      <c r="BD32" s="121" t="s">
        <v>830</v>
      </c>
      <c r="BE32" s="102"/>
      <c r="BF32" s="102"/>
      <c r="BG32" s="70" t="s">
        <v>48</v>
      </c>
      <c r="BH32" s="125">
        <v>0</v>
      </c>
      <c r="BI32" s="156"/>
      <c r="BJ32" s="70"/>
    </row>
    <row r="33" spans="1:62" s="13" customFormat="1" x14ac:dyDescent="0.25">
      <c r="A33" s="70">
        <f t="shared" si="14"/>
        <v>31</v>
      </c>
      <c r="B33" s="108">
        <v>1792</v>
      </c>
      <c r="C33" s="108" t="s">
        <v>41</v>
      </c>
      <c r="D33" s="99" t="s">
        <v>215</v>
      </c>
      <c r="E33" s="114" t="s">
        <v>444</v>
      </c>
      <c r="F33" s="114" t="s">
        <v>301</v>
      </c>
      <c r="G33" s="115">
        <v>0</v>
      </c>
      <c r="H33" s="122" t="s">
        <v>43</v>
      </c>
      <c r="I33" s="129">
        <v>44466</v>
      </c>
      <c r="J33" s="129"/>
      <c r="K33" s="116"/>
      <c r="L33" s="129"/>
      <c r="M33" s="128" t="s">
        <v>44</v>
      </c>
      <c r="N33" s="117" t="s">
        <v>957</v>
      </c>
      <c r="O33" s="114" t="s">
        <v>53</v>
      </c>
      <c r="P33" s="70" t="s">
        <v>46</v>
      </c>
      <c r="Q33" s="128" t="s">
        <v>63</v>
      </c>
      <c r="R33" s="119">
        <v>39167</v>
      </c>
      <c r="S33" s="119">
        <f>+R33*0.05</f>
        <v>1958.3500000000001</v>
      </c>
      <c r="T33" s="74">
        <v>45778</v>
      </c>
      <c r="U33" s="119">
        <f t="shared" si="0"/>
        <v>41125.35</v>
      </c>
      <c r="V33" s="119">
        <v>39325</v>
      </c>
      <c r="W33" s="125">
        <f t="shared" si="37"/>
        <v>20562.674999999999</v>
      </c>
      <c r="X33" s="125">
        <f t="shared" si="38"/>
        <v>10281.3375</v>
      </c>
      <c r="Y33" s="118">
        <f t="shared" si="31"/>
        <v>8480.9875000000011</v>
      </c>
      <c r="Z33" s="118">
        <f t="shared" si="29"/>
        <v>39325</v>
      </c>
      <c r="AA33" s="119">
        <v>30</v>
      </c>
      <c r="AB33" s="115">
        <v>7.5</v>
      </c>
      <c r="AC33" s="115">
        <v>22</v>
      </c>
      <c r="AD33" s="115">
        <v>1</v>
      </c>
      <c r="AE33" s="115"/>
      <c r="AF33" s="115">
        <f t="shared" si="16"/>
        <v>-13.5</v>
      </c>
      <c r="AG33" s="115">
        <f t="shared" si="17"/>
        <v>16.5</v>
      </c>
      <c r="AH33" s="101">
        <f t="shared" si="18"/>
        <v>16.5</v>
      </c>
      <c r="AI33" s="118">
        <f t="shared" si="3"/>
        <v>22619</v>
      </c>
      <c r="AJ33" s="118">
        <f t="shared" si="4"/>
        <v>21629</v>
      </c>
      <c r="AK33" s="118">
        <f t="shared" si="5"/>
        <v>11309</v>
      </c>
      <c r="AL33" s="118">
        <f t="shared" si="6"/>
        <v>5655</v>
      </c>
      <c r="AM33" s="118">
        <f t="shared" si="32"/>
        <v>4665</v>
      </c>
      <c r="AN33" s="119">
        <f t="shared" si="8"/>
        <v>0</v>
      </c>
      <c r="AO33" s="119">
        <f t="shared" si="24"/>
        <v>1357</v>
      </c>
      <c r="AP33" s="118">
        <f t="shared" si="33"/>
        <v>22986</v>
      </c>
      <c r="AQ33" s="118">
        <v>0</v>
      </c>
      <c r="AR33" s="118">
        <f t="shared" si="10"/>
        <v>0</v>
      </c>
      <c r="AS33" s="118">
        <f t="shared" si="34"/>
        <v>0</v>
      </c>
      <c r="AT33" s="118">
        <f t="shared" si="35"/>
        <v>1357</v>
      </c>
      <c r="AU33" s="118">
        <f t="shared" si="36"/>
        <v>1357</v>
      </c>
      <c r="AV33" s="118">
        <v>50000</v>
      </c>
      <c r="AW33" s="118">
        <v>0</v>
      </c>
      <c r="AX33" s="118">
        <f>+AV33-AW33</f>
        <v>50000</v>
      </c>
      <c r="AY33" s="120"/>
      <c r="AZ33" s="120">
        <v>1000</v>
      </c>
      <c r="BA33" s="118">
        <f t="shared" si="19"/>
        <v>19272</v>
      </c>
      <c r="BB33" s="122" t="s">
        <v>54</v>
      </c>
      <c r="BC33" s="70" t="s">
        <v>213</v>
      </c>
      <c r="BD33" s="121" t="s">
        <v>214</v>
      </c>
      <c r="BE33" s="102"/>
      <c r="BF33" s="102"/>
      <c r="BG33" s="70" t="s">
        <v>48</v>
      </c>
      <c r="BH33" s="125">
        <v>0</v>
      </c>
      <c r="BI33" s="156"/>
      <c r="BJ33" s="70"/>
    </row>
    <row r="34" spans="1:62" s="13" customFormat="1" x14ac:dyDescent="0.25">
      <c r="A34" s="70">
        <f t="shared" si="14"/>
        <v>32</v>
      </c>
      <c r="B34" s="108">
        <v>1795</v>
      </c>
      <c r="C34" s="108" t="s">
        <v>234</v>
      </c>
      <c r="D34" s="99" t="s">
        <v>232</v>
      </c>
      <c r="E34" s="114" t="s">
        <v>275</v>
      </c>
      <c r="F34" s="114" t="s">
        <v>216</v>
      </c>
      <c r="G34" s="115">
        <v>0</v>
      </c>
      <c r="H34" s="122" t="s">
        <v>43</v>
      </c>
      <c r="I34" s="129">
        <v>44470</v>
      </c>
      <c r="J34" s="129"/>
      <c r="K34" s="116"/>
      <c r="L34" s="129"/>
      <c r="M34" s="128" t="s">
        <v>44</v>
      </c>
      <c r="N34" s="117" t="s">
        <v>947</v>
      </c>
      <c r="O34" s="114" t="s">
        <v>1112</v>
      </c>
      <c r="P34" s="70" t="s">
        <v>63</v>
      </c>
      <c r="Q34" s="128" t="s">
        <v>63</v>
      </c>
      <c r="R34" s="125">
        <v>18340</v>
      </c>
      <c r="S34" s="119">
        <v>2500</v>
      </c>
      <c r="T34" s="74">
        <v>45413</v>
      </c>
      <c r="U34" s="119">
        <f t="shared" si="0"/>
        <v>20840</v>
      </c>
      <c r="V34" s="119">
        <v>18973</v>
      </c>
      <c r="W34" s="125">
        <f t="shared" si="37"/>
        <v>10420</v>
      </c>
      <c r="X34" s="125">
        <f t="shared" si="38"/>
        <v>5210</v>
      </c>
      <c r="Y34" s="118">
        <f t="shared" si="31"/>
        <v>3343</v>
      </c>
      <c r="Z34" s="118">
        <f>+W34+X34+Y34</f>
        <v>18973</v>
      </c>
      <c r="AA34" s="119">
        <v>30</v>
      </c>
      <c r="AB34" s="115">
        <v>12</v>
      </c>
      <c r="AC34" s="115">
        <v>4</v>
      </c>
      <c r="AD34" s="115">
        <v>1</v>
      </c>
      <c r="AE34" s="115"/>
      <c r="AF34" s="115">
        <f t="shared" si="16"/>
        <v>9</v>
      </c>
      <c r="AG34" s="115">
        <f t="shared" si="17"/>
        <v>39</v>
      </c>
      <c r="AH34" s="101">
        <f t="shared" si="18"/>
        <v>30</v>
      </c>
      <c r="AI34" s="118">
        <f t="shared" si="3"/>
        <v>20840</v>
      </c>
      <c r="AJ34" s="118">
        <f t="shared" si="4"/>
        <v>18973</v>
      </c>
      <c r="AK34" s="118">
        <f t="shared" si="5"/>
        <v>10420</v>
      </c>
      <c r="AL34" s="118">
        <f t="shared" si="6"/>
        <v>5210</v>
      </c>
      <c r="AM34" s="118">
        <f t="shared" si="32"/>
        <v>3343</v>
      </c>
      <c r="AN34" s="119">
        <f t="shared" si="8"/>
        <v>617</v>
      </c>
      <c r="AO34" s="119">
        <f t="shared" si="24"/>
        <v>1250</v>
      </c>
      <c r="AP34" s="118">
        <f t="shared" si="33"/>
        <v>20840</v>
      </c>
      <c r="AQ34" s="118">
        <v>0</v>
      </c>
      <c r="AR34" s="118">
        <f t="shared" si="10"/>
        <v>143</v>
      </c>
      <c r="AS34" s="118">
        <f t="shared" si="34"/>
        <v>617</v>
      </c>
      <c r="AT34" s="118">
        <f t="shared" si="35"/>
        <v>1250</v>
      </c>
      <c r="AU34" s="118">
        <f t="shared" si="36"/>
        <v>1250</v>
      </c>
      <c r="AV34" s="118"/>
      <c r="AW34" s="118">
        <v>0</v>
      </c>
      <c r="AX34" s="118">
        <v>0</v>
      </c>
      <c r="AY34" s="120"/>
      <c r="AZ34" s="120">
        <v>0</v>
      </c>
      <c r="BA34" s="118">
        <f t="shared" si="19"/>
        <v>17580</v>
      </c>
      <c r="BB34" s="122" t="s">
        <v>393</v>
      </c>
      <c r="BC34" s="70" t="s">
        <v>209</v>
      </c>
      <c r="BD34" s="121" t="s">
        <v>681</v>
      </c>
      <c r="BE34" s="102"/>
      <c r="BF34" s="102"/>
      <c r="BG34" s="70" t="s">
        <v>48</v>
      </c>
      <c r="BH34" s="125">
        <v>0</v>
      </c>
      <c r="BI34" s="156"/>
      <c r="BJ34" s="70"/>
    </row>
    <row r="35" spans="1:62" s="13" customFormat="1" x14ac:dyDescent="0.25">
      <c r="A35" s="70">
        <f t="shared" si="14"/>
        <v>33</v>
      </c>
      <c r="B35" s="70">
        <v>1814</v>
      </c>
      <c r="C35" s="108" t="s">
        <v>41</v>
      </c>
      <c r="D35" s="99" t="s">
        <v>261</v>
      </c>
      <c r="E35" s="114" t="s">
        <v>219</v>
      </c>
      <c r="F35" s="114" t="s">
        <v>224</v>
      </c>
      <c r="G35" s="115">
        <v>0</v>
      </c>
      <c r="H35" s="122" t="s">
        <v>43</v>
      </c>
      <c r="I35" s="129">
        <v>44505</v>
      </c>
      <c r="J35" s="129"/>
      <c r="K35" s="116"/>
      <c r="L35" s="129"/>
      <c r="M35" s="128" t="s">
        <v>44</v>
      </c>
      <c r="N35" s="117" t="s">
        <v>957</v>
      </c>
      <c r="O35" s="114" t="s">
        <v>53</v>
      </c>
      <c r="P35" s="70" t="s">
        <v>46</v>
      </c>
      <c r="Q35" s="128" t="s">
        <v>63</v>
      </c>
      <c r="R35" s="125">
        <v>74784</v>
      </c>
      <c r="S35" s="119">
        <f>+R35*0.2</f>
        <v>14956.800000000001</v>
      </c>
      <c r="T35" s="74" t="s">
        <v>1530</v>
      </c>
      <c r="U35" s="119">
        <f t="shared" si="0"/>
        <v>89740.800000000003</v>
      </c>
      <c r="V35" s="119">
        <v>87941</v>
      </c>
      <c r="W35" s="119">
        <v>37500</v>
      </c>
      <c r="X35" s="125">
        <f t="shared" si="38"/>
        <v>18750</v>
      </c>
      <c r="Y35" s="118">
        <f t="shared" si="31"/>
        <v>31691</v>
      </c>
      <c r="Z35" s="118">
        <f t="shared" ref="Z35:Z48" si="39">+W35+X35+Y35</f>
        <v>87941</v>
      </c>
      <c r="AA35" s="119">
        <v>30</v>
      </c>
      <c r="AB35" s="115">
        <v>13</v>
      </c>
      <c r="AC35" s="115">
        <v>0</v>
      </c>
      <c r="AD35" s="115">
        <v>1</v>
      </c>
      <c r="AE35" s="115"/>
      <c r="AF35" s="115">
        <f t="shared" si="16"/>
        <v>14</v>
      </c>
      <c r="AG35" s="115">
        <f t="shared" si="17"/>
        <v>44</v>
      </c>
      <c r="AH35" s="101">
        <f t="shared" si="18"/>
        <v>30</v>
      </c>
      <c r="AI35" s="118">
        <f t="shared" si="3"/>
        <v>89741</v>
      </c>
      <c r="AJ35" s="118">
        <f t="shared" si="4"/>
        <v>87941</v>
      </c>
      <c r="AK35" s="118">
        <f t="shared" si="5"/>
        <v>37500</v>
      </c>
      <c r="AL35" s="118">
        <f t="shared" si="6"/>
        <v>18750</v>
      </c>
      <c r="AM35" s="118">
        <f t="shared" si="32"/>
        <v>31691</v>
      </c>
      <c r="AN35" s="119">
        <f t="shared" si="8"/>
        <v>0</v>
      </c>
      <c r="AO35" s="119">
        <f t="shared" si="24"/>
        <v>1800</v>
      </c>
      <c r="AP35" s="118">
        <f t="shared" si="33"/>
        <v>89741</v>
      </c>
      <c r="AQ35" s="118">
        <v>0</v>
      </c>
      <c r="AR35" s="118">
        <f t="shared" si="10"/>
        <v>0</v>
      </c>
      <c r="AS35" s="118">
        <f t="shared" si="34"/>
        <v>0</v>
      </c>
      <c r="AT35" s="118">
        <f t="shared" si="35"/>
        <v>1800</v>
      </c>
      <c r="AU35" s="118">
        <f t="shared" si="36"/>
        <v>1800</v>
      </c>
      <c r="AV35" s="118"/>
      <c r="AW35" s="118">
        <v>0</v>
      </c>
      <c r="AX35" s="118">
        <v>0</v>
      </c>
      <c r="AY35" s="120"/>
      <c r="AZ35" s="120">
        <v>0</v>
      </c>
      <c r="BA35" s="118">
        <f t="shared" si="19"/>
        <v>86141</v>
      </c>
      <c r="BB35" s="122" t="s">
        <v>393</v>
      </c>
      <c r="BC35" s="70" t="s">
        <v>106</v>
      </c>
      <c r="BD35" s="130" t="s">
        <v>509</v>
      </c>
      <c r="BE35" s="102"/>
      <c r="BF35" s="102"/>
      <c r="BG35" s="70" t="s">
        <v>48</v>
      </c>
      <c r="BH35" s="125">
        <v>0</v>
      </c>
      <c r="BI35" s="156"/>
      <c r="BJ35" s="70"/>
    </row>
    <row r="36" spans="1:62" s="13" customFormat="1" x14ac:dyDescent="0.25">
      <c r="A36" s="70">
        <f t="shared" si="14"/>
        <v>34</v>
      </c>
      <c r="B36" s="70">
        <v>1823</v>
      </c>
      <c r="C36" s="108" t="s">
        <v>41</v>
      </c>
      <c r="D36" s="99" t="s">
        <v>262</v>
      </c>
      <c r="E36" s="114" t="s">
        <v>220</v>
      </c>
      <c r="F36" s="114" t="s">
        <v>225</v>
      </c>
      <c r="G36" s="115">
        <v>0</v>
      </c>
      <c r="H36" s="122" t="s">
        <v>43</v>
      </c>
      <c r="I36" s="129">
        <v>44526</v>
      </c>
      <c r="J36" s="129"/>
      <c r="K36" s="116"/>
      <c r="L36" s="129"/>
      <c r="M36" s="128" t="s">
        <v>44</v>
      </c>
      <c r="N36" s="117" t="s">
        <v>948</v>
      </c>
      <c r="O36" s="114" t="s">
        <v>1112</v>
      </c>
      <c r="P36" s="70" t="s">
        <v>46</v>
      </c>
      <c r="Q36" s="128" t="s">
        <v>63</v>
      </c>
      <c r="R36" s="125">
        <v>41156</v>
      </c>
      <c r="S36" s="119">
        <v>8218</v>
      </c>
      <c r="T36" s="74">
        <v>45566</v>
      </c>
      <c r="U36" s="119">
        <f t="shared" si="0"/>
        <v>49374</v>
      </c>
      <c r="V36" s="119">
        <v>47574</v>
      </c>
      <c r="W36" s="119">
        <v>25000</v>
      </c>
      <c r="X36" s="125">
        <f>+W36*0.5</f>
        <v>12500</v>
      </c>
      <c r="Y36" s="118">
        <f t="shared" si="31"/>
        <v>10074</v>
      </c>
      <c r="Z36" s="118">
        <f t="shared" si="39"/>
        <v>47574</v>
      </c>
      <c r="AA36" s="119">
        <v>30</v>
      </c>
      <c r="AB36" s="115">
        <v>6.5</v>
      </c>
      <c r="AC36" s="115">
        <v>0</v>
      </c>
      <c r="AD36" s="115">
        <v>1</v>
      </c>
      <c r="AE36" s="115"/>
      <c r="AF36" s="115">
        <f t="shared" si="16"/>
        <v>7.5</v>
      </c>
      <c r="AG36" s="115">
        <f t="shared" si="17"/>
        <v>37.5</v>
      </c>
      <c r="AH36" s="101">
        <f t="shared" si="18"/>
        <v>30</v>
      </c>
      <c r="AI36" s="118">
        <f t="shared" si="3"/>
        <v>49374</v>
      </c>
      <c r="AJ36" s="118">
        <f t="shared" si="4"/>
        <v>47574</v>
      </c>
      <c r="AK36" s="118">
        <f t="shared" si="5"/>
        <v>25000</v>
      </c>
      <c r="AL36" s="118">
        <f t="shared" si="6"/>
        <v>12500</v>
      </c>
      <c r="AM36" s="118">
        <f t="shared" si="32"/>
        <v>10074</v>
      </c>
      <c r="AN36" s="119">
        <f t="shared" si="8"/>
        <v>0</v>
      </c>
      <c r="AO36" s="119">
        <f t="shared" si="24"/>
        <v>1800</v>
      </c>
      <c r="AP36" s="118">
        <f t="shared" si="33"/>
        <v>49374</v>
      </c>
      <c r="AQ36" s="118">
        <v>0</v>
      </c>
      <c r="AR36" s="118">
        <f t="shared" si="10"/>
        <v>0</v>
      </c>
      <c r="AS36" s="118">
        <f t="shared" si="34"/>
        <v>0</v>
      </c>
      <c r="AT36" s="118">
        <f t="shared" si="35"/>
        <v>1800</v>
      </c>
      <c r="AU36" s="118">
        <f t="shared" si="36"/>
        <v>1800</v>
      </c>
      <c r="AV36" s="118">
        <v>10000</v>
      </c>
      <c r="AW36" s="118">
        <v>10000</v>
      </c>
      <c r="AX36" s="118">
        <f>+AV36-AW36</f>
        <v>0</v>
      </c>
      <c r="AY36" s="120"/>
      <c r="AZ36" s="120">
        <v>0</v>
      </c>
      <c r="BA36" s="118">
        <f t="shared" si="19"/>
        <v>35774</v>
      </c>
      <c r="BB36" s="122" t="s">
        <v>57</v>
      </c>
      <c r="BC36" s="70" t="s">
        <v>93</v>
      </c>
      <c r="BD36" s="121" t="s">
        <v>227</v>
      </c>
      <c r="BE36" s="102"/>
      <c r="BF36" s="102"/>
      <c r="BG36" s="70" t="s">
        <v>48</v>
      </c>
      <c r="BH36" s="125">
        <v>0</v>
      </c>
      <c r="BI36" s="156"/>
      <c r="BJ36" s="70"/>
    </row>
    <row r="37" spans="1:62" s="13" customFormat="1" x14ac:dyDescent="0.25">
      <c r="A37" s="70">
        <f t="shared" si="14"/>
        <v>35</v>
      </c>
      <c r="B37" s="70">
        <v>1826</v>
      </c>
      <c r="C37" s="108" t="s">
        <v>41</v>
      </c>
      <c r="D37" s="99" t="s">
        <v>222</v>
      </c>
      <c r="E37" s="114" t="s">
        <v>221</v>
      </c>
      <c r="F37" s="114" t="s">
        <v>223</v>
      </c>
      <c r="G37" s="115">
        <v>0</v>
      </c>
      <c r="H37" s="122" t="s">
        <v>43</v>
      </c>
      <c r="I37" s="129">
        <v>44529</v>
      </c>
      <c r="J37" s="129"/>
      <c r="K37" s="116"/>
      <c r="L37" s="129"/>
      <c r="M37" s="128" t="s">
        <v>44</v>
      </c>
      <c r="N37" s="117" t="s">
        <v>947</v>
      </c>
      <c r="O37" s="114" t="s">
        <v>656</v>
      </c>
      <c r="P37" s="70" t="s">
        <v>46</v>
      </c>
      <c r="Q37" s="128" t="s">
        <v>63</v>
      </c>
      <c r="R37" s="125">
        <v>24000</v>
      </c>
      <c r="S37" s="119">
        <v>3592</v>
      </c>
      <c r="T37" s="74">
        <v>45566</v>
      </c>
      <c r="U37" s="119">
        <f t="shared" si="0"/>
        <v>27592</v>
      </c>
      <c r="V37" s="119">
        <v>25912</v>
      </c>
      <c r="W37" s="119">
        <v>14000</v>
      </c>
      <c r="X37" s="118">
        <f t="shared" ref="X37:X39" si="40">+W37*0.5</f>
        <v>7000</v>
      </c>
      <c r="Y37" s="118">
        <f>+V37-W37-X37</f>
        <v>4912</v>
      </c>
      <c r="Z37" s="118">
        <f t="shared" si="39"/>
        <v>25912</v>
      </c>
      <c r="AA37" s="119">
        <v>30</v>
      </c>
      <c r="AB37" s="115">
        <v>15.5</v>
      </c>
      <c r="AC37" s="115">
        <v>0</v>
      </c>
      <c r="AD37" s="115">
        <v>2</v>
      </c>
      <c r="AE37" s="115"/>
      <c r="AF37" s="115">
        <f t="shared" si="16"/>
        <v>17.5</v>
      </c>
      <c r="AG37" s="115">
        <f t="shared" si="17"/>
        <v>47.5</v>
      </c>
      <c r="AH37" s="101">
        <f t="shared" si="18"/>
        <v>30</v>
      </c>
      <c r="AI37" s="118">
        <f t="shared" si="3"/>
        <v>27592</v>
      </c>
      <c r="AJ37" s="118">
        <f t="shared" si="4"/>
        <v>25912</v>
      </c>
      <c r="AK37" s="118">
        <f t="shared" si="5"/>
        <v>14000</v>
      </c>
      <c r="AL37" s="118">
        <f t="shared" si="6"/>
        <v>7000</v>
      </c>
      <c r="AM37" s="118">
        <f t="shared" si="32"/>
        <v>4912</v>
      </c>
      <c r="AN37" s="119">
        <f t="shared" si="8"/>
        <v>0</v>
      </c>
      <c r="AO37" s="119">
        <f t="shared" si="24"/>
        <v>1680</v>
      </c>
      <c r="AP37" s="118">
        <f t="shared" si="33"/>
        <v>27592</v>
      </c>
      <c r="AQ37" s="118">
        <v>0</v>
      </c>
      <c r="AR37" s="118">
        <f t="shared" si="10"/>
        <v>0</v>
      </c>
      <c r="AS37" s="118">
        <f t="shared" si="34"/>
        <v>0</v>
      </c>
      <c r="AT37" s="118">
        <f t="shared" si="35"/>
        <v>1680</v>
      </c>
      <c r="AU37" s="118">
        <f t="shared" si="36"/>
        <v>1680</v>
      </c>
      <c r="AV37" s="118"/>
      <c r="AW37" s="118">
        <v>0</v>
      </c>
      <c r="AX37" s="118">
        <v>0</v>
      </c>
      <c r="AY37" s="120">
        <v>1000</v>
      </c>
      <c r="AZ37" s="120">
        <v>0</v>
      </c>
      <c r="BA37" s="118">
        <f t="shared" si="19"/>
        <v>25232</v>
      </c>
      <c r="BB37" s="122" t="s">
        <v>54</v>
      </c>
      <c r="BC37" s="70" t="s">
        <v>226</v>
      </c>
      <c r="BD37" s="121" t="s">
        <v>228</v>
      </c>
      <c r="BE37" s="102"/>
      <c r="BF37" s="102"/>
      <c r="BG37" s="70" t="s">
        <v>48</v>
      </c>
      <c r="BH37" s="125" t="s">
        <v>1481</v>
      </c>
      <c r="BI37" s="156"/>
      <c r="BJ37" s="70"/>
    </row>
    <row r="38" spans="1:62" s="13" customFormat="1" x14ac:dyDescent="0.25">
      <c r="A38" s="70">
        <f t="shared" si="14"/>
        <v>36</v>
      </c>
      <c r="B38" s="70">
        <v>1827</v>
      </c>
      <c r="C38" s="108" t="s">
        <v>41</v>
      </c>
      <c r="D38" s="99" t="s">
        <v>357</v>
      </c>
      <c r="E38" s="114" t="s">
        <v>235</v>
      </c>
      <c r="F38" s="114" t="s">
        <v>238</v>
      </c>
      <c r="G38" s="115">
        <v>0</v>
      </c>
      <c r="H38" s="122" t="s">
        <v>43</v>
      </c>
      <c r="I38" s="129">
        <v>44531</v>
      </c>
      <c r="J38" s="129"/>
      <c r="K38" s="116"/>
      <c r="L38" s="129"/>
      <c r="M38" s="128" t="s">
        <v>44</v>
      </c>
      <c r="N38" s="117" t="s">
        <v>947</v>
      </c>
      <c r="O38" s="114" t="s">
        <v>975</v>
      </c>
      <c r="P38" s="70" t="s">
        <v>46</v>
      </c>
      <c r="Q38" s="128" t="s">
        <v>63</v>
      </c>
      <c r="R38" s="125">
        <v>27394</v>
      </c>
      <c r="S38" s="119">
        <f>+R38*0.06</f>
        <v>1643.6399999999999</v>
      </c>
      <c r="T38" s="74" t="s">
        <v>1530</v>
      </c>
      <c r="U38" s="119">
        <f t="shared" si="0"/>
        <v>29037.64</v>
      </c>
      <c r="V38" s="119">
        <v>27296</v>
      </c>
      <c r="W38" s="119">
        <f>+U38*0.5</f>
        <v>14518.82</v>
      </c>
      <c r="X38" s="118">
        <f t="shared" si="40"/>
        <v>7259.41</v>
      </c>
      <c r="Y38" s="118">
        <f>+V38-W38-X38</f>
        <v>5517.77</v>
      </c>
      <c r="Z38" s="118">
        <f t="shared" si="39"/>
        <v>27296</v>
      </c>
      <c r="AA38" s="119">
        <v>30</v>
      </c>
      <c r="AB38" s="115">
        <v>3</v>
      </c>
      <c r="AC38" s="115">
        <v>1</v>
      </c>
      <c r="AD38" s="115">
        <v>1</v>
      </c>
      <c r="AE38" s="115"/>
      <c r="AF38" s="115">
        <f t="shared" si="16"/>
        <v>3</v>
      </c>
      <c r="AG38" s="115">
        <f t="shared" si="17"/>
        <v>33</v>
      </c>
      <c r="AH38" s="101">
        <f t="shared" si="18"/>
        <v>30</v>
      </c>
      <c r="AI38" s="118">
        <f t="shared" si="3"/>
        <v>29038</v>
      </c>
      <c r="AJ38" s="118">
        <f t="shared" si="4"/>
        <v>27296</v>
      </c>
      <c r="AK38" s="118">
        <f t="shared" si="5"/>
        <v>14519</v>
      </c>
      <c r="AL38" s="118">
        <f t="shared" si="6"/>
        <v>7259</v>
      </c>
      <c r="AM38" s="118">
        <f t="shared" si="32"/>
        <v>5518</v>
      </c>
      <c r="AN38" s="119">
        <f t="shared" si="8"/>
        <v>0</v>
      </c>
      <c r="AO38" s="119">
        <f t="shared" si="24"/>
        <v>1742</v>
      </c>
      <c r="AP38" s="118">
        <f t="shared" si="33"/>
        <v>29038</v>
      </c>
      <c r="AQ38" s="118">
        <v>0</v>
      </c>
      <c r="AR38" s="118">
        <f t="shared" si="10"/>
        <v>0</v>
      </c>
      <c r="AS38" s="118">
        <f t="shared" si="34"/>
        <v>0</v>
      </c>
      <c r="AT38" s="118">
        <f t="shared" si="35"/>
        <v>1742</v>
      </c>
      <c r="AU38" s="118">
        <f t="shared" si="36"/>
        <v>1742</v>
      </c>
      <c r="AV38" s="118">
        <v>0</v>
      </c>
      <c r="AW38" s="118">
        <v>1500</v>
      </c>
      <c r="AX38" s="118">
        <v>0</v>
      </c>
      <c r="AY38" s="120"/>
      <c r="AZ38" s="120">
        <v>0</v>
      </c>
      <c r="BA38" s="118">
        <f t="shared" si="19"/>
        <v>24054</v>
      </c>
      <c r="BB38" s="122" t="s">
        <v>107</v>
      </c>
      <c r="BC38" s="70" t="s">
        <v>209</v>
      </c>
      <c r="BD38" s="121" t="s">
        <v>264</v>
      </c>
      <c r="BE38" s="102"/>
      <c r="BF38" s="102"/>
      <c r="BG38" s="70" t="s">
        <v>48</v>
      </c>
      <c r="BH38" s="125">
        <v>0</v>
      </c>
      <c r="BI38" s="156"/>
      <c r="BJ38" s="70"/>
    </row>
    <row r="39" spans="1:62" s="13" customFormat="1" x14ac:dyDescent="0.25">
      <c r="A39" s="70">
        <f t="shared" si="14"/>
        <v>37</v>
      </c>
      <c r="B39" s="70">
        <v>1833</v>
      </c>
      <c r="C39" s="108" t="s">
        <v>41</v>
      </c>
      <c r="D39" s="99" t="s">
        <v>243</v>
      </c>
      <c r="E39" s="114" t="s">
        <v>236</v>
      </c>
      <c r="F39" s="114" t="s">
        <v>239</v>
      </c>
      <c r="G39" s="115">
        <v>0</v>
      </c>
      <c r="H39" s="122" t="s">
        <v>43</v>
      </c>
      <c r="I39" s="129">
        <v>44538</v>
      </c>
      <c r="J39" s="129"/>
      <c r="K39" s="116"/>
      <c r="L39" s="129"/>
      <c r="M39" s="128" t="s">
        <v>44</v>
      </c>
      <c r="N39" s="117" t="s">
        <v>958</v>
      </c>
      <c r="O39" s="114" t="s">
        <v>45</v>
      </c>
      <c r="P39" s="70" t="s">
        <v>46</v>
      </c>
      <c r="Q39" s="128" t="s">
        <v>63</v>
      </c>
      <c r="R39" s="125">
        <v>82240</v>
      </c>
      <c r="S39" s="119">
        <v>16465</v>
      </c>
      <c r="T39" s="74">
        <v>45566</v>
      </c>
      <c r="U39" s="119">
        <f t="shared" si="0"/>
        <v>98705</v>
      </c>
      <c r="V39" s="119">
        <v>96905</v>
      </c>
      <c r="W39" s="119">
        <v>50000</v>
      </c>
      <c r="X39" s="118">
        <f t="shared" si="40"/>
        <v>25000</v>
      </c>
      <c r="Y39" s="118">
        <f>+V39-W39-X39</f>
        <v>21905</v>
      </c>
      <c r="Z39" s="118">
        <f t="shared" si="39"/>
        <v>96905</v>
      </c>
      <c r="AA39" s="119">
        <v>30</v>
      </c>
      <c r="AB39" s="115">
        <v>10</v>
      </c>
      <c r="AC39" s="115">
        <v>2</v>
      </c>
      <c r="AD39" s="115">
        <v>1</v>
      </c>
      <c r="AE39" s="115"/>
      <c r="AF39" s="115">
        <f t="shared" si="16"/>
        <v>9</v>
      </c>
      <c r="AG39" s="115">
        <f t="shared" si="17"/>
        <v>39</v>
      </c>
      <c r="AH39" s="101">
        <f t="shared" si="18"/>
        <v>30</v>
      </c>
      <c r="AI39" s="118">
        <f t="shared" si="3"/>
        <v>98705</v>
      </c>
      <c r="AJ39" s="118">
        <f t="shared" si="4"/>
        <v>96905</v>
      </c>
      <c r="AK39" s="118">
        <f t="shared" si="5"/>
        <v>50000</v>
      </c>
      <c r="AL39" s="118">
        <f t="shared" si="6"/>
        <v>25000</v>
      </c>
      <c r="AM39" s="118">
        <f t="shared" si="32"/>
        <v>21905</v>
      </c>
      <c r="AN39" s="119">
        <f t="shared" si="8"/>
        <v>0</v>
      </c>
      <c r="AO39" s="119">
        <f t="shared" si="24"/>
        <v>1800</v>
      </c>
      <c r="AP39" s="118">
        <f t="shared" si="33"/>
        <v>98705</v>
      </c>
      <c r="AQ39" s="118">
        <v>0</v>
      </c>
      <c r="AR39" s="118">
        <f t="shared" si="10"/>
        <v>0</v>
      </c>
      <c r="AS39" s="118">
        <f t="shared" si="34"/>
        <v>0</v>
      </c>
      <c r="AT39" s="118">
        <f t="shared" si="35"/>
        <v>1800</v>
      </c>
      <c r="AU39" s="118">
        <f t="shared" si="36"/>
        <v>1800</v>
      </c>
      <c r="AV39" s="118">
        <v>100000</v>
      </c>
      <c r="AW39" s="118">
        <v>25000</v>
      </c>
      <c r="AX39" s="118">
        <f>+AV39-AW39</f>
        <v>75000</v>
      </c>
      <c r="AY39" s="120"/>
      <c r="AZ39" s="120">
        <v>0</v>
      </c>
      <c r="BA39" s="118">
        <f t="shared" si="19"/>
        <v>70105</v>
      </c>
      <c r="BB39" s="122" t="s">
        <v>393</v>
      </c>
      <c r="BC39" s="70" t="s">
        <v>202</v>
      </c>
      <c r="BD39" s="130" t="s">
        <v>682</v>
      </c>
      <c r="BE39" s="102"/>
      <c r="BF39" s="102"/>
      <c r="BG39" s="70" t="s">
        <v>48</v>
      </c>
      <c r="BH39" s="125">
        <v>0</v>
      </c>
      <c r="BI39" s="156"/>
      <c r="BJ39" s="70"/>
    </row>
    <row r="40" spans="1:62" s="13" customFormat="1" x14ac:dyDescent="0.25">
      <c r="A40" s="70">
        <f t="shared" si="14"/>
        <v>38</v>
      </c>
      <c r="B40" s="70">
        <v>1851</v>
      </c>
      <c r="C40" s="108" t="s">
        <v>41</v>
      </c>
      <c r="D40" s="99" t="s">
        <v>241</v>
      </c>
      <c r="E40" s="114" t="s">
        <v>185</v>
      </c>
      <c r="F40" s="114" t="s">
        <v>245</v>
      </c>
      <c r="G40" s="115">
        <v>0</v>
      </c>
      <c r="H40" s="122" t="s">
        <v>43</v>
      </c>
      <c r="I40" s="129">
        <v>44557</v>
      </c>
      <c r="J40" s="129"/>
      <c r="K40" s="116"/>
      <c r="L40" s="129"/>
      <c r="M40" s="128" t="s">
        <v>44</v>
      </c>
      <c r="N40" s="117" t="s">
        <v>952</v>
      </c>
      <c r="O40" s="114" t="s">
        <v>1001</v>
      </c>
      <c r="P40" s="70" t="s">
        <v>46</v>
      </c>
      <c r="Q40" s="128" t="s">
        <v>63</v>
      </c>
      <c r="R40" s="125">
        <v>30428</v>
      </c>
      <c r="S40" s="119">
        <f>+R40*0.05</f>
        <v>1521.4</v>
      </c>
      <c r="T40" s="74" t="s">
        <v>1530</v>
      </c>
      <c r="U40" s="119">
        <f t="shared" ref="U40:U69" si="41">R40+S40</f>
        <v>31949.4</v>
      </c>
      <c r="V40" s="119">
        <v>30149</v>
      </c>
      <c r="W40" s="119">
        <f>+U40*0.5</f>
        <v>15974.7</v>
      </c>
      <c r="X40" s="118">
        <f>+W40*0.5</f>
        <v>7987.35</v>
      </c>
      <c r="Y40" s="118">
        <f t="shared" ref="Y40:Y43" si="42">+V40-W40-X40</f>
        <v>6186.9499999999989</v>
      </c>
      <c r="Z40" s="118">
        <f t="shared" si="39"/>
        <v>30149</v>
      </c>
      <c r="AA40" s="119">
        <v>30</v>
      </c>
      <c r="AB40" s="115">
        <v>37</v>
      </c>
      <c r="AC40" s="115">
        <v>3.5</v>
      </c>
      <c r="AD40" s="115">
        <v>1</v>
      </c>
      <c r="AE40" s="115"/>
      <c r="AF40" s="115">
        <f t="shared" ref="AF40:AF72" si="43">AB40+AD40+AE40-AC40</f>
        <v>34.5</v>
      </c>
      <c r="AG40" s="115">
        <f t="shared" ref="AG40:AG71" si="44">+AF40+AA40</f>
        <v>64.5</v>
      </c>
      <c r="AH40" s="101">
        <f t="shared" si="18"/>
        <v>30</v>
      </c>
      <c r="AI40" s="118">
        <f t="shared" ref="AI40:AI70" si="45">ROUND(U40*AH40/AA40,0)</f>
        <v>31949</v>
      </c>
      <c r="AJ40" s="118">
        <f t="shared" si="4"/>
        <v>30149</v>
      </c>
      <c r="AK40" s="118">
        <f t="shared" si="5"/>
        <v>15975</v>
      </c>
      <c r="AL40" s="118">
        <f t="shared" si="6"/>
        <v>7987</v>
      </c>
      <c r="AM40" s="118">
        <f t="shared" si="32"/>
        <v>6187</v>
      </c>
      <c r="AN40" s="119">
        <f t="shared" si="8"/>
        <v>0</v>
      </c>
      <c r="AO40" s="119">
        <f t="shared" si="24"/>
        <v>1800</v>
      </c>
      <c r="AP40" s="118">
        <f t="shared" si="33"/>
        <v>31949</v>
      </c>
      <c r="AQ40" s="118">
        <v>0</v>
      </c>
      <c r="AR40" s="118">
        <f t="shared" si="10"/>
        <v>0</v>
      </c>
      <c r="AS40" s="118">
        <f t="shared" si="34"/>
        <v>0</v>
      </c>
      <c r="AT40" s="118">
        <f t="shared" si="35"/>
        <v>1800</v>
      </c>
      <c r="AU40" s="118">
        <f t="shared" si="36"/>
        <v>1800</v>
      </c>
      <c r="AV40" s="118"/>
      <c r="AW40" s="118">
        <v>0</v>
      </c>
      <c r="AX40" s="118">
        <f t="shared" si="23"/>
        <v>0</v>
      </c>
      <c r="AY40" s="120"/>
      <c r="AZ40" s="120">
        <v>1000</v>
      </c>
      <c r="BA40" s="118">
        <f t="shared" si="19"/>
        <v>27349</v>
      </c>
      <c r="BB40" s="122" t="s">
        <v>114</v>
      </c>
      <c r="BC40" s="70" t="s">
        <v>251</v>
      </c>
      <c r="BD40" s="121" t="s">
        <v>252</v>
      </c>
      <c r="BE40" s="102"/>
      <c r="BF40" s="102"/>
      <c r="BG40" s="70" t="s">
        <v>48</v>
      </c>
      <c r="BH40" s="125">
        <v>0</v>
      </c>
      <c r="BI40" s="156"/>
      <c r="BJ40" s="70"/>
    </row>
    <row r="41" spans="1:62" s="13" customFormat="1" x14ac:dyDescent="0.25">
      <c r="A41" s="70">
        <f t="shared" si="14"/>
        <v>39</v>
      </c>
      <c r="B41" s="70">
        <v>1854</v>
      </c>
      <c r="C41" s="108" t="s">
        <v>41</v>
      </c>
      <c r="D41" s="99" t="s">
        <v>242</v>
      </c>
      <c r="E41" s="114" t="s">
        <v>247</v>
      </c>
      <c r="F41" s="114" t="s">
        <v>246</v>
      </c>
      <c r="G41" s="115">
        <v>0</v>
      </c>
      <c r="H41" s="122" t="s">
        <v>43</v>
      </c>
      <c r="I41" s="129">
        <v>44560</v>
      </c>
      <c r="J41" s="129"/>
      <c r="K41" s="116"/>
      <c r="L41" s="129"/>
      <c r="M41" s="128" t="s">
        <v>44</v>
      </c>
      <c r="N41" s="117" t="s">
        <v>940</v>
      </c>
      <c r="O41" s="114" t="s">
        <v>1112</v>
      </c>
      <c r="P41" s="70" t="s">
        <v>46</v>
      </c>
      <c r="Q41" s="128" t="s">
        <v>63</v>
      </c>
      <c r="R41" s="125">
        <v>22887</v>
      </c>
      <c r="S41" s="119">
        <f>+R41*0.15</f>
        <v>3433.0499999999997</v>
      </c>
      <c r="T41" s="74">
        <v>45962</v>
      </c>
      <c r="U41" s="119">
        <f t="shared" si="41"/>
        <v>26320.05</v>
      </c>
      <c r="V41" s="119">
        <v>24741</v>
      </c>
      <c r="W41" s="119">
        <f>+U41*0.5</f>
        <v>13160.025</v>
      </c>
      <c r="X41" s="125">
        <f>+W41*0.5</f>
        <v>6580.0124999999998</v>
      </c>
      <c r="Y41" s="118">
        <f t="shared" si="42"/>
        <v>5000.9625000000005</v>
      </c>
      <c r="Z41" s="118">
        <f t="shared" si="39"/>
        <v>24741</v>
      </c>
      <c r="AA41" s="119">
        <v>30</v>
      </c>
      <c r="AB41" s="115">
        <v>6</v>
      </c>
      <c r="AC41" s="115">
        <v>1</v>
      </c>
      <c r="AD41" s="115">
        <v>2</v>
      </c>
      <c r="AE41" s="115"/>
      <c r="AF41" s="115">
        <f t="shared" si="43"/>
        <v>7</v>
      </c>
      <c r="AG41" s="115">
        <f t="shared" si="44"/>
        <v>37</v>
      </c>
      <c r="AH41" s="101">
        <f t="shared" si="18"/>
        <v>30</v>
      </c>
      <c r="AI41" s="118">
        <f t="shared" si="45"/>
        <v>26320</v>
      </c>
      <c r="AJ41" s="118">
        <f t="shared" si="4"/>
        <v>24741</v>
      </c>
      <c r="AK41" s="118">
        <f t="shared" si="5"/>
        <v>13160</v>
      </c>
      <c r="AL41" s="118">
        <f t="shared" si="6"/>
        <v>6580</v>
      </c>
      <c r="AM41" s="118">
        <f t="shared" si="32"/>
        <v>5001</v>
      </c>
      <c r="AN41" s="119">
        <f t="shared" si="8"/>
        <v>0</v>
      </c>
      <c r="AO41" s="119">
        <f t="shared" si="24"/>
        <v>1579</v>
      </c>
      <c r="AP41" s="118">
        <f t="shared" si="33"/>
        <v>26320</v>
      </c>
      <c r="AQ41" s="118">
        <v>0</v>
      </c>
      <c r="AR41" s="118">
        <f t="shared" si="10"/>
        <v>0</v>
      </c>
      <c r="AS41" s="118">
        <f t="shared" si="34"/>
        <v>0</v>
      </c>
      <c r="AT41" s="118">
        <f t="shared" si="35"/>
        <v>1579</v>
      </c>
      <c r="AU41" s="118">
        <f t="shared" si="36"/>
        <v>1579</v>
      </c>
      <c r="AV41" s="118">
        <v>0</v>
      </c>
      <c r="AW41" s="118">
        <v>0</v>
      </c>
      <c r="AX41" s="118">
        <f t="shared" si="23"/>
        <v>0</v>
      </c>
      <c r="AY41" s="120"/>
      <c r="AZ41" s="120">
        <v>0</v>
      </c>
      <c r="BA41" s="118">
        <f t="shared" si="19"/>
        <v>23162</v>
      </c>
      <c r="BB41" s="122" t="s">
        <v>54</v>
      </c>
      <c r="BC41" s="70" t="s">
        <v>217</v>
      </c>
      <c r="BD41" s="121" t="s">
        <v>254</v>
      </c>
      <c r="BE41" s="102"/>
      <c r="BF41" s="102"/>
      <c r="BG41" s="70" t="s">
        <v>48</v>
      </c>
      <c r="BH41" s="125">
        <v>0</v>
      </c>
      <c r="BI41" s="156"/>
      <c r="BJ41" s="70"/>
    </row>
    <row r="42" spans="1:62" s="13" customFormat="1" x14ac:dyDescent="0.25">
      <c r="A42" s="70">
        <f t="shared" si="14"/>
        <v>40</v>
      </c>
      <c r="B42" s="70">
        <v>1638</v>
      </c>
      <c r="C42" s="108" t="s">
        <v>41</v>
      </c>
      <c r="D42" s="99" t="s">
        <v>159</v>
      </c>
      <c r="E42" s="114" t="s">
        <v>111</v>
      </c>
      <c r="F42" s="114" t="s">
        <v>302</v>
      </c>
      <c r="G42" s="115">
        <v>0</v>
      </c>
      <c r="H42" s="122" t="s">
        <v>43</v>
      </c>
      <c r="I42" s="129">
        <v>44287</v>
      </c>
      <c r="J42" s="129"/>
      <c r="K42" s="116"/>
      <c r="L42" s="129"/>
      <c r="M42" s="128" t="s">
        <v>44</v>
      </c>
      <c r="N42" s="117" t="s">
        <v>947</v>
      </c>
      <c r="O42" s="114" t="s">
        <v>110</v>
      </c>
      <c r="P42" s="70" t="s">
        <v>46</v>
      </c>
      <c r="Q42" s="128" t="s">
        <v>63</v>
      </c>
      <c r="R42" s="125">
        <v>26976</v>
      </c>
      <c r="S42" s="119">
        <f>+R42*0.05</f>
        <v>1348.8000000000002</v>
      </c>
      <c r="T42" s="74" t="s">
        <v>1530</v>
      </c>
      <c r="U42" s="119">
        <f t="shared" si="41"/>
        <v>28324.799999999999</v>
      </c>
      <c r="V42" s="119">
        <v>26626</v>
      </c>
      <c r="W42" s="125">
        <f>+U42*0.5</f>
        <v>14162.4</v>
      </c>
      <c r="X42" s="125">
        <f>+W42*0.5</f>
        <v>7081.2</v>
      </c>
      <c r="Y42" s="118">
        <f t="shared" si="42"/>
        <v>5382.4000000000005</v>
      </c>
      <c r="Z42" s="118">
        <f t="shared" si="39"/>
        <v>26626</v>
      </c>
      <c r="AA42" s="119">
        <v>30</v>
      </c>
      <c r="AB42" s="115">
        <v>25.5</v>
      </c>
      <c r="AC42" s="115">
        <v>1</v>
      </c>
      <c r="AD42" s="115">
        <v>1</v>
      </c>
      <c r="AE42" s="115"/>
      <c r="AF42" s="115">
        <f t="shared" si="43"/>
        <v>25.5</v>
      </c>
      <c r="AG42" s="115">
        <f t="shared" si="44"/>
        <v>55.5</v>
      </c>
      <c r="AH42" s="101">
        <f t="shared" si="18"/>
        <v>30</v>
      </c>
      <c r="AI42" s="118">
        <f t="shared" si="45"/>
        <v>28325</v>
      </c>
      <c r="AJ42" s="118">
        <f t="shared" si="4"/>
        <v>26626</v>
      </c>
      <c r="AK42" s="118">
        <f t="shared" si="5"/>
        <v>14162</v>
      </c>
      <c r="AL42" s="118">
        <f t="shared" si="6"/>
        <v>7081</v>
      </c>
      <c r="AM42" s="118">
        <f t="shared" si="32"/>
        <v>5382</v>
      </c>
      <c r="AN42" s="119">
        <f t="shared" si="8"/>
        <v>0</v>
      </c>
      <c r="AO42" s="119">
        <f t="shared" si="24"/>
        <v>1699</v>
      </c>
      <c r="AP42" s="118">
        <f t="shared" si="33"/>
        <v>28324</v>
      </c>
      <c r="AQ42" s="118">
        <v>0</v>
      </c>
      <c r="AR42" s="118">
        <f t="shared" si="10"/>
        <v>0</v>
      </c>
      <c r="AS42" s="118">
        <f t="shared" si="34"/>
        <v>0</v>
      </c>
      <c r="AT42" s="118">
        <f t="shared" si="35"/>
        <v>1699</v>
      </c>
      <c r="AU42" s="118">
        <f t="shared" si="36"/>
        <v>1699</v>
      </c>
      <c r="AV42" s="118">
        <v>0</v>
      </c>
      <c r="AW42" s="118">
        <v>0</v>
      </c>
      <c r="AX42" s="118">
        <v>0</v>
      </c>
      <c r="AY42" s="120"/>
      <c r="AZ42" s="120">
        <v>0</v>
      </c>
      <c r="BA42" s="118">
        <f t="shared" si="19"/>
        <v>24926</v>
      </c>
      <c r="BB42" s="122" t="s">
        <v>107</v>
      </c>
      <c r="BC42" s="70" t="s">
        <v>116</v>
      </c>
      <c r="BD42" s="121" t="s">
        <v>115</v>
      </c>
      <c r="BE42" s="102"/>
      <c r="BF42" s="102"/>
      <c r="BG42" s="70" t="s">
        <v>48</v>
      </c>
      <c r="BH42" s="125">
        <v>0</v>
      </c>
      <c r="BI42" s="156"/>
      <c r="BJ42" s="70"/>
    </row>
    <row r="43" spans="1:62" s="13" customFormat="1" x14ac:dyDescent="0.25">
      <c r="A43" s="70">
        <f t="shared" si="14"/>
        <v>41</v>
      </c>
      <c r="B43" s="70">
        <v>1879</v>
      </c>
      <c r="C43" s="108" t="s">
        <v>41</v>
      </c>
      <c r="D43" s="99" t="s">
        <v>271</v>
      </c>
      <c r="E43" s="114" t="s">
        <v>268</v>
      </c>
      <c r="F43" s="114" t="s">
        <v>269</v>
      </c>
      <c r="G43" s="115">
        <v>0</v>
      </c>
      <c r="H43" s="122" t="s">
        <v>43</v>
      </c>
      <c r="I43" s="129">
        <v>44593</v>
      </c>
      <c r="J43" s="129"/>
      <c r="K43" s="116"/>
      <c r="L43" s="129"/>
      <c r="M43" s="128" t="s">
        <v>44</v>
      </c>
      <c r="N43" s="117" t="s">
        <v>940</v>
      </c>
      <c r="O43" s="114" t="s">
        <v>976</v>
      </c>
      <c r="P43" s="70" t="s">
        <v>46</v>
      </c>
      <c r="Q43" s="128" t="s">
        <v>63</v>
      </c>
      <c r="R43" s="125">
        <v>21000</v>
      </c>
      <c r="S43" s="119">
        <f>+R43*0.2</f>
        <v>4200</v>
      </c>
      <c r="T43" s="74">
        <v>45778</v>
      </c>
      <c r="U43" s="119">
        <f t="shared" si="41"/>
        <v>25200</v>
      </c>
      <c r="V43" s="119">
        <v>23688</v>
      </c>
      <c r="W43" s="125">
        <f t="shared" ref="W43:W44" si="46">+U43*0.5</f>
        <v>12600</v>
      </c>
      <c r="X43" s="125">
        <f t="shared" ref="X43" si="47">+W43*0.5</f>
        <v>6300</v>
      </c>
      <c r="Y43" s="118">
        <f t="shared" si="42"/>
        <v>4788</v>
      </c>
      <c r="Z43" s="118">
        <f t="shared" si="39"/>
        <v>23688</v>
      </c>
      <c r="AA43" s="119">
        <v>30</v>
      </c>
      <c r="AB43" s="115">
        <v>23</v>
      </c>
      <c r="AC43" s="115">
        <v>1.5</v>
      </c>
      <c r="AD43" s="115">
        <v>1</v>
      </c>
      <c r="AE43" s="115"/>
      <c r="AF43" s="115">
        <f t="shared" si="43"/>
        <v>22.5</v>
      </c>
      <c r="AG43" s="115">
        <f t="shared" si="44"/>
        <v>52.5</v>
      </c>
      <c r="AH43" s="101">
        <f t="shared" si="18"/>
        <v>30</v>
      </c>
      <c r="AI43" s="118">
        <f t="shared" si="45"/>
        <v>25200</v>
      </c>
      <c r="AJ43" s="118">
        <f t="shared" si="4"/>
        <v>23688</v>
      </c>
      <c r="AK43" s="118">
        <f t="shared" si="5"/>
        <v>12600</v>
      </c>
      <c r="AL43" s="118">
        <f t="shared" si="6"/>
        <v>6300</v>
      </c>
      <c r="AM43" s="118">
        <f t="shared" si="32"/>
        <v>4788</v>
      </c>
      <c r="AN43" s="119">
        <f t="shared" si="8"/>
        <v>0</v>
      </c>
      <c r="AO43" s="119">
        <f t="shared" si="24"/>
        <v>1512</v>
      </c>
      <c r="AP43" s="118">
        <f t="shared" si="33"/>
        <v>25200</v>
      </c>
      <c r="AQ43" s="118">
        <v>0</v>
      </c>
      <c r="AR43" s="118">
        <f t="shared" si="10"/>
        <v>0</v>
      </c>
      <c r="AS43" s="118">
        <f t="shared" si="34"/>
        <v>0</v>
      </c>
      <c r="AT43" s="118">
        <f t="shared" si="35"/>
        <v>1512</v>
      </c>
      <c r="AU43" s="118">
        <f t="shared" si="36"/>
        <v>1512</v>
      </c>
      <c r="AV43" s="118"/>
      <c r="AW43" s="118">
        <v>0</v>
      </c>
      <c r="AX43" s="118">
        <v>0</v>
      </c>
      <c r="AY43" s="120"/>
      <c r="AZ43" s="120">
        <v>0</v>
      </c>
      <c r="BA43" s="118">
        <f t="shared" si="19"/>
        <v>22176</v>
      </c>
      <c r="BB43" s="122" t="s">
        <v>57</v>
      </c>
      <c r="BC43" s="70" t="s">
        <v>274</v>
      </c>
      <c r="BD43" s="121" t="s">
        <v>273</v>
      </c>
      <c r="BE43" s="102"/>
      <c r="BF43" s="102"/>
      <c r="BG43" s="70" t="s">
        <v>48</v>
      </c>
      <c r="BH43" s="125">
        <v>0</v>
      </c>
      <c r="BI43" s="156"/>
      <c r="BJ43" s="70"/>
    </row>
    <row r="44" spans="1:62" s="13" customFormat="1" x14ac:dyDescent="0.25">
      <c r="A44" s="70">
        <f t="shared" si="14"/>
        <v>42</v>
      </c>
      <c r="B44" s="70">
        <v>1883</v>
      </c>
      <c r="C44" s="108" t="s">
        <v>41</v>
      </c>
      <c r="D44" s="99" t="s">
        <v>272</v>
      </c>
      <c r="E44" s="114" t="s">
        <v>153</v>
      </c>
      <c r="F44" s="114" t="s">
        <v>270</v>
      </c>
      <c r="G44" s="115">
        <v>0</v>
      </c>
      <c r="H44" s="122" t="s">
        <v>43</v>
      </c>
      <c r="I44" s="129">
        <v>44597</v>
      </c>
      <c r="J44" s="129"/>
      <c r="K44" s="116"/>
      <c r="L44" s="129"/>
      <c r="M44" s="128" t="s">
        <v>44</v>
      </c>
      <c r="N44" s="117" t="s">
        <v>947</v>
      </c>
      <c r="O44" s="114" t="s">
        <v>1001</v>
      </c>
      <c r="P44" s="70" t="s">
        <v>46</v>
      </c>
      <c r="Q44" s="128" t="s">
        <v>63</v>
      </c>
      <c r="R44" s="125">
        <v>20973</v>
      </c>
      <c r="S44" s="119">
        <f>+R44*0.17</f>
        <v>3565.4100000000003</v>
      </c>
      <c r="T44" s="74">
        <v>45778</v>
      </c>
      <c r="U44" s="119">
        <f t="shared" si="41"/>
        <v>24538.41</v>
      </c>
      <c r="V44" s="119">
        <v>23066</v>
      </c>
      <c r="W44" s="125">
        <f t="shared" si="46"/>
        <v>12269.205</v>
      </c>
      <c r="X44" s="125">
        <f>+W44*0.5</f>
        <v>6134.6025</v>
      </c>
      <c r="Y44" s="118">
        <f t="shared" ref="Y44:Y47" si="48">+V44-W44-X44</f>
        <v>4662.1925000000001</v>
      </c>
      <c r="Z44" s="118">
        <f t="shared" si="39"/>
        <v>23066</v>
      </c>
      <c r="AA44" s="119">
        <v>30</v>
      </c>
      <c r="AB44" s="115">
        <v>43</v>
      </c>
      <c r="AC44" s="115">
        <v>0</v>
      </c>
      <c r="AD44" s="115">
        <v>3</v>
      </c>
      <c r="AE44" s="115"/>
      <c r="AF44" s="115">
        <f t="shared" si="43"/>
        <v>46</v>
      </c>
      <c r="AG44" s="115">
        <f t="shared" si="44"/>
        <v>76</v>
      </c>
      <c r="AH44" s="101">
        <f t="shared" si="18"/>
        <v>30</v>
      </c>
      <c r="AI44" s="118">
        <f t="shared" si="45"/>
        <v>24538</v>
      </c>
      <c r="AJ44" s="118">
        <f t="shared" si="4"/>
        <v>23066</v>
      </c>
      <c r="AK44" s="118">
        <f t="shared" si="5"/>
        <v>12269</v>
      </c>
      <c r="AL44" s="118">
        <f t="shared" si="6"/>
        <v>6135</v>
      </c>
      <c r="AM44" s="118">
        <f t="shared" si="32"/>
        <v>4662</v>
      </c>
      <c r="AN44" s="119">
        <f t="shared" si="8"/>
        <v>0</v>
      </c>
      <c r="AO44" s="119">
        <f t="shared" si="24"/>
        <v>1472</v>
      </c>
      <c r="AP44" s="118">
        <f t="shared" si="33"/>
        <v>24538</v>
      </c>
      <c r="AQ44" s="118">
        <v>0</v>
      </c>
      <c r="AR44" s="118">
        <f t="shared" si="10"/>
        <v>0</v>
      </c>
      <c r="AS44" s="118">
        <f t="shared" si="34"/>
        <v>0</v>
      </c>
      <c r="AT44" s="118">
        <f t="shared" si="35"/>
        <v>1472</v>
      </c>
      <c r="AU44" s="118">
        <f t="shared" si="36"/>
        <v>1472</v>
      </c>
      <c r="AV44" s="118"/>
      <c r="AW44" s="118">
        <v>0</v>
      </c>
      <c r="AX44" s="118">
        <v>0</v>
      </c>
      <c r="AY44" s="120"/>
      <c r="AZ44" s="120">
        <v>0</v>
      </c>
      <c r="BA44" s="118">
        <f t="shared" si="19"/>
        <v>21594</v>
      </c>
      <c r="BB44" s="122" t="s">
        <v>353</v>
      </c>
      <c r="BC44" s="70" t="s">
        <v>385</v>
      </c>
      <c r="BD44" s="130" t="s">
        <v>386</v>
      </c>
      <c r="BE44" s="102"/>
      <c r="BF44" s="102"/>
      <c r="BG44" s="70" t="s">
        <v>48</v>
      </c>
      <c r="BH44" s="125">
        <v>0</v>
      </c>
      <c r="BI44" s="156"/>
      <c r="BJ44" s="70"/>
    </row>
    <row r="45" spans="1:62" s="13" customFormat="1" x14ac:dyDescent="0.25">
      <c r="A45" s="70">
        <f t="shared" si="14"/>
        <v>43</v>
      </c>
      <c r="B45" s="70">
        <v>1894</v>
      </c>
      <c r="C45" s="108" t="s">
        <v>459</v>
      </c>
      <c r="D45" s="99" t="s">
        <v>290</v>
      </c>
      <c r="E45" s="114" t="s">
        <v>288</v>
      </c>
      <c r="F45" s="114" t="s">
        <v>303</v>
      </c>
      <c r="G45" s="115">
        <v>0</v>
      </c>
      <c r="H45" s="122" t="s">
        <v>43</v>
      </c>
      <c r="I45" s="129">
        <v>44621</v>
      </c>
      <c r="J45" s="129"/>
      <c r="K45" s="116"/>
      <c r="L45" s="129"/>
      <c r="M45" s="128" t="s">
        <v>44</v>
      </c>
      <c r="N45" s="117" t="s">
        <v>959</v>
      </c>
      <c r="O45" s="114" t="s">
        <v>1001</v>
      </c>
      <c r="P45" s="70" t="s">
        <v>63</v>
      </c>
      <c r="Q45" s="128" t="s">
        <v>63</v>
      </c>
      <c r="R45" s="125">
        <v>18500</v>
      </c>
      <c r="S45" s="119">
        <f>+R45*0.15</f>
        <v>2775</v>
      </c>
      <c r="T45" s="74">
        <v>45778</v>
      </c>
      <c r="U45" s="119">
        <f t="shared" si="41"/>
        <v>21275</v>
      </c>
      <c r="V45" s="119">
        <v>19350</v>
      </c>
      <c r="W45" s="125">
        <v>10800</v>
      </c>
      <c r="X45" s="125">
        <f>+W45*0.5</f>
        <v>5400</v>
      </c>
      <c r="Y45" s="125">
        <f t="shared" si="48"/>
        <v>3150</v>
      </c>
      <c r="Z45" s="118">
        <f t="shared" si="39"/>
        <v>19350</v>
      </c>
      <c r="AA45" s="119">
        <v>30</v>
      </c>
      <c r="AB45" s="115">
        <v>17.5</v>
      </c>
      <c r="AC45" s="115">
        <v>2</v>
      </c>
      <c r="AD45" s="115">
        <v>2</v>
      </c>
      <c r="AE45" s="115"/>
      <c r="AF45" s="115">
        <f t="shared" si="43"/>
        <v>17.5</v>
      </c>
      <c r="AG45" s="115">
        <f t="shared" si="44"/>
        <v>47.5</v>
      </c>
      <c r="AH45" s="101">
        <f t="shared" si="18"/>
        <v>30</v>
      </c>
      <c r="AI45" s="118">
        <f t="shared" si="45"/>
        <v>21275</v>
      </c>
      <c r="AJ45" s="118">
        <f t="shared" si="4"/>
        <v>19350</v>
      </c>
      <c r="AK45" s="118">
        <f t="shared" si="5"/>
        <v>10800</v>
      </c>
      <c r="AL45" s="118">
        <f t="shared" si="6"/>
        <v>5400</v>
      </c>
      <c r="AM45" s="118">
        <f t="shared" si="32"/>
        <v>3150</v>
      </c>
      <c r="AN45" s="119">
        <f t="shared" si="8"/>
        <v>629</v>
      </c>
      <c r="AO45" s="119">
        <f t="shared" si="24"/>
        <v>1296</v>
      </c>
      <c r="AP45" s="118">
        <f t="shared" si="33"/>
        <v>21275</v>
      </c>
      <c r="AQ45" s="118">
        <v>0</v>
      </c>
      <c r="AR45" s="118">
        <f t="shared" si="10"/>
        <v>146</v>
      </c>
      <c r="AS45" s="118">
        <f t="shared" si="34"/>
        <v>629</v>
      </c>
      <c r="AT45" s="118">
        <f t="shared" si="35"/>
        <v>1296</v>
      </c>
      <c r="AU45" s="118">
        <f t="shared" si="36"/>
        <v>1296</v>
      </c>
      <c r="AV45" s="118">
        <v>0</v>
      </c>
      <c r="AW45" s="118">
        <v>0</v>
      </c>
      <c r="AX45" s="118">
        <f t="shared" si="23"/>
        <v>0</v>
      </c>
      <c r="AY45" s="120"/>
      <c r="AZ45" s="120">
        <v>0</v>
      </c>
      <c r="BA45" s="118">
        <f t="shared" si="19"/>
        <v>17908</v>
      </c>
      <c r="BB45" s="122" t="s">
        <v>50</v>
      </c>
      <c r="BC45" s="70" t="s">
        <v>64</v>
      </c>
      <c r="BD45" s="121" t="s">
        <v>289</v>
      </c>
      <c r="BE45" s="102"/>
      <c r="BF45" s="102"/>
      <c r="BG45" s="70" t="s">
        <v>48</v>
      </c>
      <c r="BH45" s="125">
        <v>0</v>
      </c>
      <c r="BI45" s="156"/>
      <c r="BJ45" s="70"/>
    </row>
    <row r="46" spans="1:62" s="13" customFormat="1" x14ac:dyDescent="0.25">
      <c r="A46" s="70">
        <f t="shared" si="14"/>
        <v>44</v>
      </c>
      <c r="B46" s="70">
        <v>1896</v>
      </c>
      <c r="C46" s="108" t="s">
        <v>41</v>
      </c>
      <c r="D46" s="99" t="s">
        <v>279</v>
      </c>
      <c r="E46" s="114" t="s">
        <v>281</v>
      </c>
      <c r="F46" s="114" t="s">
        <v>283</v>
      </c>
      <c r="G46" s="115">
        <v>0</v>
      </c>
      <c r="H46" s="122" t="s">
        <v>43</v>
      </c>
      <c r="I46" s="129">
        <v>44621</v>
      </c>
      <c r="J46" s="129"/>
      <c r="K46" s="116"/>
      <c r="L46" s="129"/>
      <c r="M46" s="128" t="s">
        <v>44</v>
      </c>
      <c r="N46" s="117" t="s">
        <v>947</v>
      </c>
      <c r="O46" s="114" t="s">
        <v>1112</v>
      </c>
      <c r="P46" s="70" t="s">
        <v>46</v>
      </c>
      <c r="Q46" s="128" t="s">
        <v>63</v>
      </c>
      <c r="R46" s="125">
        <v>32752</v>
      </c>
      <c r="S46" s="119">
        <f>+R46*0.05</f>
        <v>1637.6000000000001</v>
      </c>
      <c r="T46" s="74" t="s">
        <v>1501</v>
      </c>
      <c r="U46" s="119">
        <f t="shared" si="41"/>
        <v>34389.599999999999</v>
      </c>
      <c r="V46" s="119">
        <v>32590</v>
      </c>
      <c r="W46" s="125">
        <f>+U46*0.5</f>
        <v>17194.8</v>
      </c>
      <c r="X46" s="125">
        <f>+W46*0.5</f>
        <v>8597.4</v>
      </c>
      <c r="Y46" s="118">
        <f t="shared" si="48"/>
        <v>6797.8000000000011</v>
      </c>
      <c r="Z46" s="118">
        <f t="shared" si="39"/>
        <v>32590</v>
      </c>
      <c r="AA46" s="119">
        <v>30</v>
      </c>
      <c r="AB46" s="115">
        <v>22.5</v>
      </c>
      <c r="AC46" s="115">
        <v>0</v>
      </c>
      <c r="AD46" s="115">
        <v>2</v>
      </c>
      <c r="AE46" s="115"/>
      <c r="AF46" s="115">
        <f t="shared" si="43"/>
        <v>24.5</v>
      </c>
      <c r="AG46" s="115">
        <f t="shared" si="44"/>
        <v>54.5</v>
      </c>
      <c r="AH46" s="101">
        <f t="shared" si="18"/>
        <v>30</v>
      </c>
      <c r="AI46" s="118">
        <f t="shared" si="45"/>
        <v>34390</v>
      </c>
      <c r="AJ46" s="118">
        <f t="shared" si="4"/>
        <v>32590</v>
      </c>
      <c r="AK46" s="118">
        <f t="shared" si="5"/>
        <v>17195</v>
      </c>
      <c r="AL46" s="118">
        <f t="shared" si="6"/>
        <v>8597</v>
      </c>
      <c r="AM46" s="118">
        <f t="shared" si="32"/>
        <v>6798</v>
      </c>
      <c r="AN46" s="119">
        <f t="shared" si="8"/>
        <v>0</v>
      </c>
      <c r="AO46" s="119">
        <f t="shared" si="24"/>
        <v>1800</v>
      </c>
      <c r="AP46" s="118">
        <f t="shared" si="33"/>
        <v>34390</v>
      </c>
      <c r="AQ46" s="118">
        <v>0</v>
      </c>
      <c r="AR46" s="118">
        <f t="shared" si="10"/>
        <v>0</v>
      </c>
      <c r="AS46" s="118">
        <f t="shared" si="34"/>
        <v>0</v>
      </c>
      <c r="AT46" s="118">
        <f t="shared" si="35"/>
        <v>1800</v>
      </c>
      <c r="AU46" s="118">
        <f t="shared" si="36"/>
        <v>1800</v>
      </c>
      <c r="AV46" s="118"/>
      <c r="AW46" s="118">
        <v>0</v>
      </c>
      <c r="AX46" s="118">
        <v>0</v>
      </c>
      <c r="AY46" s="120"/>
      <c r="AZ46" s="120">
        <v>0</v>
      </c>
      <c r="BA46" s="118">
        <f t="shared" si="19"/>
        <v>30790</v>
      </c>
      <c r="BB46" s="122" t="s">
        <v>50</v>
      </c>
      <c r="BC46" s="70" t="s">
        <v>202</v>
      </c>
      <c r="BD46" s="121" t="s">
        <v>287</v>
      </c>
      <c r="BE46" s="102"/>
      <c r="BF46" s="102"/>
      <c r="BG46" s="70" t="s">
        <v>48</v>
      </c>
      <c r="BH46" s="125">
        <v>0</v>
      </c>
      <c r="BI46" s="156"/>
      <c r="BJ46" s="70"/>
    </row>
    <row r="47" spans="1:62" s="13" customFormat="1" x14ac:dyDescent="0.25">
      <c r="A47" s="70">
        <f t="shared" si="14"/>
        <v>45</v>
      </c>
      <c r="B47" s="70">
        <v>1900</v>
      </c>
      <c r="C47" s="108" t="s">
        <v>41</v>
      </c>
      <c r="D47" s="99" t="s">
        <v>280</v>
      </c>
      <c r="E47" s="114" t="s">
        <v>282</v>
      </c>
      <c r="F47" s="114" t="s">
        <v>284</v>
      </c>
      <c r="G47" s="115">
        <v>0</v>
      </c>
      <c r="H47" s="122" t="s">
        <v>43</v>
      </c>
      <c r="I47" s="129">
        <v>44625</v>
      </c>
      <c r="J47" s="129"/>
      <c r="K47" s="116"/>
      <c r="L47" s="129"/>
      <c r="M47" s="128" t="s">
        <v>44</v>
      </c>
      <c r="N47" s="117" t="s">
        <v>946</v>
      </c>
      <c r="O47" s="114" t="s">
        <v>1001</v>
      </c>
      <c r="P47" s="70" t="s">
        <v>46</v>
      </c>
      <c r="Q47" s="128" t="s">
        <v>63</v>
      </c>
      <c r="R47" s="125">
        <v>32870</v>
      </c>
      <c r="S47" s="119">
        <v>2500</v>
      </c>
      <c r="T47" s="74">
        <v>45658</v>
      </c>
      <c r="U47" s="119">
        <f t="shared" si="41"/>
        <v>35370</v>
      </c>
      <c r="V47" s="119">
        <v>33570</v>
      </c>
      <c r="W47" s="125">
        <v>17500</v>
      </c>
      <c r="X47" s="125">
        <f>+W47*0.5</f>
        <v>8750</v>
      </c>
      <c r="Y47" s="118">
        <f t="shared" si="48"/>
        <v>7320</v>
      </c>
      <c r="Z47" s="118">
        <f t="shared" si="39"/>
        <v>33570</v>
      </c>
      <c r="AA47" s="119">
        <v>30</v>
      </c>
      <c r="AB47" s="115">
        <v>12</v>
      </c>
      <c r="AC47" s="115">
        <v>1</v>
      </c>
      <c r="AD47" s="115">
        <v>1</v>
      </c>
      <c r="AE47" s="115"/>
      <c r="AF47" s="115">
        <f t="shared" si="43"/>
        <v>12</v>
      </c>
      <c r="AG47" s="115">
        <f t="shared" si="44"/>
        <v>42</v>
      </c>
      <c r="AH47" s="101">
        <f t="shared" si="18"/>
        <v>30</v>
      </c>
      <c r="AI47" s="118">
        <f t="shared" si="45"/>
        <v>35370</v>
      </c>
      <c r="AJ47" s="118">
        <f t="shared" si="4"/>
        <v>33570</v>
      </c>
      <c r="AK47" s="118">
        <f t="shared" si="5"/>
        <v>17500</v>
      </c>
      <c r="AL47" s="118">
        <f t="shared" si="6"/>
        <v>8750</v>
      </c>
      <c r="AM47" s="118">
        <f t="shared" si="32"/>
        <v>7320</v>
      </c>
      <c r="AN47" s="119">
        <f t="shared" si="8"/>
        <v>0</v>
      </c>
      <c r="AO47" s="119">
        <f t="shared" si="24"/>
        <v>1800</v>
      </c>
      <c r="AP47" s="118">
        <f t="shared" si="33"/>
        <v>35370</v>
      </c>
      <c r="AQ47" s="118">
        <v>0</v>
      </c>
      <c r="AR47" s="118">
        <f t="shared" si="10"/>
        <v>0</v>
      </c>
      <c r="AS47" s="118">
        <f t="shared" si="34"/>
        <v>0</v>
      </c>
      <c r="AT47" s="118">
        <f t="shared" si="35"/>
        <v>1800</v>
      </c>
      <c r="AU47" s="118">
        <f t="shared" si="36"/>
        <v>1800</v>
      </c>
      <c r="AV47" s="118"/>
      <c r="AW47" s="118">
        <v>0</v>
      </c>
      <c r="AX47" s="118">
        <f t="shared" ref="AX47:AX73" si="49">+AV47-AW47</f>
        <v>0</v>
      </c>
      <c r="AY47" s="120"/>
      <c r="AZ47" s="120">
        <v>0</v>
      </c>
      <c r="BA47" s="118">
        <f t="shared" si="19"/>
        <v>31770</v>
      </c>
      <c r="BB47" s="122" t="s">
        <v>47</v>
      </c>
      <c r="BC47" s="70" t="s">
        <v>286</v>
      </c>
      <c r="BD47" s="121" t="s">
        <v>285</v>
      </c>
      <c r="BE47" s="102"/>
      <c r="BF47" s="102"/>
      <c r="BG47" s="70" t="s">
        <v>48</v>
      </c>
      <c r="BH47" s="125">
        <v>0</v>
      </c>
      <c r="BI47" s="156"/>
      <c r="BJ47" s="70"/>
    </row>
    <row r="48" spans="1:62" s="13" customFormat="1" x14ac:dyDescent="0.25">
      <c r="A48" s="70">
        <f t="shared" si="14"/>
        <v>46</v>
      </c>
      <c r="B48" s="70">
        <v>1738</v>
      </c>
      <c r="C48" s="108" t="s">
        <v>41</v>
      </c>
      <c r="D48" s="99" t="s">
        <v>304</v>
      </c>
      <c r="E48" s="114" t="s">
        <v>406</v>
      </c>
      <c r="F48" s="114" t="s">
        <v>305</v>
      </c>
      <c r="G48" s="115">
        <v>0</v>
      </c>
      <c r="H48" s="122" t="s">
        <v>43</v>
      </c>
      <c r="I48" s="129">
        <v>44396</v>
      </c>
      <c r="J48" s="129"/>
      <c r="K48" s="129">
        <v>44652</v>
      </c>
      <c r="L48" s="129"/>
      <c r="M48" s="128" t="s">
        <v>44</v>
      </c>
      <c r="N48" s="117" t="s">
        <v>950</v>
      </c>
      <c r="O48" s="114" t="s">
        <v>1001</v>
      </c>
      <c r="P48" s="70" t="s">
        <v>46</v>
      </c>
      <c r="Q48" s="128" t="s">
        <v>63</v>
      </c>
      <c r="R48" s="125">
        <v>25354</v>
      </c>
      <c r="S48" s="119">
        <f>+R48*0.12</f>
        <v>3042.48</v>
      </c>
      <c r="T48" s="74">
        <v>45778</v>
      </c>
      <c r="U48" s="119">
        <f t="shared" si="41"/>
        <v>28396.48</v>
      </c>
      <c r="V48" s="119">
        <v>26692</v>
      </c>
      <c r="W48" s="125">
        <f>+U48*0.5</f>
        <v>14198.24</v>
      </c>
      <c r="X48" s="125">
        <f t="shared" ref="X48" si="50">+W48*0.5</f>
        <v>7099.12</v>
      </c>
      <c r="Y48" s="118">
        <f t="shared" ref="Y48:Y49" si="51">+V48-W48-X48</f>
        <v>5394.64</v>
      </c>
      <c r="Z48" s="118">
        <f t="shared" si="39"/>
        <v>26692</v>
      </c>
      <c r="AA48" s="119">
        <v>30</v>
      </c>
      <c r="AB48" s="115">
        <v>20.5</v>
      </c>
      <c r="AC48" s="115">
        <v>0</v>
      </c>
      <c r="AD48" s="115">
        <v>3</v>
      </c>
      <c r="AE48" s="115"/>
      <c r="AF48" s="115">
        <f t="shared" si="43"/>
        <v>23.5</v>
      </c>
      <c r="AG48" s="115">
        <f t="shared" si="44"/>
        <v>53.5</v>
      </c>
      <c r="AH48" s="101">
        <f t="shared" si="18"/>
        <v>30</v>
      </c>
      <c r="AI48" s="118">
        <f t="shared" si="45"/>
        <v>28396</v>
      </c>
      <c r="AJ48" s="118">
        <f t="shared" si="4"/>
        <v>26692</v>
      </c>
      <c r="AK48" s="118">
        <f t="shared" si="5"/>
        <v>14198</v>
      </c>
      <c r="AL48" s="118">
        <f t="shared" si="6"/>
        <v>7099</v>
      </c>
      <c r="AM48" s="118">
        <f t="shared" si="32"/>
        <v>5395</v>
      </c>
      <c r="AN48" s="119">
        <f t="shared" si="8"/>
        <v>0</v>
      </c>
      <c r="AO48" s="119">
        <f t="shared" ref="AO48:AO79" si="52">ROUND(IF(AK48&lt;15001,AK48*12%,1800),0)</f>
        <v>1704</v>
      </c>
      <c r="AP48" s="118">
        <f t="shared" si="33"/>
        <v>28396</v>
      </c>
      <c r="AQ48" s="118">
        <v>0</v>
      </c>
      <c r="AR48" s="118">
        <f t="shared" si="10"/>
        <v>0</v>
      </c>
      <c r="AS48" s="118">
        <f t="shared" si="34"/>
        <v>0</v>
      </c>
      <c r="AT48" s="118">
        <f t="shared" si="35"/>
        <v>1704</v>
      </c>
      <c r="AU48" s="118">
        <f t="shared" si="36"/>
        <v>1704</v>
      </c>
      <c r="AV48" s="118">
        <v>12000</v>
      </c>
      <c r="AW48" s="118">
        <v>3000</v>
      </c>
      <c r="AX48" s="118">
        <f>+AV48-AW48</f>
        <v>9000</v>
      </c>
      <c r="AY48" s="120"/>
      <c r="AZ48" s="120">
        <v>0</v>
      </c>
      <c r="BA48" s="118">
        <f t="shared" ref="BA48:BA86" si="53">AP48-AQ48-AR48-AS48-AT48-AU48-AW48+AY48-AZ48</f>
        <v>21988</v>
      </c>
      <c r="BB48" s="122" t="s">
        <v>70</v>
      </c>
      <c r="BC48" s="70" t="s">
        <v>150</v>
      </c>
      <c r="BD48" s="132" t="s">
        <v>310</v>
      </c>
      <c r="BE48" s="102"/>
      <c r="BF48" s="102"/>
      <c r="BG48" s="70" t="s">
        <v>48</v>
      </c>
      <c r="BH48" s="125">
        <v>0</v>
      </c>
      <c r="BI48" s="156"/>
      <c r="BJ48" s="70"/>
    </row>
    <row r="49" spans="1:62" s="13" customFormat="1" x14ac:dyDescent="0.25">
      <c r="A49" s="70">
        <f t="shared" si="14"/>
        <v>47</v>
      </c>
      <c r="B49" s="70">
        <v>1922</v>
      </c>
      <c r="C49" s="108" t="s">
        <v>41</v>
      </c>
      <c r="D49" s="99" t="s">
        <v>295</v>
      </c>
      <c r="E49" s="114" t="s">
        <v>293</v>
      </c>
      <c r="F49" s="114" t="s">
        <v>296</v>
      </c>
      <c r="G49" s="115">
        <v>0</v>
      </c>
      <c r="H49" s="122" t="s">
        <v>43</v>
      </c>
      <c r="I49" s="129">
        <v>44662</v>
      </c>
      <c r="J49" s="129"/>
      <c r="K49" s="116"/>
      <c r="L49" s="129"/>
      <c r="M49" s="128" t="s">
        <v>44</v>
      </c>
      <c r="N49" s="117" t="s">
        <v>959</v>
      </c>
      <c r="O49" s="114" t="s">
        <v>1001</v>
      </c>
      <c r="P49" s="70" t="s">
        <v>46</v>
      </c>
      <c r="Q49" s="128" t="s">
        <v>63</v>
      </c>
      <c r="R49" s="125">
        <v>24000</v>
      </c>
      <c r="S49" s="119">
        <f>+R49*0.22</f>
        <v>5280</v>
      </c>
      <c r="T49" s="74">
        <v>45778</v>
      </c>
      <c r="U49" s="119">
        <f t="shared" si="41"/>
        <v>29280</v>
      </c>
      <c r="V49" s="119">
        <v>27523</v>
      </c>
      <c r="W49" s="119">
        <f>+U49*0.5</f>
        <v>14640</v>
      </c>
      <c r="X49" s="125">
        <f t="shared" ref="X49:X51" si="54">+W49*0.5</f>
        <v>7320</v>
      </c>
      <c r="Y49" s="118">
        <f t="shared" si="51"/>
        <v>5563</v>
      </c>
      <c r="Z49" s="118">
        <f t="shared" ref="Z49:Z51" si="55">W49+X49+Y49</f>
        <v>27523</v>
      </c>
      <c r="AA49" s="119">
        <v>30</v>
      </c>
      <c r="AB49" s="115">
        <v>39.5</v>
      </c>
      <c r="AC49" s="115">
        <v>1</v>
      </c>
      <c r="AD49" s="115">
        <v>3</v>
      </c>
      <c r="AE49" s="115"/>
      <c r="AF49" s="115">
        <f t="shared" si="43"/>
        <v>41.5</v>
      </c>
      <c r="AG49" s="115">
        <f t="shared" si="44"/>
        <v>71.5</v>
      </c>
      <c r="AH49" s="101">
        <f t="shared" si="18"/>
        <v>30</v>
      </c>
      <c r="AI49" s="118">
        <f t="shared" si="45"/>
        <v>29280</v>
      </c>
      <c r="AJ49" s="118">
        <f t="shared" si="4"/>
        <v>27523</v>
      </c>
      <c r="AK49" s="118">
        <f t="shared" si="5"/>
        <v>14640</v>
      </c>
      <c r="AL49" s="118">
        <f t="shared" si="6"/>
        <v>7320</v>
      </c>
      <c r="AM49" s="118">
        <f t="shared" si="32"/>
        <v>5563</v>
      </c>
      <c r="AN49" s="119">
        <f t="shared" si="8"/>
        <v>0</v>
      </c>
      <c r="AO49" s="119">
        <f t="shared" si="52"/>
        <v>1757</v>
      </c>
      <c r="AP49" s="118">
        <f t="shared" si="33"/>
        <v>29280</v>
      </c>
      <c r="AQ49" s="118">
        <v>0</v>
      </c>
      <c r="AR49" s="118">
        <f t="shared" si="10"/>
        <v>0</v>
      </c>
      <c r="AS49" s="118">
        <f t="shared" si="34"/>
        <v>0</v>
      </c>
      <c r="AT49" s="118">
        <f t="shared" si="35"/>
        <v>1757</v>
      </c>
      <c r="AU49" s="118">
        <f t="shared" si="36"/>
        <v>1757</v>
      </c>
      <c r="AV49" s="118"/>
      <c r="AW49" s="118">
        <v>0</v>
      </c>
      <c r="AX49" s="118">
        <v>0</v>
      </c>
      <c r="AY49" s="120"/>
      <c r="AZ49" s="120">
        <v>0</v>
      </c>
      <c r="BA49" s="118">
        <f t="shared" si="53"/>
        <v>25766</v>
      </c>
      <c r="BB49" s="122" t="s">
        <v>311</v>
      </c>
      <c r="BC49" s="70" t="s">
        <v>291</v>
      </c>
      <c r="BD49" s="133" t="s">
        <v>308</v>
      </c>
      <c r="BE49" s="102"/>
      <c r="BF49" s="102"/>
      <c r="BG49" s="70" t="s">
        <v>48</v>
      </c>
      <c r="BH49" s="125">
        <v>0</v>
      </c>
      <c r="BI49" s="156"/>
      <c r="BJ49" s="70"/>
    </row>
    <row r="50" spans="1:62" s="13" customFormat="1" x14ac:dyDescent="0.25">
      <c r="A50" s="70">
        <f t="shared" si="14"/>
        <v>48</v>
      </c>
      <c r="B50" s="70">
        <v>1925</v>
      </c>
      <c r="C50" s="108" t="s">
        <v>41</v>
      </c>
      <c r="D50" s="99" t="s">
        <v>297</v>
      </c>
      <c r="E50" s="114" t="s">
        <v>294</v>
      </c>
      <c r="F50" s="114" t="s">
        <v>298</v>
      </c>
      <c r="G50" s="115">
        <v>0</v>
      </c>
      <c r="H50" s="122" t="s">
        <v>43</v>
      </c>
      <c r="I50" s="129">
        <v>44669</v>
      </c>
      <c r="J50" s="129"/>
      <c r="K50" s="116"/>
      <c r="L50" s="129"/>
      <c r="M50" s="128" t="s">
        <v>44</v>
      </c>
      <c r="N50" s="117" t="s">
        <v>947</v>
      </c>
      <c r="O50" s="114" t="s">
        <v>1001</v>
      </c>
      <c r="P50" s="70" t="s">
        <v>46</v>
      </c>
      <c r="Q50" s="128" t="s">
        <v>63</v>
      </c>
      <c r="R50" s="125">
        <v>26203</v>
      </c>
      <c r="S50" s="119">
        <v>2500</v>
      </c>
      <c r="T50" s="74">
        <v>45444</v>
      </c>
      <c r="U50" s="119">
        <f t="shared" si="41"/>
        <v>28703</v>
      </c>
      <c r="V50" s="119">
        <v>26963</v>
      </c>
      <c r="W50" s="119">
        <v>14500</v>
      </c>
      <c r="X50" s="125">
        <f t="shared" si="54"/>
        <v>7250</v>
      </c>
      <c r="Y50" s="118">
        <f t="shared" ref="Y50:Y56" si="56">+V50-W50-X50</f>
        <v>5213</v>
      </c>
      <c r="Z50" s="118">
        <f t="shared" si="55"/>
        <v>26963</v>
      </c>
      <c r="AA50" s="119">
        <v>30</v>
      </c>
      <c r="AB50" s="115">
        <v>0.5</v>
      </c>
      <c r="AC50" s="115">
        <v>1.5</v>
      </c>
      <c r="AD50" s="115">
        <v>2</v>
      </c>
      <c r="AE50" s="115"/>
      <c r="AF50" s="115">
        <f t="shared" si="43"/>
        <v>1</v>
      </c>
      <c r="AG50" s="115">
        <f t="shared" si="44"/>
        <v>31</v>
      </c>
      <c r="AH50" s="101">
        <f t="shared" si="18"/>
        <v>30</v>
      </c>
      <c r="AI50" s="118">
        <f t="shared" si="45"/>
        <v>28703</v>
      </c>
      <c r="AJ50" s="118">
        <f t="shared" si="4"/>
        <v>26963</v>
      </c>
      <c r="AK50" s="118">
        <f t="shared" si="5"/>
        <v>14500</v>
      </c>
      <c r="AL50" s="118">
        <f t="shared" si="6"/>
        <v>7250</v>
      </c>
      <c r="AM50" s="118">
        <f t="shared" si="32"/>
        <v>5213</v>
      </c>
      <c r="AN50" s="119">
        <f t="shared" si="8"/>
        <v>0</v>
      </c>
      <c r="AO50" s="119">
        <f t="shared" si="52"/>
        <v>1740</v>
      </c>
      <c r="AP50" s="118">
        <f t="shared" si="33"/>
        <v>28703</v>
      </c>
      <c r="AQ50" s="118">
        <v>0</v>
      </c>
      <c r="AR50" s="118">
        <f t="shared" si="10"/>
        <v>0</v>
      </c>
      <c r="AS50" s="118">
        <f t="shared" si="34"/>
        <v>0</v>
      </c>
      <c r="AT50" s="118">
        <f t="shared" si="35"/>
        <v>1740</v>
      </c>
      <c r="AU50" s="118">
        <f t="shared" si="36"/>
        <v>1740</v>
      </c>
      <c r="AV50" s="118"/>
      <c r="AW50" s="118">
        <v>0</v>
      </c>
      <c r="AX50" s="118">
        <v>0</v>
      </c>
      <c r="AY50" s="120"/>
      <c r="AZ50" s="120">
        <v>0</v>
      </c>
      <c r="BA50" s="118">
        <f t="shared" si="53"/>
        <v>25223</v>
      </c>
      <c r="BB50" s="122" t="s">
        <v>47</v>
      </c>
      <c r="BC50" s="70" t="s">
        <v>309</v>
      </c>
      <c r="BD50" s="130" t="s">
        <v>1349</v>
      </c>
      <c r="BE50" s="102"/>
      <c r="BF50" s="102"/>
      <c r="BG50" s="70" t="s">
        <v>48</v>
      </c>
      <c r="BH50" s="125">
        <v>0</v>
      </c>
      <c r="BI50" s="156"/>
      <c r="BJ50" s="70"/>
    </row>
    <row r="51" spans="1:62" s="13" customFormat="1" x14ac:dyDescent="0.25">
      <c r="A51" s="70">
        <f t="shared" si="14"/>
        <v>49</v>
      </c>
      <c r="B51" s="70">
        <v>1950</v>
      </c>
      <c r="C51" s="108" t="s">
        <v>41</v>
      </c>
      <c r="D51" s="99" t="s">
        <v>313</v>
      </c>
      <c r="E51" s="114" t="s">
        <v>276</v>
      </c>
      <c r="F51" s="114" t="s">
        <v>427</v>
      </c>
      <c r="G51" s="115">
        <v>0</v>
      </c>
      <c r="H51" s="122" t="s">
        <v>43</v>
      </c>
      <c r="I51" s="129">
        <v>44613</v>
      </c>
      <c r="J51" s="129"/>
      <c r="K51" s="129">
        <v>44682</v>
      </c>
      <c r="L51" s="129"/>
      <c r="M51" s="128" t="s">
        <v>44</v>
      </c>
      <c r="N51" s="117" t="s">
        <v>947</v>
      </c>
      <c r="O51" s="114" t="s">
        <v>975</v>
      </c>
      <c r="P51" s="70" t="s">
        <v>46</v>
      </c>
      <c r="Q51" s="70" t="s">
        <v>412</v>
      </c>
      <c r="R51" s="125">
        <v>25000</v>
      </c>
      <c r="S51" s="119">
        <f>+R51*0.1</f>
        <v>2500</v>
      </c>
      <c r="T51" s="74">
        <v>45778</v>
      </c>
      <c r="U51" s="119">
        <f t="shared" si="41"/>
        <v>27500</v>
      </c>
      <c r="V51" s="119">
        <v>25850</v>
      </c>
      <c r="W51" s="119">
        <f t="shared" ref="W51:W54" si="57">+U51*0.5</f>
        <v>13750</v>
      </c>
      <c r="X51" s="125">
        <f t="shared" si="54"/>
        <v>6875</v>
      </c>
      <c r="Y51" s="118">
        <f t="shared" si="56"/>
        <v>5225</v>
      </c>
      <c r="Z51" s="118">
        <f t="shared" si="55"/>
        <v>25850</v>
      </c>
      <c r="AA51" s="119">
        <v>30</v>
      </c>
      <c r="AB51" s="115">
        <v>11</v>
      </c>
      <c r="AC51" s="115">
        <v>2.5</v>
      </c>
      <c r="AD51" s="115">
        <v>3</v>
      </c>
      <c r="AE51" s="115"/>
      <c r="AF51" s="115">
        <f t="shared" si="43"/>
        <v>11.5</v>
      </c>
      <c r="AG51" s="115">
        <f t="shared" si="44"/>
        <v>41.5</v>
      </c>
      <c r="AH51" s="101">
        <f t="shared" si="18"/>
        <v>30</v>
      </c>
      <c r="AI51" s="118">
        <f t="shared" si="45"/>
        <v>27500</v>
      </c>
      <c r="AJ51" s="118">
        <f t="shared" si="4"/>
        <v>25850</v>
      </c>
      <c r="AK51" s="118">
        <f t="shared" si="5"/>
        <v>13750</v>
      </c>
      <c r="AL51" s="118">
        <f t="shared" si="6"/>
        <v>6875</v>
      </c>
      <c r="AM51" s="118">
        <f t="shared" si="32"/>
        <v>5225</v>
      </c>
      <c r="AN51" s="119">
        <f t="shared" si="8"/>
        <v>0</v>
      </c>
      <c r="AO51" s="119">
        <f t="shared" si="52"/>
        <v>1650</v>
      </c>
      <c r="AP51" s="118">
        <f t="shared" si="33"/>
        <v>27500</v>
      </c>
      <c r="AQ51" s="118">
        <v>0</v>
      </c>
      <c r="AR51" s="118">
        <f t="shared" si="10"/>
        <v>0</v>
      </c>
      <c r="AS51" s="118">
        <f t="shared" si="34"/>
        <v>0</v>
      </c>
      <c r="AT51" s="118">
        <f t="shared" si="35"/>
        <v>1650</v>
      </c>
      <c r="AU51" s="118">
        <f t="shared" si="36"/>
        <v>1650</v>
      </c>
      <c r="AV51" s="118">
        <v>0</v>
      </c>
      <c r="AW51" s="118">
        <v>0</v>
      </c>
      <c r="AX51" s="118">
        <f t="shared" si="49"/>
        <v>0</v>
      </c>
      <c r="AY51" s="120"/>
      <c r="AZ51" s="120">
        <v>0</v>
      </c>
      <c r="BA51" s="118">
        <f t="shared" si="53"/>
        <v>24200</v>
      </c>
      <c r="BB51" s="122" t="s">
        <v>70</v>
      </c>
      <c r="BC51" s="70" t="s">
        <v>194</v>
      </c>
      <c r="BD51" s="132" t="s">
        <v>312</v>
      </c>
      <c r="BE51" s="102"/>
      <c r="BF51" s="102"/>
      <c r="BG51" s="70" t="s">
        <v>48</v>
      </c>
      <c r="BH51" s="125">
        <v>0</v>
      </c>
      <c r="BI51" s="156"/>
      <c r="BJ51" s="70"/>
    </row>
    <row r="52" spans="1:62" s="13" customFormat="1" x14ac:dyDescent="0.25">
      <c r="A52" s="70">
        <f t="shared" si="14"/>
        <v>50</v>
      </c>
      <c r="B52" s="70">
        <v>1930</v>
      </c>
      <c r="C52" s="108" t="s">
        <v>41</v>
      </c>
      <c r="D52" s="99" t="s">
        <v>316</v>
      </c>
      <c r="E52" s="114" t="s">
        <v>407</v>
      </c>
      <c r="F52" s="114" t="s">
        <v>319</v>
      </c>
      <c r="G52" s="115">
        <v>0</v>
      </c>
      <c r="H52" s="122" t="s">
        <v>43</v>
      </c>
      <c r="I52" s="129">
        <v>44683</v>
      </c>
      <c r="J52" s="115">
        <v>0</v>
      </c>
      <c r="K52" s="115">
        <v>0</v>
      </c>
      <c r="L52" s="115">
        <v>0</v>
      </c>
      <c r="M52" s="128" t="s">
        <v>44</v>
      </c>
      <c r="N52" s="117" t="s">
        <v>959</v>
      </c>
      <c r="O52" s="114" t="s">
        <v>110</v>
      </c>
      <c r="P52" s="70" t="s">
        <v>46</v>
      </c>
      <c r="Q52" s="128" t="s">
        <v>63</v>
      </c>
      <c r="R52" s="125">
        <v>21000</v>
      </c>
      <c r="S52" s="119">
        <f>+R52*0.12</f>
        <v>2520</v>
      </c>
      <c r="T52" s="74">
        <v>45778</v>
      </c>
      <c r="U52" s="119">
        <f t="shared" si="41"/>
        <v>23520</v>
      </c>
      <c r="V52" s="119">
        <v>22109</v>
      </c>
      <c r="W52" s="119">
        <f t="shared" si="57"/>
        <v>11760</v>
      </c>
      <c r="X52" s="125">
        <f t="shared" ref="X52:X55" si="58">+W52*0.5</f>
        <v>5880</v>
      </c>
      <c r="Y52" s="118">
        <f t="shared" si="56"/>
        <v>4469</v>
      </c>
      <c r="Z52" s="118">
        <f>W52+X52+Y52</f>
        <v>22109</v>
      </c>
      <c r="AA52" s="119">
        <v>30</v>
      </c>
      <c r="AB52" s="115">
        <v>9</v>
      </c>
      <c r="AC52" s="115">
        <v>1</v>
      </c>
      <c r="AD52" s="115">
        <v>2</v>
      </c>
      <c r="AE52" s="115"/>
      <c r="AF52" s="115">
        <f t="shared" si="43"/>
        <v>10</v>
      </c>
      <c r="AG52" s="115">
        <f t="shared" si="44"/>
        <v>40</v>
      </c>
      <c r="AH52" s="101">
        <f t="shared" si="18"/>
        <v>30</v>
      </c>
      <c r="AI52" s="118">
        <f t="shared" si="45"/>
        <v>23520</v>
      </c>
      <c r="AJ52" s="118">
        <f t="shared" si="4"/>
        <v>22109</v>
      </c>
      <c r="AK52" s="118">
        <f t="shared" si="5"/>
        <v>11760</v>
      </c>
      <c r="AL52" s="118">
        <f t="shared" si="6"/>
        <v>5880</v>
      </c>
      <c r="AM52" s="118">
        <f t="shared" si="32"/>
        <v>4469</v>
      </c>
      <c r="AN52" s="119">
        <f t="shared" si="8"/>
        <v>0</v>
      </c>
      <c r="AO52" s="119">
        <f t="shared" si="52"/>
        <v>1411</v>
      </c>
      <c r="AP52" s="118">
        <f t="shared" si="33"/>
        <v>23520</v>
      </c>
      <c r="AQ52" s="118">
        <v>0</v>
      </c>
      <c r="AR52" s="118">
        <f t="shared" si="10"/>
        <v>0</v>
      </c>
      <c r="AS52" s="118">
        <f t="shared" si="34"/>
        <v>0</v>
      </c>
      <c r="AT52" s="118">
        <f t="shared" si="35"/>
        <v>1411</v>
      </c>
      <c r="AU52" s="118">
        <f t="shared" si="36"/>
        <v>1411</v>
      </c>
      <c r="AV52" s="118"/>
      <c r="AW52" s="118">
        <v>0</v>
      </c>
      <c r="AX52" s="118">
        <v>0</v>
      </c>
      <c r="AY52" s="120"/>
      <c r="AZ52" s="120">
        <v>1000</v>
      </c>
      <c r="BA52" s="118">
        <f t="shared" si="53"/>
        <v>19698</v>
      </c>
      <c r="BB52" s="122" t="s">
        <v>54</v>
      </c>
      <c r="BC52" s="70" t="s">
        <v>328</v>
      </c>
      <c r="BD52" s="133" t="s">
        <v>329</v>
      </c>
      <c r="BE52" s="102"/>
      <c r="BF52" s="102"/>
      <c r="BG52" s="70" t="s">
        <v>48</v>
      </c>
      <c r="BH52" s="125">
        <v>0</v>
      </c>
      <c r="BI52" s="156"/>
      <c r="BJ52" s="70"/>
    </row>
    <row r="53" spans="1:62" s="13" customFormat="1" x14ac:dyDescent="0.25">
      <c r="A53" s="70">
        <f t="shared" si="14"/>
        <v>51</v>
      </c>
      <c r="B53" s="70">
        <v>1939</v>
      </c>
      <c r="C53" s="108" t="s">
        <v>41</v>
      </c>
      <c r="D53" s="99" t="s">
        <v>317</v>
      </c>
      <c r="E53" s="114" t="s">
        <v>314</v>
      </c>
      <c r="F53" s="114" t="s">
        <v>320</v>
      </c>
      <c r="G53" s="115">
        <v>0</v>
      </c>
      <c r="H53" s="122" t="s">
        <v>43</v>
      </c>
      <c r="I53" s="129">
        <v>44694</v>
      </c>
      <c r="J53" s="129"/>
      <c r="K53" s="116"/>
      <c r="L53" s="129"/>
      <c r="M53" s="128" t="s">
        <v>44</v>
      </c>
      <c r="N53" s="117" t="s">
        <v>959</v>
      </c>
      <c r="O53" s="114" t="s">
        <v>975</v>
      </c>
      <c r="P53" s="70" t="s">
        <v>46</v>
      </c>
      <c r="Q53" s="128" t="s">
        <v>63</v>
      </c>
      <c r="R53" s="125">
        <v>20343</v>
      </c>
      <c r="S53" s="119">
        <f>+R53*0.1</f>
        <v>2034.3000000000002</v>
      </c>
      <c r="T53" s="74">
        <v>45778</v>
      </c>
      <c r="U53" s="119">
        <f t="shared" si="41"/>
        <v>22377.3</v>
      </c>
      <c r="V53" s="119">
        <v>21034</v>
      </c>
      <c r="W53" s="119">
        <f t="shared" si="57"/>
        <v>11188.65</v>
      </c>
      <c r="X53" s="125">
        <f t="shared" si="58"/>
        <v>5594.3249999999998</v>
      </c>
      <c r="Y53" s="118">
        <f t="shared" si="56"/>
        <v>4251.0250000000005</v>
      </c>
      <c r="Z53" s="118">
        <f t="shared" ref="Z53:Z56" si="59">W53+X53+Y53</f>
        <v>21034</v>
      </c>
      <c r="AA53" s="119">
        <v>30</v>
      </c>
      <c r="AB53" s="115">
        <v>2.5</v>
      </c>
      <c r="AC53" s="115">
        <v>3.5</v>
      </c>
      <c r="AD53" s="115">
        <v>1</v>
      </c>
      <c r="AE53" s="115"/>
      <c r="AF53" s="115">
        <f t="shared" si="43"/>
        <v>0</v>
      </c>
      <c r="AG53" s="115">
        <f t="shared" si="44"/>
        <v>30</v>
      </c>
      <c r="AH53" s="101">
        <f t="shared" si="18"/>
        <v>30</v>
      </c>
      <c r="AI53" s="118">
        <f t="shared" si="45"/>
        <v>22377</v>
      </c>
      <c r="AJ53" s="118">
        <f t="shared" si="4"/>
        <v>21034</v>
      </c>
      <c r="AK53" s="118">
        <f t="shared" si="5"/>
        <v>11189</v>
      </c>
      <c r="AL53" s="118">
        <f t="shared" si="6"/>
        <v>5594</v>
      </c>
      <c r="AM53" s="118">
        <f t="shared" si="32"/>
        <v>4251</v>
      </c>
      <c r="AN53" s="119">
        <f t="shared" si="8"/>
        <v>0</v>
      </c>
      <c r="AO53" s="119">
        <f t="shared" si="52"/>
        <v>1343</v>
      </c>
      <c r="AP53" s="118">
        <f t="shared" si="33"/>
        <v>22377</v>
      </c>
      <c r="AQ53" s="118">
        <v>0</v>
      </c>
      <c r="AR53" s="118">
        <f t="shared" si="10"/>
        <v>0</v>
      </c>
      <c r="AS53" s="118">
        <f t="shared" si="34"/>
        <v>0</v>
      </c>
      <c r="AT53" s="118">
        <f t="shared" si="35"/>
        <v>1343</v>
      </c>
      <c r="AU53" s="118">
        <f t="shared" si="36"/>
        <v>1343</v>
      </c>
      <c r="AV53" s="118"/>
      <c r="AW53" s="118">
        <v>0</v>
      </c>
      <c r="AX53" s="118">
        <v>0</v>
      </c>
      <c r="AY53" s="120"/>
      <c r="AZ53" s="120">
        <v>1000</v>
      </c>
      <c r="BA53" s="118">
        <f t="shared" si="53"/>
        <v>18691</v>
      </c>
      <c r="BB53" s="122" t="s">
        <v>57</v>
      </c>
      <c r="BC53" s="70" t="s">
        <v>330</v>
      </c>
      <c r="BD53" s="133" t="s">
        <v>331</v>
      </c>
      <c r="BE53" s="102"/>
      <c r="BF53" s="102"/>
      <c r="BG53" s="70" t="s">
        <v>48</v>
      </c>
      <c r="BH53" s="125">
        <v>0</v>
      </c>
      <c r="BI53" s="156"/>
      <c r="BJ53" s="70"/>
    </row>
    <row r="54" spans="1:62" s="13" customFormat="1" x14ac:dyDescent="0.25">
      <c r="A54" s="70">
        <f t="shared" si="14"/>
        <v>52</v>
      </c>
      <c r="B54" s="70">
        <v>1940</v>
      </c>
      <c r="C54" s="108" t="s">
        <v>41</v>
      </c>
      <c r="D54" s="99" t="s">
        <v>318</v>
      </c>
      <c r="E54" s="114" t="s">
        <v>315</v>
      </c>
      <c r="F54" s="114" t="s">
        <v>321</v>
      </c>
      <c r="G54" s="115">
        <v>0</v>
      </c>
      <c r="H54" s="122" t="s">
        <v>43</v>
      </c>
      <c r="I54" s="129">
        <v>44697</v>
      </c>
      <c r="J54" s="129"/>
      <c r="K54" s="116"/>
      <c r="L54" s="129"/>
      <c r="M54" s="128" t="s">
        <v>44</v>
      </c>
      <c r="N54" s="117" t="s">
        <v>952</v>
      </c>
      <c r="O54" s="114" t="s">
        <v>1112</v>
      </c>
      <c r="P54" s="70" t="s">
        <v>46</v>
      </c>
      <c r="Q54" s="128" t="s">
        <v>63</v>
      </c>
      <c r="R54" s="125">
        <v>39100</v>
      </c>
      <c r="S54" s="119">
        <f>+R54*0.1</f>
        <v>3910</v>
      </c>
      <c r="T54" s="74" t="s">
        <v>1501</v>
      </c>
      <c r="U54" s="119">
        <f t="shared" si="41"/>
        <v>43010</v>
      </c>
      <c r="V54" s="119">
        <v>41210</v>
      </c>
      <c r="W54" s="119">
        <f t="shared" si="57"/>
        <v>21505</v>
      </c>
      <c r="X54" s="125">
        <f t="shared" si="58"/>
        <v>10752.5</v>
      </c>
      <c r="Y54" s="118">
        <f t="shared" si="56"/>
        <v>8952.5</v>
      </c>
      <c r="Z54" s="118">
        <f t="shared" si="59"/>
        <v>41210</v>
      </c>
      <c r="AA54" s="119">
        <v>30</v>
      </c>
      <c r="AB54" s="115">
        <v>50</v>
      </c>
      <c r="AC54" s="115">
        <v>0.5</v>
      </c>
      <c r="AD54" s="115">
        <v>1</v>
      </c>
      <c r="AE54" s="115"/>
      <c r="AF54" s="115">
        <f t="shared" si="43"/>
        <v>50.5</v>
      </c>
      <c r="AG54" s="115">
        <f t="shared" si="44"/>
        <v>80.5</v>
      </c>
      <c r="AH54" s="101">
        <f t="shared" si="18"/>
        <v>30</v>
      </c>
      <c r="AI54" s="118">
        <f t="shared" si="45"/>
        <v>43010</v>
      </c>
      <c r="AJ54" s="118">
        <f t="shared" si="4"/>
        <v>41210</v>
      </c>
      <c r="AK54" s="118">
        <f t="shared" si="5"/>
        <v>21505</v>
      </c>
      <c r="AL54" s="118">
        <f t="shared" si="6"/>
        <v>10753</v>
      </c>
      <c r="AM54" s="118">
        <f t="shared" si="32"/>
        <v>8953</v>
      </c>
      <c r="AN54" s="119">
        <f t="shared" si="8"/>
        <v>0</v>
      </c>
      <c r="AO54" s="119">
        <f t="shared" si="52"/>
        <v>1800</v>
      </c>
      <c r="AP54" s="118">
        <f t="shared" si="33"/>
        <v>43011</v>
      </c>
      <c r="AQ54" s="118">
        <v>0</v>
      </c>
      <c r="AR54" s="118">
        <f t="shared" si="10"/>
        <v>0</v>
      </c>
      <c r="AS54" s="118">
        <f t="shared" si="34"/>
        <v>0</v>
      </c>
      <c r="AT54" s="118">
        <f t="shared" si="35"/>
        <v>1800</v>
      </c>
      <c r="AU54" s="118">
        <f t="shared" si="36"/>
        <v>1800</v>
      </c>
      <c r="AV54" s="118">
        <v>75000</v>
      </c>
      <c r="AW54" s="118">
        <v>25000</v>
      </c>
      <c r="AX54" s="118">
        <f>+AV54-AW54</f>
        <v>50000</v>
      </c>
      <c r="AY54" s="120">
        <v>0</v>
      </c>
      <c r="AZ54" s="120">
        <v>1000</v>
      </c>
      <c r="BA54" s="118">
        <f t="shared" si="53"/>
        <v>13411</v>
      </c>
      <c r="BB54" s="122" t="s">
        <v>586</v>
      </c>
      <c r="BC54" s="70" t="s">
        <v>202</v>
      </c>
      <c r="BD54" s="132" t="s">
        <v>587</v>
      </c>
      <c r="BE54" s="102"/>
      <c r="BF54" s="102"/>
      <c r="BG54" s="70" t="s">
        <v>48</v>
      </c>
      <c r="BH54" s="125">
        <v>0</v>
      </c>
      <c r="BI54" s="156"/>
      <c r="BJ54" s="70"/>
    </row>
    <row r="55" spans="1:62" s="13" customFormat="1" x14ac:dyDescent="0.25">
      <c r="A55" s="70">
        <f t="shared" si="14"/>
        <v>53</v>
      </c>
      <c r="B55" s="70">
        <v>1924</v>
      </c>
      <c r="C55" s="134" t="s">
        <v>1203</v>
      </c>
      <c r="D55" s="99" t="s">
        <v>322</v>
      </c>
      <c r="E55" s="114" t="s">
        <v>323</v>
      </c>
      <c r="F55" s="114" t="s">
        <v>324</v>
      </c>
      <c r="G55" s="115">
        <v>0</v>
      </c>
      <c r="H55" s="122" t="s">
        <v>43</v>
      </c>
      <c r="I55" s="129">
        <v>44667</v>
      </c>
      <c r="J55" s="129"/>
      <c r="K55" s="116"/>
      <c r="L55" s="129"/>
      <c r="M55" s="128" t="s">
        <v>44</v>
      </c>
      <c r="N55" s="117" t="s">
        <v>959</v>
      </c>
      <c r="O55" s="114" t="s">
        <v>110</v>
      </c>
      <c r="P55" s="70" t="s">
        <v>63</v>
      </c>
      <c r="Q55" s="128" t="s">
        <v>63</v>
      </c>
      <c r="R55" s="125">
        <v>18000</v>
      </c>
      <c r="S55" s="119">
        <f>+R55*0.15</f>
        <v>2700</v>
      </c>
      <c r="T55" s="74">
        <v>45778</v>
      </c>
      <c r="U55" s="119">
        <f t="shared" si="41"/>
        <v>20700</v>
      </c>
      <c r="V55" s="119">
        <v>18793</v>
      </c>
      <c r="W55" s="119">
        <v>10800</v>
      </c>
      <c r="X55" s="125">
        <f t="shared" si="58"/>
        <v>5400</v>
      </c>
      <c r="Y55" s="118">
        <f t="shared" si="56"/>
        <v>2593</v>
      </c>
      <c r="Z55" s="118">
        <f t="shared" si="59"/>
        <v>18793</v>
      </c>
      <c r="AA55" s="119">
        <v>30</v>
      </c>
      <c r="AB55" s="115">
        <v>0.5</v>
      </c>
      <c r="AC55" s="115">
        <v>5</v>
      </c>
      <c r="AD55" s="115">
        <v>1</v>
      </c>
      <c r="AE55" s="115"/>
      <c r="AF55" s="115">
        <f t="shared" si="43"/>
        <v>-3.5</v>
      </c>
      <c r="AG55" s="115">
        <f t="shared" si="44"/>
        <v>26.5</v>
      </c>
      <c r="AH55" s="101">
        <f t="shared" si="18"/>
        <v>26.5</v>
      </c>
      <c r="AI55" s="118">
        <f t="shared" si="45"/>
        <v>18285</v>
      </c>
      <c r="AJ55" s="118">
        <f t="shared" ref="AJ55:AJ108" si="60">ROUND(Z55*AH55/AA55,0)</f>
        <v>16600</v>
      </c>
      <c r="AK55" s="118">
        <f t="shared" ref="AK55:AK108" si="61">ROUND(W55*AH55/AA55,0)</f>
        <v>9540</v>
      </c>
      <c r="AL55" s="118">
        <f t="shared" ref="AL55:AL108" si="62">ROUND(X55*AH55/AA55,0)</f>
        <v>4770</v>
      </c>
      <c r="AM55" s="118">
        <f t="shared" ref="AM55:AM81" si="63">ROUND(Y55*AH55/AA55,0)</f>
        <v>2290</v>
      </c>
      <c r="AN55" s="119">
        <f t="shared" ref="AN55:AN108" si="64">ROUNDUP(IF(V55&gt;=21000,0,AJ55*3.25%),0)</f>
        <v>540</v>
      </c>
      <c r="AO55" s="119">
        <f t="shared" si="52"/>
        <v>1145</v>
      </c>
      <c r="AP55" s="118">
        <f t="shared" ref="AP55:AP76" si="65">SUM(AK55:AO55)</f>
        <v>18285</v>
      </c>
      <c r="AQ55" s="118">
        <v>0</v>
      </c>
      <c r="AR55" s="118">
        <f t="shared" ref="AR55:AR108" si="66">ROUNDUP(IF(V55&gt;=21000,0,AJ55*0.75%),0)</f>
        <v>125</v>
      </c>
      <c r="AS55" s="118">
        <f t="shared" ref="AS55:AS81" si="67">AN55</f>
        <v>540</v>
      </c>
      <c r="AT55" s="118">
        <f t="shared" ref="AT55:AT81" si="68">AO55</f>
        <v>1145</v>
      </c>
      <c r="AU55" s="118">
        <f t="shared" ref="AU55:AU81" si="69">AO55</f>
        <v>1145</v>
      </c>
      <c r="AV55" s="118"/>
      <c r="AW55" s="118">
        <v>0</v>
      </c>
      <c r="AX55" s="118">
        <v>0</v>
      </c>
      <c r="AY55" s="120"/>
      <c r="AZ55" s="120">
        <v>1000</v>
      </c>
      <c r="BA55" s="118">
        <f t="shared" si="53"/>
        <v>14330</v>
      </c>
      <c r="BB55" s="122" t="s">
        <v>425</v>
      </c>
      <c r="BC55" s="70" t="s">
        <v>325</v>
      </c>
      <c r="BD55" s="133" t="s">
        <v>326</v>
      </c>
      <c r="BE55" s="102"/>
      <c r="BF55" s="102"/>
      <c r="BG55" s="70" t="s">
        <v>48</v>
      </c>
      <c r="BH55" s="125">
        <v>0</v>
      </c>
      <c r="BI55" s="156"/>
      <c r="BJ55" s="70"/>
    </row>
    <row r="56" spans="1:62" s="13" customFormat="1" x14ac:dyDescent="0.25">
      <c r="A56" s="70">
        <f t="shared" si="14"/>
        <v>54</v>
      </c>
      <c r="B56" s="80">
        <v>1956</v>
      </c>
      <c r="C56" s="108" t="s">
        <v>41</v>
      </c>
      <c r="D56" s="134" t="s">
        <v>342</v>
      </c>
      <c r="E56" s="81" t="s">
        <v>334</v>
      </c>
      <c r="F56" s="114" t="s">
        <v>428</v>
      </c>
      <c r="G56" s="115">
        <v>0</v>
      </c>
      <c r="H56" s="122" t="s">
        <v>43</v>
      </c>
      <c r="I56" s="82">
        <v>44720</v>
      </c>
      <c r="J56" s="129"/>
      <c r="K56" s="116"/>
      <c r="L56" s="129"/>
      <c r="M56" s="128" t="s">
        <v>44</v>
      </c>
      <c r="N56" s="117" t="s">
        <v>947</v>
      </c>
      <c r="O56" s="114" t="s">
        <v>1112</v>
      </c>
      <c r="P56" s="70" t="s">
        <v>46</v>
      </c>
      <c r="Q56" s="128" t="s">
        <v>63</v>
      </c>
      <c r="R56" s="125">
        <v>22583</v>
      </c>
      <c r="S56" s="119">
        <v>3000</v>
      </c>
      <c r="T56" s="74">
        <v>45444</v>
      </c>
      <c r="U56" s="119">
        <f t="shared" si="41"/>
        <v>25583</v>
      </c>
      <c r="V56" s="119">
        <v>24023</v>
      </c>
      <c r="W56" s="119">
        <v>13000</v>
      </c>
      <c r="X56" s="125">
        <f t="shared" ref="X56:X69" si="70">+W56*0.5</f>
        <v>6500</v>
      </c>
      <c r="Y56" s="118">
        <f t="shared" si="56"/>
        <v>4523</v>
      </c>
      <c r="Z56" s="118">
        <f t="shared" si="59"/>
        <v>24023</v>
      </c>
      <c r="AA56" s="119">
        <v>30</v>
      </c>
      <c r="AB56" s="115">
        <v>1</v>
      </c>
      <c r="AC56" s="115">
        <v>5</v>
      </c>
      <c r="AD56" s="115">
        <v>1</v>
      </c>
      <c r="AE56" s="115"/>
      <c r="AF56" s="115">
        <f t="shared" si="43"/>
        <v>-3</v>
      </c>
      <c r="AG56" s="115">
        <f t="shared" si="44"/>
        <v>27</v>
      </c>
      <c r="AH56" s="101">
        <f t="shared" si="18"/>
        <v>27</v>
      </c>
      <c r="AI56" s="118">
        <f t="shared" si="45"/>
        <v>23025</v>
      </c>
      <c r="AJ56" s="118">
        <f t="shared" si="60"/>
        <v>21621</v>
      </c>
      <c r="AK56" s="118">
        <f t="shared" si="61"/>
        <v>11700</v>
      </c>
      <c r="AL56" s="118">
        <f t="shared" si="62"/>
        <v>5850</v>
      </c>
      <c r="AM56" s="118">
        <f t="shared" si="63"/>
        <v>4071</v>
      </c>
      <c r="AN56" s="119">
        <f t="shared" si="64"/>
        <v>0</v>
      </c>
      <c r="AO56" s="119">
        <f t="shared" si="52"/>
        <v>1404</v>
      </c>
      <c r="AP56" s="118">
        <f t="shared" si="65"/>
        <v>23025</v>
      </c>
      <c r="AQ56" s="118">
        <v>0</v>
      </c>
      <c r="AR56" s="118">
        <f t="shared" si="66"/>
        <v>0</v>
      </c>
      <c r="AS56" s="118">
        <f t="shared" si="67"/>
        <v>0</v>
      </c>
      <c r="AT56" s="118">
        <f t="shared" si="68"/>
        <v>1404</v>
      </c>
      <c r="AU56" s="118">
        <f t="shared" si="69"/>
        <v>1404</v>
      </c>
      <c r="AV56" s="118">
        <v>15000</v>
      </c>
      <c r="AW56" s="118">
        <f>5000</f>
        <v>5000</v>
      </c>
      <c r="AX56" s="118">
        <f>+AV56-AW56</f>
        <v>10000</v>
      </c>
      <c r="AY56" s="120">
        <v>0</v>
      </c>
      <c r="AZ56" s="120">
        <v>0</v>
      </c>
      <c r="BA56" s="118">
        <f t="shared" si="53"/>
        <v>15217</v>
      </c>
      <c r="BB56" s="122" t="s">
        <v>708</v>
      </c>
      <c r="BC56" s="99" t="s">
        <v>709</v>
      </c>
      <c r="BD56" s="127" t="s">
        <v>710</v>
      </c>
      <c r="BE56" s="102"/>
      <c r="BF56" s="102"/>
      <c r="BG56" s="70" t="s">
        <v>48</v>
      </c>
      <c r="BH56" s="125">
        <v>0</v>
      </c>
      <c r="BI56" s="156"/>
      <c r="BJ56" s="70"/>
    </row>
    <row r="57" spans="1:62" s="13" customFormat="1" x14ac:dyDescent="0.25">
      <c r="A57" s="70">
        <f t="shared" si="14"/>
        <v>55</v>
      </c>
      <c r="B57" s="70">
        <v>1975</v>
      </c>
      <c r="C57" s="108" t="s">
        <v>41</v>
      </c>
      <c r="D57" s="99" t="s">
        <v>343</v>
      </c>
      <c r="E57" s="114" t="s">
        <v>249</v>
      </c>
      <c r="F57" s="114" t="s">
        <v>429</v>
      </c>
      <c r="G57" s="115">
        <v>0</v>
      </c>
      <c r="H57" s="122" t="s">
        <v>43</v>
      </c>
      <c r="I57" s="129">
        <v>44552</v>
      </c>
      <c r="J57" s="82"/>
      <c r="K57" s="82">
        <v>44713</v>
      </c>
      <c r="L57" s="102"/>
      <c r="M57" s="128" t="s">
        <v>44</v>
      </c>
      <c r="N57" s="117" t="s">
        <v>947</v>
      </c>
      <c r="O57" s="114" t="s">
        <v>975</v>
      </c>
      <c r="P57" s="70" t="s">
        <v>46</v>
      </c>
      <c r="Q57" s="70" t="s">
        <v>63</v>
      </c>
      <c r="R57" s="125">
        <v>21600</v>
      </c>
      <c r="S57" s="83">
        <f>+R57*0.26</f>
        <v>5616</v>
      </c>
      <c r="T57" s="74">
        <v>45778</v>
      </c>
      <c r="U57" s="119">
        <f t="shared" si="41"/>
        <v>27216</v>
      </c>
      <c r="V57" s="119">
        <v>25583</v>
      </c>
      <c r="W57" s="119">
        <f t="shared" ref="W57:W58" si="71">+U57*0.5</f>
        <v>13608</v>
      </c>
      <c r="X57" s="125">
        <f t="shared" si="70"/>
        <v>6804</v>
      </c>
      <c r="Y57" s="118">
        <f>+V57-W57-X57</f>
        <v>5171</v>
      </c>
      <c r="Z57" s="118">
        <f t="shared" ref="Z57:Z58" si="72">+W57+X57+Y57</f>
        <v>25583</v>
      </c>
      <c r="AA57" s="119">
        <v>30</v>
      </c>
      <c r="AB57" s="115">
        <v>9</v>
      </c>
      <c r="AC57" s="115">
        <v>7</v>
      </c>
      <c r="AD57" s="115">
        <v>1</v>
      </c>
      <c r="AE57" s="115"/>
      <c r="AF57" s="115">
        <f t="shared" si="43"/>
        <v>3</v>
      </c>
      <c r="AG57" s="115">
        <f t="shared" si="44"/>
        <v>33</v>
      </c>
      <c r="AH57" s="101">
        <f t="shared" si="18"/>
        <v>30</v>
      </c>
      <c r="AI57" s="118">
        <f t="shared" si="45"/>
        <v>27216</v>
      </c>
      <c r="AJ57" s="118">
        <f t="shared" si="60"/>
        <v>25583</v>
      </c>
      <c r="AK57" s="118">
        <f t="shared" si="61"/>
        <v>13608</v>
      </c>
      <c r="AL57" s="118">
        <f t="shared" si="62"/>
        <v>6804</v>
      </c>
      <c r="AM57" s="118">
        <f t="shared" si="63"/>
        <v>5171</v>
      </c>
      <c r="AN57" s="119">
        <f t="shared" si="64"/>
        <v>0</v>
      </c>
      <c r="AO57" s="119">
        <f t="shared" si="52"/>
        <v>1633</v>
      </c>
      <c r="AP57" s="118">
        <f t="shared" si="65"/>
        <v>27216</v>
      </c>
      <c r="AQ57" s="118">
        <v>0</v>
      </c>
      <c r="AR57" s="118">
        <f t="shared" si="66"/>
        <v>0</v>
      </c>
      <c r="AS57" s="118">
        <f t="shared" si="67"/>
        <v>0</v>
      </c>
      <c r="AT57" s="118">
        <f t="shared" si="68"/>
        <v>1633</v>
      </c>
      <c r="AU57" s="118">
        <f t="shared" si="69"/>
        <v>1633</v>
      </c>
      <c r="AV57" s="118"/>
      <c r="AW57" s="118">
        <v>10000</v>
      </c>
      <c r="AX57" s="118">
        <v>0</v>
      </c>
      <c r="AY57" s="120"/>
      <c r="AZ57" s="120">
        <v>1000</v>
      </c>
      <c r="BA57" s="118">
        <f t="shared" si="53"/>
        <v>12950</v>
      </c>
      <c r="BB57" s="131" t="s">
        <v>50</v>
      </c>
      <c r="BC57" s="131" t="s">
        <v>106</v>
      </c>
      <c r="BD57" s="135" t="s">
        <v>344</v>
      </c>
      <c r="BE57" s="102"/>
      <c r="BF57" s="102"/>
      <c r="BG57" s="70" t="s">
        <v>48</v>
      </c>
      <c r="BH57" s="125">
        <v>0</v>
      </c>
      <c r="BI57" s="156"/>
      <c r="BJ57" s="70"/>
    </row>
    <row r="58" spans="1:62" s="13" customFormat="1" x14ac:dyDescent="0.25">
      <c r="A58" s="70">
        <f t="shared" si="14"/>
        <v>56</v>
      </c>
      <c r="B58" s="122">
        <v>1965</v>
      </c>
      <c r="C58" s="108" t="s">
        <v>41</v>
      </c>
      <c r="D58" s="99" t="s">
        <v>354</v>
      </c>
      <c r="E58" s="114" t="s">
        <v>345</v>
      </c>
      <c r="F58" s="114" t="s">
        <v>430</v>
      </c>
      <c r="G58" s="115">
        <v>0</v>
      </c>
      <c r="H58" s="122" t="s">
        <v>43</v>
      </c>
      <c r="I58" s="144">
        <v>44744</v>
      </c>
      <c r="J58" s="137"/>
      <c r="K58" s="116"/>
      <c r="L58" s="102"/>
      <c r="M58" s="128" t="s">
        <v>44</v>
      </c>
      <c r="N58" s="117" t="s">
        <v>959</v>
      </c>
      <c r="O58" s="114" t="s">
        <v>975</v>
      </c>
      <c r="P58" s="70" t="s">
        <v>46</v>
      </c>
      <c r="Q58" s="70" t="s">
        <v>63</v>
      </c>
      <c r="R58" s="125">
        <v>19406</v>
      </c>
      <c r="S58" s="83">
        <f>+R58*0.17</f>
        <v>3299.0200000000004</v>
      </c>
      <c r="T58" s="74">
        <v>45778</v>
      </c>
      <c r="U58" s="119">
        <f>R58+S58-1</f>
        <v>22704.02</v>
      </c>
      <c r="V58" s="119">
        <v>21342</v>
      </c>
      <c r="W58" s="119">
        <f t="shared" si="71"/>
        <v>11352.01</v>
      </c>
      <c r="X58" s="125">
        <f t="shared" si="70"/>
        <v>5676.0050000000001</v>
      </c>
      <c r="Y58" s="118">
        <f>+V58-W58-X58</f>
        <v>4313.9849999999997</v>
      </c>
      <c r="Z58" s="118">
        <f t="shared" si="72"/>
        <v>21342</v>
      </c>
      <c r="AA58" s="119">
        <v>30</v>
      </c>
      <c r="AB58" s="115">
        <v>27</v>
      </c>
      <c r="AC58" s="115">
        <v>2.5</v>
      </c>
      <c r="AD58" s="115">
        <v>1</v>
      </c>
      <c r="AE58" s="115"/>
      <c r="AF58" s="115">
        <f t="shared" si="43"/>
        <v>25.5</v>
      </c>
      <c r="AG58" s="115">
        <f t="shared" si="44"/>
        <v>55.5</v>
      </c>
      <c r="AH58" s="101">
        <f t="shared" si="18"/>
        <v>30</v>
      </c>
      <c r="AI58" s="118">
        <f t="shared" si="45"/>
        <v>22704</v>
      </c>
      <c r="AJ58" s="118">
        <f t="shared" si="60"/>
        <v>21342</v>
      </c>
      <c r="AK58" s="118">
        <f t="shared" si="61"/>
        <v>11352</v>
      </c>
      <c r="AL58" s="118">
        <f t="shared" si="62"/>
        <v>5676</v>
      </c>
      <c r="AM58" s="118">
        <f t="shared" si="63"/>
        <v>4314</v>
      </c>
      <c r="AN58" s="119">
        <f t="shared" si="64"/>
        <v>0</v>
      </c>
      <c r="AO58" s="119">
        <f t="shared" si="52"/>
        <v>1362</v>
      </c>
      <c r="AP58" s="118">
        <f t="shared" si="65"/>
        <v>22704</v>
      </c>
      <c r="AQ58" s="118">
        <v>0</v>
      </c>
      <c r="AR58" s="118">
        <f t="shared" si="66"/>
        <v>0</v>
      </c>
      <c r="AS58" s="118">
        <f t="shared" si="67"/>
        <v>0</v>
      </c>
      <c r="AT58" s="118">
        <f t="shared" si="68"/>
        <v>1362</v>
      </c>
      <c r="AU58" s="118">
        <f t="shared" si="69"/>
        <v>1362</v>
      </c>
      <c r="AV58" s="118"/>
      <c r="AW58" s="118">
        <v>0</v>
      </c>
      <c r="AX58" s="118">
        <v>0</v>
      </c>
      <c r="AY58" s="120"/>
      <c r="AZ58" s="120">
        <v>1000</v>
      </c>
      <c r="BA58" s="118">
        <f t="shared" si="53"/>
        <v>18980</v>
      </c>
      <c r="BB58" s="122" t="s">
        <v>70</v>
      </c>
      <c r="BC58" s="122" t="s">
        <v>106</v>
      </c>
      <c r="BD58" s="132" t="s">
        <v>376</v>
      </c>
      <c r="BE58" s="102"/>
      <c r="BF58" s="102"/>
      <c r="BG58" s="70" t="s">
        <v>48</v>
      </c>
      <c r="BH58" s="125">
        <v>0</v>
      </c>
      <c r="BI58" s="156"/>
      <c r="BJ58" s="70"/>
    </row>
    <row r="59" spans="1:62" s="13" customFormat="1" x14ac:dyDescent="0.25">
      <c r="A59" s="70">
        <f t="shared" si="14"/>
        <v>57</v>
      </c>
      <c r="B59" s="122">
        <v>1980</v>
      </c>
      <c r="C59" s="108" t="s">
        <v>41</v>
      </c>
      <c r="D59" s="99" t="s">
        <v>355</v>
      </c>
      <c r="E59" s="114" t="s">
        <v>408</v>
      </c>
      <c r="F59" s="114" t="s">
        <v>431</v>
      </c>
      <c r="G59" s="115">
        <v>0</v>
      </c>
      <c r="H59" s="122" t="s">
        <v>43</v>
      </c>
      <c r="I59" s="144">
        <v>44750</v>
      </c>
      <c r="J59" s="137"/>
      <c r="K59" s="116"/>
      <c r="L59" s="102"/>
      <c r="M59" s="128" t="s">
        <v>44</v>
      </c>
      <c r="N59" s="117" t="s">
        <v>959</v>
      </c>
      <c r="O59" s="114" t="s">
        <v>975</v>
      </c>
      <c r="P59" s="70" t="s">
        <v>46</v>
      </c>
      <c r="Q59" s="70" t="s">
        <v>63</v>
      </c>
      <c r="R59" s="125">
        <v>21419</v>
      </c>
      <c r="S59" s="83">
        <f>+R59*0.15</f>
        <v>3212.85</v>
      </c>
      <c r="T59" s="74">
        <v>45778</v>
      </c>
      <c r="U59" s="119">
        <f t="shared" si="41"/>
        <v>24631.85</v>
      </c>
      <c r="V59" s="119">
        <v>23154</v>
      </c>
      <c r="W59" s="119">
        <f t="shared" ref="W59:W64" si="73">+U59*0.5</f>
        <v>12315.924999999999</v>
      </c>
      <c r="X59" s="125">
        <f t="shared" si="70"/>
        <v>6157.9624999999996</v>
      </c>
      <c r="Y59" s="118">
        <f>+V59-W59-X59</f>
        <v>4680.1125000000011</v>
      </c>
      <c r="Z59" s="118">
        <f t="shared" ref="Z59:Z69" si="74">W59+X59+Y59</f>
        <v>23154</v>
      </c>
      <c r="AA59" s="119">
        <v>30</v>
      </c>
      <c r="AB59" s="115">
        <v>7.5</v>
      </c>
      <c r="AC59" s="115">
        <v>2</v>
      </c>
      <c r="AD59" s="115">
        <v>1</v>
      </c>
      <c r="AE59" s="115"/>
      <c r="AF59" s="115">
        <f t="shared" si="43"/>
        <v>6.5</v>
      </c>
      <c r="AG59" s="115">
        <f t="shared" si="44"/>
        <v>36.5</v>
      </c>
      <c r="AH59" s="101">
        <f t="shared" si="18"/>
        <v>30</v>
      </c>
      <c r="AI59" s="118">
        <f t="shared" si="45"/>
        <v>24632</v>
      </c>
      <c r="AJ59" s="118">
        <f t="shared" si="60"/>
        <v>23154</v>
      </c>
      <c r="AK59" s="118">
        <f t="shared" si="61"/>
        <v>12316</v>
      </c>
      <c r="AL59" s="118">
        <f t="shared" si="62"/>
        <v>6158</v>
      </c>
      <c r="AM59" s="118">
        <f t="shared" si="63"/>
        <v>4680</v>
      </c>
      <c r="AN59" s="119">
        <f t="shared" si="64"/>
        <v>0</v>
      </c>
      <c r="AO59" s="119">
        <f t="shared" si="52"/>
        <v>1478</v>
      </c>
      <c r="AP59" s="118">
        <f t="shared" si="65"/>
        <v>24632</v>
      </c>
      <c r="AQ59" s="118">
        <v>0</v>
      </c>
      <c r="AR59" s="118">
        <f t="shared" si="66"/>
        <v>0</v>
      </c>
      <c r="AS59" s="118">
        <f t="shared" si="67"/>
        <v>0</v>
      </c>
      <c r="AT59" s="118">
        <f t="shared" si="68"/>
        <v>1478</v>
      </c>
      <c r="AU59" s="118">
        <f t="shared" si="69"/>
        <v>1478</v>
      </c>
      <c r="AV59" s="118"/>
      <c r="AW59" s="118">
        <v>0</v>
      </c>
      <c r="AX59" s="118">
        <v>0</v>
      </c>
      <c r="AY59" s="120"/>
      <c r="AZ59" s="120">
        <v>1000</v>
      </c>
      <c r="BA59" s="118">
        <f t="shared" si="53"/>
        <v>20676</v>
      </c>
      <c r="BB59" s="122" t="s">
        <v>248</v>
      </c>
      <c r="BC59" s="122" t="s">
        <v>350</v>
      </c>
      <c r="BD59" s="132" t="s">
        <v>349</v>
      </c>
      <c r="BE59" s="102"/>
      <c r="BF59" s="102"/>
      <c r="BG59" s="70" t="s">
        <v>48</v>
      </c>
      <c r="BH59" s="125">
        <v>0</v>
      </c>
      <c r="BI59" s="156"/>
      <c r="BJ59" s="70"/>
    </row>
    <row r="60" spans="1:62" s="13" customFormat="1" x14ac:dyDescent="0.25">
      <c r="A60" s="70">
        <f t="shared" si="14"/>
        <v>58</v>
      </c>
      <c r="B60" s="122">
        <v>1983</v>
      </c>
      <c r="C60" s="108" t="s">
        <v>41</v>
      </c>
      <c r="D60" s="99" t="s">
        <v>356</v>
      </c>
      <c r="E60" s="114" t="s">
        <v>409</v>
      </c>
      <c r="F60" s="114" t="s">
        <v>432</v>
      </c>
      <c r="G60" s="115">
        <v>0</v>
      </c>
      <c r="H60" s="122" t="s">
        <v>43</v>
      </c>
      <c r="I60" s="144">
        <v>44755</v>
      </c>
      <c r="J60" s="137"/>
      <c r="K60" s="116"/>
      <c r="L60" s="102"/>
      <c r="M60" s="128" t="s">
        <v>44</v>
      </c>
      <c r="N60" s="117" t="s">
        <v>952</v>
      </c>
      <c r="O60" s="114" t="s">
        <v>1112</v>
      </c>
      <c r="P60" s="70" t="s">
        <v>46</v>
      </c>
      <c r="Q60" s="70" t="s">
        <v>63</v>
      </c>
      <c r="R60" s="125">
        <v>29562</v>
      </c>
      <c r="S60" s="83">
        <f>+R60*0.07</f>
        <v>2069.34</v>
      </c>
      <c r="T60" s="74" t="s">
        <v>1535</v>
      </c>
      <c r="U60" s="119">
        <f t="shared" si="41"/>
        <v>31631.34</v>
      </c>
      <c r="V60" s="119">
        <v>29831</v>
      </c>
      <c r="W60" s="119">
        <f t="shared" si="73"/>
        <v>15815.67</v>
      </c>
      <c r="X60" s="125">
        <f t="shared" si="70"/>
        <v>7907.835</v>
      </c>
      <c r="Y60" s="118">
        <f t="shared" ref="Y60:Y69" si="75">+V60-W60-X60</f>
        <v>6107.4949999999999</v>
      </c>
      <c r="Z60" s="118">
        <f t="shared" si="74"/>
        <v>29831</v>
      </c>
      <c r="AA60" s="119">
        <v>30</v>
      </c>
      <c r="AB60" s="115">
        <v>45.5</v>
      </c>
      <c r="AC60" s="115">
        <v>1</v>
      </c>
      <c r="AD60" s="115">
        <v>2</v>
      </c>
      <c r="AE60" s="115"/>
      <c r="AF60" s="115">
        <f t="shared" si="43"/>
        <v>46.5</v>
      </c>
      <c r="AG60" s="115">
        <f t="shared" si="44"/>
        <v>76.5</v>
      </c>
      <c r="AH60" s="101">
        <f t="shared" si="18"/>
        <v>30</v>
      </c>
      <c r="AI60" s="118">
        <f t="shared" si="45"/>
        <v>31631</v>
      </c>
      <c r="AJ60" s="118">
        <f t="shared" si="60"/>
        <v>29831</v>
      </c>
      <c r="AK60" s="118">
        <f t="shared" si="61"/>
        <v>15816</v>
      </c>
      <c r="AL60" s="118">
        <f t="shared" si="62"/>
        <v>7908</v>
      </c>
      <c r="AM60" s="118">
        <f t="shared" si="63"/>
        <v>6107</v>
      </c>
      <c r="AN60" s="119">
        <f t="shared" si="64"/>
        <v>0</v>
      </c>
      <c r="AO60" s="119">
        <f t="shared" si="52"/>
        <v>1800</v>
      </c>
      <c r="AP60" s="118">
        <f t="shared" si="65"/>
        <v>31631</v>
      </c>
      <c r="AQ60" s="118">
        <v>0</v>
      </c>
      <c r="AR60" s="118">
        <f t="shared" si="66"/>
        <v>0</v>
      </c>
      <c r="AS60" s="118">
        <f t="shared" si="67"/>
        <v>0</v>
      </c>
      <c r="AT60" s="118">
        <f t="shared" si="68"/>
        <v>1800</v>
      </c>
      <c r="AU60" s="118">
        <f t="shared" si="69"/>
        <v>1800</v>
      </c>
      <c r="AV60" s="118">
        <v>29000</v>
      </c>
      <c r="AW60" s="118">
        <v>4000</v>
      </c>
      <c r="AX60" s="118">
        <f>+AV60-AW60</f>
        <v>25000</v>
      </c>
      <c r="AY60" s="120">
        <v>0</v>
      </c>
      <c r="AZ60" s="120">
        <v>0</v>
      </c>
      <c r="BA60" s="118">
        <f t="shared" si="53"/>
        <v>24031</v>
      </c>
      <c r="BB60" s="122" t="s">
        <v>1255</v>
      </c>
      <c r="BC60" s="143" t="s">
        <v>1285</v>
      </c>
      <c r="BD60" s="132" t="s">
        <v>1350</v>
      </c>
      <c r="BE60" s="102"/>
      <c r="BF60" s="102"/>
      <c r="BG60" s="70" t="s">
        <v>48</v>
      </c>
      <c r="BH60" s="125">
        <v>0</v>
      </c>
      <c r="BI60" s="156"/>
      <c r="BJ60" s="70"/>
    </row>
    <row r="61" spans="1:62" s="13" customFormat="1" x14ac:dyDescent="0.25">
      <c r="A61" s="70">
        <f t="shared" ref="A61:A117" si="76">+A60+1</f>
        <v>59</v>
      </c>
      <c r="B61" s="122">
        <v>1995</v>
      </c>
      <c r="C61" s="108" t="s">
        <v>365</v>
      </c>
      <c r="D61" s="99" t="s">
        <v>377</v>
      </c>
      <c r="E61" s="114" t="s">
        <v>335</v>
      </c>
      <c r="F61" s="114" t="s">
        <v>433</v>
      </c>
      <c r="G61" s="115">
        <v>0</v>
      </c>
      <c r="H61" s="122" t="s">
        <v>43</v>
      </c>
      <c r="I61" s="144">
        <v>44726</v>
      </c>
      <c r="J61" s="137"/>
      <c r="K61" s="116">
        <v>44774</v>
      </c>
      <c r="L61" s="102"/>
      <c r="M61" s="128" t="s">
        <v>44</v>
      </c>
      <c r="N61" s="117" t="s">
        <v>959</v>
      </c>
      <c r="O61" s="114" t="s">
        <v>975</v>
      </c>
      <c r="P61" s="70" t="s">
        <v>63</v>
      </c>
      <c r="Q61" s="70" t="s">
        <v>63</v>
      </c>
      <c r="R61" s="125">
        <v>17875</v>
      </c>
      <c r="S61" s="83">
        <f>+R61*0.22</f>
        <v>3932.5</v>
      </c>
      <c r="T61" s="74">
        <v>45778</v>
      </c>
      <c r="U61" s="119">
        <f t="shared" si="41"/>
        <v>21807.5</v>
      </c>
      <c r="V61" s="119">
        <v>19855</v>
      </c>
      <c r="W61" s="125">
        <f t="shared" si="73"/>
        <v>10903.75</v>
      </c>
      <c r="X61" s="125">
        <f t="shared" si="70"/>
        <v>5451.875</v>
      </c>
      <c r="Y61" s="118">
        <f t="shared" si="75"/>
        <v>3499.375</v>
      </c>
      <c r="Z61" s="118">
        <f t="shared" si="74"/>
        <v>19855</v>
      </c>
      <c r="AA61" s="119">
        <v>30</v>
      </c>
      <c r="AB61" s="115">
        <v>13</v>
      </c>
      <c r="AC61" s="115">
        <v>2</v>
      </c>
      <c r="AD61" s="115">
        <v>1</v>
      </c>
      <c r="AE61" s="115"/>
      <c r="AF61" s="115">
        <f t="shared" si="43"/>
        <v>12</v>
      </c>
      <c r="AG61" s="115">
        <f t="shared" si="44"/>
        <v>42</v>
      </c>
      <c r="AH61" s="101">
        <f t="shared" si="18"/>
        <v>30</v>
      </c>
      <c r="AI61" s="118">
        <f t="shared" si="45"/>
        <v>21808</v>
      </c>
      <c r="AJ61" s="118">
        <f t="shared" si="60"/>
        <v>19855</v>
      </c>
      <c r="AK61" s="118">
        <f t="shared" si="61"/>
        <v>10904</v>
      </c>
      <c r="AL61" s="118">
        <f t="shared" si="62"/>
        <v>5452</v>
      </c>
      <c r="AM61" s="118">
        <f t="shared" si="63"/>
        <v>3499</v>
      </c>
      <c r="AN61" s="119">
        <f t="shared" si="64"/>
        <v>646</v>
      </c>
      <c r="AO61" s="119">
        <f t="shared" si="52"/>
        <v>1308</v>
      </c>
      <c r="AP61" s="118">
        <f t="shared" si="65"/>
        <v>21809</v>
      </c>
      <c r="AQ61" s="118">
        <v>0</v>
      </c>
      <c r="AR61" s="118">
        <f t="shared" si="66"/>
        <v>149</v>
      </c>
      <c r="AS61" s="118">
        <f t="shared" si="67"/>
        <v>646</v>
      </c>
      <c r="AT61" s="118">
        <f t="shared" si="68"/>
        <v>1308</v>
      </c>
      <c r="AU61" s="118">
        <f t="shared" si="69"/>
        <v>1308</v>
      </c>
      <c r="AV61" s="118"/>
      <c r="AW61" s="118">
        <v>0</v>
      </c>
      <c r="AX61" s="118">
        <v>0</v>
      </c>
      <c r="AY61" s="120"/>
      <c r="AZ61" s="120">
        <v>0</v>
      </c>
      <c r="BA61" s="118">
        <f t="shared" si="53"/>
        <v>18398</v>
      </c>
      <c r="BB61" s="122" t="s">
        <v>134</v>
      </c>
      <c r="BC61" s="138" t="s">
        <v>449</v>
      </c>
      <c r="BD61" s="132" t="s">
        <v>366</v>
      </c>
      <c r="BE61" s="102"/>
      <c r="BF61" s="102"/>
      <c r="BG61" s="70" t="s">
        <v>48</v>
      </c>
      <c r="BH61" s="125">
        <v>0</v>
      </c>
      <c r="BI61" s="156"/>
      <c r="BJ61" s="70"/>
    </row>
    <row r="62" spans="1:62" s="13" customFormat="1" x14ac:dyDescent="0.25">
      <c r="A62" s="70">
        <f t="shared" si="76"/>
        <v>60</v>
      </c>
      <c r="B62" s="122">
        <v>1988</v>
      </c>
      <c r="C62" s="108" t="s">
        <v>41</v>
      </c>
      <c r="D62" s="99" t="s">
        <v>378</v>
      </c>
      <c r="E62" s="114" t="s">
        <v>359</v>
      </c>
      <c r="F62" s="114" t="s">
        <v>434</v>
      </c>
      <c r="G62" s="115">
        <v>0</v>
      </c>
      <c r="H62" s="122" t="s">
        <v>43</v>
      </c>
      <c r="I62" s="144">
        <v>44777</v>
      </c>
      <c r="J62" s="137"/>
      <c r="K62" s="116"/>
      <c r="L62" s="102"/>
      <c r="M62" s="128" t="s">
        <v>44</v>
      </c>
      <c r="N62" s="117" t="s">
        <v>959</v>
      </c>
      <c r="O62" s="114" t="s">
        <v>976</v>
      </c>
      <c r="P62" s="70" t="s">
        <v>46</v>
      </c>
      <c r="Q62" s="70" t="s">
        <v>63</v>
      </c>
      <c r="R62" s="125">
        <v>20843</v>
      </c>
      <c r="S62" s="83">
        <f>+R62*0.1</f>
        <v>2084.3000000000002</v>
      </c>
      <c r="T62" s="74">
        <v>45778</v>
      </c>
      <c r="U62" s="119">
        <f t="shared" si="41"/>
        <v>22927.3</v>
      </c>
      <c r="V62" s="119">
        <v>21551</v>
      </c>
      <c r="W62" s="125">
        <f t="shared" si="73"/>
        <v>11463.65</v>
      </c>
      <c r="X62" s="125">
        <f t="shared" si="70"/>
        <v>5731.8249999999998</v>
      </c>
      <c r="Y62" s="118">
        <f t="shared" si="75"/>
        <v>4355.5250000000005</v>
      </c>
      <c r="Z62" s="118">
        <f t="shared" si="74"/>
        <v>21551</v>
      </c>
      <c r="AA62" s="119">
        <v>30</v>
      </c>
      <c r="AB62" s="115">
        <v>0.5</v>
      </c>
      <c r="AC62" s="115">
        <v>6</v>
      </c>
      <c r="AD62" s="115">
        <v>1</v>
      </c>
      <c r="AE62" s="115"/>
      <c r="AF62" s="115">
        <f t="shared" si="43"/>
        <v>-4.5</v>
      </c>
      <c r="AG62" s="115">
        <f t="shared" si="44"/>
        <v>25.5</v>
      </c>
      <c r="AH62" s="101">
        <f t="shared" si="18"/>
        <v>25.5</v>
      </c>
      <c r="AI62" s="118">
        <f t="shared" si="45"/>
        <v>19488</v>
      </c>
      <c r="AJ62" s="118">
        <f t="shared" si="60"/>
        <v>18318</v>
      </c>
      <c r="AK62" s="118">
        <f t="shared" si="61"/>
        <v>9744</v>
      </c>
      <c r="AL62" s="118">
        <f t="shared" si="62"/>
        <v>4872</v>
      </c>
      <c r="AM62" s="118">
        <f t="shared" si="63"/>
        <v>3702</v>
      </c>
      <c r="AN62" s="119">
        <f t="shared" si="64"/>
        <v>0</v>
      </c>
      <c r="AO62" s="119">
        <f t="shared" si="52"/>
        <v>1169</v>
      </c>
      <c r="AP62" s="118">
        <f t="shared" si="65"/>
        <v>19487</v>
      </c>
      <c r="AQ62" s="118">
        <v>0</v>
      </c>
      <c r="AR62" s="118">
        <f t="shared" si="66"/>
        <v>0</v>
      </c>
      <c r="AS62" s="118">
        <f t="shared" si="67"/>
        <v>0</v>
      </c>
      <c r="AT62" s="118">
        <f t="shared" si="68"/>
        <v>1169</v>
      </c>
      <c r="AU62" s="118">
        <f t="shared" si="69"/>
        <v>1169</v>
      </c>
      <c r="AV62" s="118"/>
      <c r="AW62" s="118">
        <v>0</v>
      </c>
      <c r="AX62" s="118">
        <v>0</v>
      </c>
      <c r="AY62" s="120"/>
      <c r="AZ62" s="120">
        <v>0</v>
      </c>
      <c r="BA62" s="118">
        <f t="shared" si="53"/>
        <v>17149</v>
      </c>
      <c r="BB62" s="122" t="s">
        <v>70</v>
      </c>
      <c r="BC62" s="122" t="s">
        <v>202</v>
      </c>
      <c r="BD62" s="132" t="s">
        <v>367</v>
      </c>
      <c r="BE62" s="102"/>
      <c r="BF62" s="102"/>
      <c r="BG62" s="70" t="s">
        <v>48</v>
      </c>
      <c r="BH62" s="125">
        <v>0</v>
      </c>
      <c r="BI62" s="156"/>
      <c r="BJ62" s="70"/>
    </row>
    <row r="63" spans="1:62" s="13" customFormat="1" x14ac:dyDescent="0.25">
      <c r="A63" s="70">
        <f t="shared" si="76"/>
        <v>61</v>
      </c>
      <c r="B63" s="122">
        <v>1990</v>
      </c>
      <c r="C63" s="108" t="s">
        <v>41</v>
      </c>
      <c r="D63" s="99" t="s">
        <v>379</v>
      </c>
      <c r="E63" s="114" t="s">
        <v>360</v>
      </c>
      <c r="F63" s="114" t="s">
        <v>435</v>
      </c>
      <c r="G63" s="115">
        <v>0</v>
      </c>
      <c r="H63" s="122" t="s">
        <v>43</v>
      </c>
      <c r="I63" s="144">
        <v>44777</v>
      </c>
      <c r="J63" s="137"/>
      <c r="K63" s="116"/>
      <c r="L63" s="102"/>
      <c r="M63" s="128" t="s">
        <v>44</v>
      </c>
      <c r="N63" s="117" t="s">
        <v>959</v>
      </c>
      <c r="O63" s="114" t="s">
        <v>1000</v>
      </c>
      <c r="P63" s="70" t="s">
        <v>46</v>
      </c>
      <c r="Q63" s="70" t="s">
        <v>63</v>
      </c>
      <c r="R63" s="125">
        <v>21940</v>
      </c>
      <c r="S63" s="83">
        <f>+R63*0.15</f>
        <v>3291</v>
      </c>
      <c r="T63" s="74">
        <v>45778</v>
      </c>
      <c r="U63" s="119">
        <f t="shared" si="41"/>
        <v>25231</v>
      </c>
      <c r="V63" s="119">
        <v>23717</v>
      </c>
      <c r="W63" s="119">
        <f t="shared" si="73"/>
        <v>12615.5</v>
      </c>
      <c r="X63" s="125">
        <f t="shared" si="70"/>
        <v>6307.75</v>
      </c>
      <c r="Y63" s="118">
        <f t="shared" si="75"/>
        <v>4793.75</v>
      </c>
      <c r="Z63" s="118">
        <f t="shared" si="74"/>
        <v>23717</v>
      </c>
      <c r="AA63" s="119">
        <v>30</v>
      </c>
      <c r="AB63" s="115">
        <v>7.5</v>
      </c>
      <c r="AC63" s="115">
        <v>2</v>
      </c>
      <c r="AD63" s="115">
        <v>1</v>
      </c>
      <c r="AE63" s="115"/>
      <c r="AF63" s="115">
        <f t="shared" si="43"/>
        <v>6.5</v>
      </c>
      <c r="AG63" s="115">
        <f t="shared" si="44"/>
        <v>36.5</v>
      </c>
      <c r="AH63" s="101">
        <f t="shared" si="18"/>
        <v>30</v>
      </c>
      <c r="AI63" s="118">
        <f t="shared" si="45"/>
        <v>25231</v>
      </c>
      <c r="AJ63" s="118">
        <f t="shared" si="60"/>
        <v>23717</v>
      </c>
      <c r="AK63" s="118">
        <f t="shared" si="61"/>
        <v>12616</v>
      </c>
      <c r="AL63" s="118">
        <f t="shared" si="62"/>
        <v>6308</v>
      </c>
      <c r="AM63" s="118">
        <f t="shared" si="63"/>
        <v>4794</v>
      </c>
      <c r="AN63" s="119">
        <f t="shared" si="64"/>
        <v>0</v>
      </c>
      <c r="AO63" s="119">
        <f t="shared" si="52"/>
        <v>1514</v>
      </c>
      <c r="AP63" s="118">
        <f t="shared" si="65"/>
        <v>25232</v>
      </c>
      <c r="AQ63" s="118">
        <v>0</v>
      </c>
      <c r="AR63" s="118">
        <f t="shared" si="66"/>
        <v>0</v>
      </c>
      <c r="AS63" s="118">
        <f t="shared" si="67"/>
        <v>0</v>
      </c>
      <c r="AT63" s="118">
        <f t="shared" si="68"/>
        <v>1514</v>
      </c>
      <c r="AU63" s="118">
        <f t="shared" si="69"/>
        <v>1514</v>
      </c>
      <c r="AV63" s="118"/>
      <c r="AW63" s="118">
        <v>0</v>
      </c>
      <c r="AX63" s="118">
        <v>0</v>
      </c>
      <c r="AY63" s="120"/>
      <c r="AZ63" s="120">
        <v>1000</v>
      </c>
      <c r="BA63" s="118">
        <f t="shared" si="53"/>
        <v>21204</v>
      </c>
      <c r="BB63" s="122" t="s">
        <v>107</v>
      </c>
      <c r="BC63" s="122" t="s">
        <v>368</v>
      </c>
      <c r="BD63" s="132" t="s">
        <v>369</v>
      </c>
      <c r="BE63" s="102"/>
      <c r="BF63" s="102"/>
      <c r="BG63" s="70" t="s">
        <v>48</v>
      </c>
      <c r="BH63" s="125">
        <v>0</v>
      </c>
      <c r="BI63" s="156"/>
      <c r="BJ63" s="70"/>
    </row>
    <row r="64" spans="1:62" s="13" customFormat="1" x14ac:dyDescent="0.25">
      <c r="A64" s="70">
        <f t="shared" si="76"/>
        <v>62</v>
      </c>
      <c r="B64" s="122">
        <v>1991</v>
      </c>
      <c r="C64" s="108" t="s">
        <v>41</v>
      </c>
      <c r="D64" s="99" t="s">
        <v>380</v>
      </c>
      <c r="E64" s="114" t="s">
        <v>361</v>
      </c>
      <c r="F64" s="114" t="s">
        <v>436</v>
      </c>
      <c r="G64" s="115">
        <v>0</v>
      </c>
      <c r="H64" s="122" t="s">
        <v>43</v>
      </c>
      <c r="I64" s="144">
        <v>44789</v>
      </c>
      <c r="J64" s="137"/>
      <c r="K64" s="116"/>
      <c r="L64" s="102"/>
      <c r="M64" s="128" t="s">
        <v>44</v>
      </c>
      <c r="N64" s="117" t="s">
        <v>959</v>
      </c>
      <c r="O64" s="114" t="s">
        <v>1001</v>
      </c>
      <c r="P64" s="70" t="s">
        <v>46</v>
      </c>
      <c r="Q64" s="70" t="s">
        <v>63</v>
      </c>
      <c r="R64" s="125">
        <v>21406</v>
      </c>
      <c r="S64" s="83">
        <f>+R64*0.15</f>
        <v>3210.9</v>
      </c>
      <c r="T64" s="116">
        <v>45778</v>
      </c>
      <c r="U64" s="119">
        <f t="shared" si="41"/>
        <v>24616.9</v>
      </c>
      <c r="V64" s="119">
        <v>23140</v>
      </c>
      <c r="W64" s="119">
        <f t="shared" si="73"/>
        <v>12308.45</v>
      </c>
      <c r="X64" s="125">
        <f t="shared" si="70"/>
        <v>6154.2250000000004</v>
      </c>
      <c r="Y64" s="118">
        <f t="shared" si="75"/>
        <v>4677.3249999999989</v>
      </c>
      <c r="Z64" s="118">
        <f t="shared" si="74"/>
        <v>23140</v>
      </c>
      <c r="AA64" s="119">
        <v>30</v>
      </c>
      <c r="AB64" s="115">
        <v>18</v>
      </c>
      <c r="AC64" s="115">
        <v>1.5</v>
      </c>
      <c r="AD64" s="115">
        <v>1</v>
      </c>
      <c r="AE64" s="115"/>
      <c r="AF64" s="115">
        <f t="shared" si="43"/>
        <v>17.5</v>
      </c>
      <c r="AG64" s="115">
        <f t="shared" si="44"/>
        <v>47.5</v>
      </c>
      <c r="AH64" s="101">
        <f t="shared" si="18"/>
        <v>30</v>
      </c>
      <c r="AI64" s="118">
        <f t="shared" si="45"/>
        <v>24617</v>
      </c>
      <c r="AJ64" s="118">
        <f t="shared" si="60"/>
        <v>23140</v>
      </c>
      <c r="AK64" s="118">
        <f t="shared" si="61"/>
        <v>12308</v>
      </c>
      <c r="AL64" s="118">
        <f t="shared" si="62"/>
        <v>6154</v>
      </c>
      <c r="AM64" s="118">
        <f t="shared" si="63"/>
        <v>4677</v>
      </c>
      <c r="AN64" s="119">
        <f t="shared" si="64"/>
        <v>0</v>
      </c>
      <c r="AO64" s="119">
        <f t="shared" si="52"/>
        <v>1477</v>
      </c>
      <c r="AP64" s="118">
        <f t="shared" si="65"/>
        <v>24616</v>
      </c>
      <c r="AQ64" s="118">
        <v>0</v>
      </c>
      <c r="AR64" s="118">
        <f t="shared" si="66"/>
        <v>0</v>
      </c>
      <c r="AS64" s="118">
        <f t="shared" si="67"/>
        <v>0</v>
      </c>
      <c r="AT64" s="118">
        <f t="shared" si="68"/>
        <v>1477</v>
      </c>
      <c r="AU64" s="118">
        <f t="shared" si="69"/>
        <v>1477</v>
      </c>
      <c r="AV64" s="118"/>
      <c r="AW64" s="118">
        <v>0</v>
      </c>
      <c r="AX64" s="118">
        <f t="shared" si="49"/>
        <v>0</v>
      </c>
      <c r="AY64" s="120"/>
      <c r="AZ64" s="120">
        <v>1000</v>
      </c>
      <c r="BA64" s="118">
        <f t="shared" si="53"/>
        <v>20662</v>
      </c>
      <c r="BB64" s="122" t="s">
        <v>70</v>
      </c>
      <c r="BC64" s="122" t="s">
        <v>370</v>
      </c>
      <c r="BD64" s="132" t="s">
        <v>371</v>
      </c>
      <c r="BE64" s="102"/>
      <c r="BF64" s="102"/>
      <c r="BG64" s="70" t="s">
        <v>48</v>
      </c>
      <c r="BH64" s="125">
        <v>0</v>
      </c>
      <c r="BI64" s="156"/>
      <c r="BJ64" s="70"/>
    </row>
    <row r="65" spans="1:62" s="13" customFormat="1" x14ac:dyDescent="0.25">
      <c r="A65" s="70">
        <f t="shared" si="76"/>
        <v>63</v>
      </c>
      <c r="B65" s="122">
        <v>1992</v>
      </c>
      <c r="C65" s="108" t="s">
        <v>41</v>
      </c>
      <c r="D65" s="99" t="s">
        <v>381</v>
      </c>
      <c r="E65" s="114" t="s">
        <v>362</v>
      </c>
      <c r="F65" s="114" t="s">
        <v>437</v>
      </c>
      <c r="G65" s="115">
        <v>0</v>
      </c>
      <c r="H65" s="122" t="s">
        <v>43</v>
      </c>
      <c r="I65" s="144">
        <v>44789</v>
      </c>
      <c r="J65" s="137"/>
      <c r="K65" s="116"/>
      <c r="L65" s="102"/>
      <c r="M65" s="128" t="s">
        <v>44</v>
      </c>
      <c r="N65" s="117" t="s">
        <v>947</v>
      </c>
      <c r="O65" s="114" t="s">
        <v>998</v>
      </c>
      <c r="P65" s="70" t="s">
        <v>46</v>
      </c>
      <c r="Q65" s="70" t="s">
        <v>63</v>
      </c>
      <c r="R65" s="125">
        <f>22979-96</f>
        <v>22883</v>
      </c>
      <c r="S65" s="83">
        <f>2300+2500</f>
        <v>4800</v>
      </c>
      <c r="T65" s="116" t="s">
        <v>1111</v>
      </c>
      <c r="U65" s="119">
        <f t="shared" si="41"/>
        <v>27683</v>
      </c>
      <c r="V65" s="119">
        <v>26003</v>
      </c>
      <c r="W65" s="119">
        <v>14000</v>
      </c>
      <c r="X65" s="125">
        <f t="shared" si="70"/>
        <v>7000</v>
      </c>
      <c r="Y65" s="118">
        <f t="shared" si="75"/>
        <v>5003</v>
      </c>
      <c r="Z65" s="118">
        <f t="shared" si="74"/>
        <v>26003</v>
      </c>
      <c r="AA65" s="119">
        <v>30</v>
      </c>
      <c r="AB65" s="115">
        <v>10</v>
      </c>
      <c r="AC65" s="115">
        <v>1</v>
      </c>
      <c r="AD65" s="115">
        <v>1</v>
      </c>
      <c r="AE65" s="115"/>
      <c r="AF65" s="115">
        <f t="shared" si="43"/>
        <v>10</v>
      </c>
      <c r="AG65" s="115">
        <f t="shared" si="44"/>
        <v>40</v>
      </c>
      <c r="AH65" s="101">
        <f t="shared" si="18"/>
        <v>30</v>
      </c>
      <c r="AI65" s="118">
        <f t="shared" si="45"/>
        <v>27683</v>
      </c>
      <c r="AJ65" s="118">
        <f t="shared" si="60"/>
        <v>26003</v>
      </c>
      <c r="AK65" s="118">
        <f t="shared" si="61"/>
        <v>14000</v>
      </c>
      <c r="AL65" s="118">
        <f t="shared" si="62"/>
        <v>7000</v>
      </c>
      <c r="AM65" s="118">
        <f t="shared" si="63"/>
        <v>5003</v>
      </c>
      <c r="AN65" s="119">
        <f t="shared" si="64"/>
        <v>0</v>
      </c>
      <c r="AO65" s="119">
        <f t="shared" si="52"/>
        <v>1680</v>
      </c>
      <c r="AP65" s="118">
        <f t="shared" si="65"/>
        <v>27683</v>
      </c>
      <c r="AQ65" s="118">
        <v>0</v>
      </c>
      <c r="AR65" s="118">
        <f t="shared" si="66"/>
        <v>0</v>
      </c>
      <c r="AS65" s="118">
        <f t="shared" si="67"/>
        <v>0</v>
      </c>
      <c r="AT65" s="118">
        <f t="shared" si="68"/>
        <v>1680</v>
      </c>
      <c r="AU65" s="118">
        <f t="shared" si="69"/>
        <v>1680</v>
      </c>
      <c r="AV65" s="118">
        <v>0</v>
      </c>
      <c r="AW65" s="118">
        <v>0</v>
      </c>
      <c r="AX65" s="118">
        <f t="shared" si="49"/>
        <v>0</v>
      </c>
      <c r="AY65" s="120"/>
      <c r="AZ65" s="120">
        <v>0</v>
      </c>
      <c r="BA65" s="118">
        <f t="shared" si="53"/>
        <v>24323</v>
      </c>
      <c r="BB65" s="122" t="s">
        <v>393</v>
      </c>
      <c r="BC65" s="122" t="s">
        <v>51</v>
      </c>
      <c r="BD65" s="132" t="s">
        <v>410</v>
      </c>
      <c r="BE65" s="102"/>
      <c r="BF65" s="102"/>
      <c r="BG65" s="70" t="s">
        <v>48</v>
      </c>
      <c r="BH65" s="125">
        <v>0</v>
      </c>
      <c r="BI65" s="156"/>
      <c r="BJ65" s="70"/>
    </row>
    <row r="66" spans="1:62" s="13" customFormat="1" x14ac:dyDescent="0.25">
      <c r="A66" s="70">
        <f t="shared" si="76"/>
        <v>64</v>
      </c>
      <c r="B66" s="122">
        <v>1993</v>
      </c>
      <c r="C66" s="108" t="s">
        <v>41</v>
      </c>
      <c r="D66" s="99" t="s">
        <v>382</v>
      </c>
      <c r="E66" s="114" t="s">
        <v>363</v>
      </c>
      <c r="F66" s="114" t="s">
        <v>438</v>
      </c>
      <c r="G66" s="115">
        <v>0</v>
      </c>
      <c r="H66" s="122" t="s">
        <v>43</v>
      </c>
      <c r="I66" s="144">
        <v>44791</v>
      </c>
      <c r="J66" s="137"/>
      <c r="K66" s="116"/>
      <c r="L66" s="102"/>
      <c r="M66" s="128" t="s">
        <v>44</v>
      </c>
      <c r="N66" s="117" t="s">
        <v>959</v>
      </c>
      <c r="O66" s="114" t="s">
        <v>976</v>
      </c>
      <c r="P66" s="70" t="s">
        <v>46</v>
      </c>
      <c r="Q66" s="70" t="s">
        <v>63</v>
      </c>
      <c r="R66" s="125">
        <v>21281</v>
      </c>
      <c r="S66" s="83">
        <f>+R66*0.15</f>
        <v>3192.15</v>
      </c>
      <c r="T66" s="116">
        <v>45778</v>
      </c>
      <c r="U66" s="119">
        <f t="shared" si="41"/>
        <v>24473.15</v>
      </c>
      <c r="V66" s="119">
        <v>23005</v>
      </c>
      <c r="W66" s="119">
        <f>+U66*0.5</f>
        <v>12236.575000000001</v>
      </c>
      <c r="X66" s="125">
        <f t="shared" si="70"/>
        <v>6118.2875000000004</v>
      </c>
      <c r="Y66" s="118">
        <f t="shared" si="75"/>
        <v>4650.1374999999989</v>
      </c>
      <c r="Z66" s="118">
        <f t="shared" si="74"/>
        <v>23005</v>
      </c>
      <c r="AA66" s="119">
        <v>30</v>
      </c>
      <c r="AB66" s="115">
        <v>4.5</v>
      </c>
      <c r="AC66" s="115">
        <v>1</v>
      </c>
      <c r="AD66" s="115">
        <v>1</v>
      </c>
      <c r="AE66" s="115"/>
      <c r="AF66" s="115">
        <f t="shared" si="43"/>
        <v>4.5</v>
      </c>
      <c r="AG66" s="115">
        <f t="shared" si="44"/>
        <v>34.5</v>
      </c>
      <c r="AH66" s="101">
        <f t="shared" si="18"/>
        <v>30</v>
      </c>
      <c r="AI66" s="118">
        <f t="shared" si="45"/>
        <v>24473</v>
      </c>
      <c r="AJ66" s="118">
        <f t="shared" si="60"/>
        <v>23005</v>
      </c>
      <c r="AK66" s="118">
        <f t="shared" si="61"/>
        <v>12237</v>
      </c>
      <c r="AL66" s="118">
        <f t="shared" si="62"/>
        <v>6118</v>
      </c>
      <c r="AM66" s="118">
        <f t="shared" si="63"/>
        <v>4650</v>
      </c>
      <c r="AN66" s="119">
        <f t="shared" si="64"/>
        <v>0</v>
      </c>
      <c r="AO66" s="119">
        <f t="shared" si="52"/>
        <v>1468</v>
      </c>
      <c r="AP66" s="118">
        <f t="shared" si="65"/>
        <v>24473</v>
      </c>
      <c r="AQ66" s="118">
        <v>0</v>
      </c>
      <c r="AR66" s="118">
        <f t="shared" si="66"/>
        <v>0</v>
      </c>
      <c r="AS66" s="118">
        <f t="shared" si="67"/>
        <v>0</v>
      </c>
      <c r="AT66" s="118">
        <f t="shared" si="68"/>
        <v>1468</v>
      </c>
      <c r="AU66" s="118">
        <f t="shared" si="69"/>
        <v>1468</v>
      </c>
      <c r="AV66" s="118"/>
      <c r="AW66" s="118">
        <v>0</v>
      </c>
      <c r="AX66" s="118">
        <f t="shared" si="49"/>
        <v>0</v>
      </c>
      <c r="AY66" s="120"/>
      <c r="AZ66" s="120">
        <v>0</v>
      </c>
      <c r="BA66" s="118">
        <f t="shared" si="53"/>
        <v>21537</v>
      </c>
      <c r="BB66" s="122" t="s">
        <v>54</v>
      </c>
      <c r="BC66" s="122" t="s">
        <v>372</v>
      </c>
      <c r="BD66" s="132" t="s">
        <v>373</v>
      </c>
      <c r="BE66" s="102"/>
      <c r="BF66" s="102"/>
      <c r="BG66" s="70" t="s">
        <v>48</v>
      </c>
      <c r="BH66" s="125">
        <v>0</v>
      </c>
      <c r="BI66" s="156"/>
      <c r="BJ66" s="70"/>
    </row>
    <row r="67" spans="1:62" s="13" customFormat="1" x14ac:dyDescent="0.25">
      <c r="A67" s="70">
        <f t="shared" si="76"/>
        <v>65</v>
      </c>
      <c r="B67" s="122">
        <v>2001</v>
      </c>
      <c r="C67" s="108" t="s">
        <v>41</v>
      </c>
      <c r="D67" s="140" t="s">
        <v>453</v>
      </c>
      <c r="E67" s="114" t="s">
        <v>364</v>
      </c>
      <c r="F67" s="114" t="s">
        <v>439</v>
      </c>
      <c r="G67" s="115">
        <v>0</v>
      </c>
      <c r="H67" s="122" t="s">
        <v>43</v>
      </c>
      <c r="I67" s="144">
        <v>44799</v>
      </c>
      <c r="J67" s="137"/>
      <c r="K67" s="116"/>
      <c r="L67" s="102"/>
      <c r="M67" s="128" t="s">
        <v>44</v>
      </c>
      <c r="N67" s="117" t="s">
        <v>945</v>
      </c>
      <c r="O67" s="114" t="s">
        <v>307</v>
      </c>
      <c r="P67" s="70" t="s">
        <v>46</v>
      </c>
      <c r="Q67" s="70" t="s">
        <v>63</v>
      </c>
      <c r="R67" s="125">
        <v>58782</v>
      </c>
      <c r="S67" s="83">
        <f>+R67*0.07</f>
        <v>4114.7400000000007</v>
      </c>
      <c r="T67" s="116">
        <v>45778</v>
      </c>
      <c r="U67" s="119">
        <f t="shared" si="41"/>
        <v>62896.74</v>
      </c>
      <c r="V67" s="119">
        <v>61097</v>
      </c>
      <c r="W67" s="119">
        <f>+U67*0.5</f>
        <v>31448.37</v>
      </c>
      <c r="X67" s="125">
        <f t="shared" si="70"/>
        <v>15724.184999999999</v>
      </c>
      <c r="Y67" s="118">
        <f t="shared" si="75"/>
        <v>13924.445000000002</v>
      </c>
      <c r="Z67" s="118">
        <f t="shared" si="74"/>
        <v>61097</v>
      </c>
      <c r="AA67" s="119">
        <v>30</v>
      </c>
      <c r="AB67" s="115">
        <v>23.5</v>
      </c>
      <c r="AC67" s="115">
        <v>0.5</v>
      </c>
      <c r="AD67" s="115">
        <v>1</v>
      </c>
      <c r="AE67" s="115"/>
      <c r="AF67" s="115">
        <f t="shared" si="43"/>
        <v>24</v>
      </c>
      <c r="AG67" s="115">
        <f t="shared" si="44"/>
        <v>54</v>
      </c>
      <c r="AH67" s="101">
        <f t="shared" si="18"/>
        <v>30</v>
      </c>
      <c r="AI67" s="118">
        <f t="shared" si="45"/>
        <v>62897</v>
      </c>
      <c r="AJ67" s="118">
        <f t="shared" si="60"/>
        <v>61097</v>
      </c>
      <c r="AK67" s="118">
        <f t="shared" si="61"/>
        <v>31448</v>
      </c>
      <c r="AL67" s="118">
        <f t="shared" si="62"/>
        <v>15724</v>
      </c>
      <c r="AM67" s="118">
        <f t="shared" si="63"/>
        <v>13924</v>
      </c>
      <c r="AN67" s="119">
        <f t="shared" si="64"/>
        <v>0</v>
      </c>
      <c r="AO67" s="119">
        <f t="shared" si="52"/>
        <v>1800</v>
      </c>
      <c r="AP67" s="118">
        <f t="shared" si="65"/>
        <v>62896</v>
      </c>
      <c r="AQ67" s="118">
        <v>0</v>
      </c>
      <c r="AR67" s="118">
        <f t="shared" si="66"/>
        <v>0</v>
      </c>
      <c r="AS67" s="118">
        <f t="shared" si="67"/>
        <v>0</v>
      </c>
      <c r="AT67" s="118">
        <f t="shared" si="68"/>
        <v>1800</v>
      </c>
      <c r="AU67" s="118">
        <f t="shared" si="69"/>
        <v>1800</v>
      </c>
      <c r="AV67" s="118">
        <v>210000</v>
      </c>
      <c r="AW67" s="118">
        <v>0</v>
      </c>
      <c r="AX67" s="118">
        <f t="shared" si="49"/>
        <v>210000</v>
      </c>
      <c r="AY67" s="120"/>
      <c r="AZ67" s="120">
        <v>0</v>
      </c>
      <c r="BA67" s="118">
        <f t="shared" si="53"/>
        <v>59296</v>
      </c>
      <c r="BB67" s="122" t="s">
        <v>393</v>
      </c>
      <c r="BC67" s="122" t="s">
        <v>1064</v>
      </c>
      <c r="BD67" s="132" t="s">
        <v>1413</v>
      </c>
      <c r="BE67" s="102"/>
      <c r="BF67" s="102"/>
      <c r="BG67" s="70" t="s">
        <v>48</v>
      </c>
      <c r="BH67" s="125">
        <v>0</v>
      </c>
      <c r="BI67" s="156"/>
      <c r="BJ67" s="70"/>
    </row>
    <row r="68" spans="1:62" s="13" customFormat="1" x14ac:dyDescent="0.25">
      <c r="A68" s="70">
        <f t="shared" si="76"/>
        <v>66</v>
      </c>
      <c r="B68" s="122">
        <v>2012</v>
      </c>
      <c r="C68" s="108" t="s">
        <v>41</v>
      </c>
      <c r="D68" s="140" t="s">
        <v>463</v>
      </c>
      <c r="E68" s="114" t="s">
        <v>347</v>
      </c>
      <c r="F68" s="141" t="s">
        <v>480</v>
      </c>
      <c r="G68" s="115">
        <v>0</v>
      </c>
      <c r="H68" s="122" t="s">
        <v>43</v>
      </c>
      <c r="I68" s="144">
        <v>44767</v>
      </c>
      <c r="J68" s="137"/>
      <c r="K68" s="116">
        <v>44805</v>
      </c>
      <c r="L68" s="102"/>
      <c r="M68" s="128" t="s">
        <v>44</v>
      </c>
      <c r="N68" s="117" t="s">
        <v>959</v>
      </c>
      <c r="O68" s="114" t="s">
        <v>110</v>
      </c>
      <c r="P68" s="70" t="s">
        <v>46</v>
      </c>
      <c r="Q68" s="70" t="s">
        <v>63</v>
      </c>
      <c r="R68" s="125">
        <v>19719</v>
      </c>
      <c r="S68" s="83">
        <f>+R68*0.25</f>
        <v>4929.75</v>
      </c>
      <c r="T68" s="74">
        <v>45778</v>
      </c>
      <c r="U68" s="119">
        <f t="shared" si="41"/>
        <v>24648.75</v>
      </c>
      <c r="V68" s="119">
        <v>23170</v>
      </c>
      <c r="W68" s="119">
        <f>+U68*0.5</f>
        <v>12324.375</v>
      </c>
      <c r="X68" s="125">
        <f>+W68*0.5</f>
        <v>6162.1875</v>
      </c>
      <c r="Y68" s="118">
        <f t="shared" si="75"/>
        <v>4683.4375</v>
      </c>
      <c r="Z68" s="118">
        <f t="shared" si="74"/>
        <v>23170</v>
      </c>
      <c r="AA68" s="119">
        <v>30</v>
      </c>
      <c r="AB68" s="115">
        <v>1</v>
      </c>
      <c r="AC68" s="115">
        <v>0</v>
      </c>
      <c r="AD68" s="115">
        <v>2</v>
      </c>
      <c r="AE68" s="115"/>
      <c r="AF68" s="115">
        <f t="shared" si="43"/>
        <v>3</v>
      </c>
      <c r="AG68" s="115">
        <f t="shared" si="44"/>
        <v>33</v>
      </c>
      <c r="AH68" s="101">
        <f t="shared" ref="AH68:AH131" si="77">IF(AG68&gt;30,30,IF(AG68&lt;=30,AG68))</f>
        <v>30</v>
      </c>
      <c r="AI68" s="118">
        <f t="shared" si="45"/>
        <v>24649</v>
      </c>
      <c r="AJ68" s="118">
        <f t="shared" si="60"/>
        <v>23170</v>
      </c>
      <c r="AK68" s="118">
        <f t="shared" si="61"/>
        <v>12324</v>
      </c>
      <c r="AL68" s="118">
        <f t="shared" si="62"/>
        <v>6162</v>
      </c>
      <c r="AM68" s="118">
        <f t="shared" si="63"/>
        <v>4683</v>
      </c>
      <c r="AN68" s="119">
        <f t="shared" si="64"/>
        <v>0</v>
      </c>
      <c r="AO68" s="119">
        <f t="shared" si="52"/>
        <v>1479</v>
      </c>
      <c r="AP68" s="118">
        <f t="shared" si="65"/>
        <v>24648</v>
      </c>
      <c r="AQ68" s="118">
        <v>0</v>
      </c>
      <c r="AR68" s="118">
        <f t="shared" si="66"/>
        <v>0</v>
      </c>
      <c r="AS68" s="118">
        <f t="shared" si="67"/>
        <v>0</v>
      </c>
      <c r="AT68" s="118">
        <f t="shared" si="68"/>
        <v>1479</v>
      </c>
      <c r="AU68" s="118">
        <f t="shared" si="69"/>
        <v>1479</v>
      </c>
      <c r="AV68" s="118">
        <v>0</v>
      </c>
      <c r="AW68" s="118">
        <v>0</v>
      </c>
      <c r="AX68" s="118">
        <f t="shared" si="49"/>
        <v>0</v>
      </c>
      <c r="AY68" s="120"/>
      <c r="AZ68" s="120">
        <v>0</v>
      </c>
      <c r="BA68" s="118">
        <f t="shared" si="53"/>
        <v>21690</v>
      </c>
      <c r="BB68" s="122" t="s">
        <v>393</v>
      </c>
      <c r="BC68" s="122" t="s">
        <v>106</v>
      </c>
      <c r="BD68" s="132" t="s">
        <v>399</v>
      </c>
      <c r="BE68" s="102"/>
      <c r="BF68" s="102"/>
      <c r="BG68" s="70" t="s">
        <v>48</v>
      </c>
      <c r="BH68" s="125">
        <v>0</v>
      </c>
      <c r="BI68" s="156"/>
      <c r="BJ68" s="70"/>
    </row>
    <row r="69" spans="1:62" s="13" customFormat="1" x14ac:dyDescent="0.25">
      <c r="A69" s="70">
        <f t="shared" si="76"/>
        <v>67</v>
      </c>
      <c r="B69" s="122">
        <v>2014</v>
      </c>
      <c r="C69" s="108" t="s">
        <v>41</v>
      </c>
      <c r="D69" s="140" t="s">
        <v>387</v>
      </c>
      <c r="E69" s="114" t="s">
        <v>348</v>
      </c>
      <c r="F69" s="114" t="s">
        <v>440</v>
      </c>
      <c r="G69" s="115">
        <v>0</v>
      </c>
      <c r="H69" s="122" t="s">
        <v>43</v>
      </c>
      <c r="I69" s="144">
        <v>44767</v>
      </c>
      <c r="J69" s="137"/>
      <c r="K69" s="116">
        <v>44805</v>
      </c>
      <c r="L69" s="102"/>
      <c r="M69" s="128" t="s">
        <v>44</v>
      </c>
      <c r="N69" s="117" t="s">
        <v>959</v>
      </c>
      <c r="O69" s="114" t="s">
        <v>110</v>
      </c>
      <c r="P69" s="70" t="s">
        <v>46</v>
      </c>
      <c r="Q69" s="70" t="s">
        <v>63</v>
      </c>
      <c r="R69" s="125">
        <v>19719</v>
      </c>
      <c r="S69" s="83">
        <f>+R69*0.25</f>
        <v>4929.75</v>
      </c>
      <c r="T69" s="74">
        <v>45778</v>
      </c>
      <c r="U69" s="119">
        <f t="shared" si="41"/>
        <v>24648.75</v>
      </c>
      <c r="V69" s="119">
        <v>23170</v>
      </c>
      <c r="W69" s="119">
        <f>+U69*0.5</f>
        <v>12324.375</v>
      </c>
      <c r="X69" s="125">
        <f t="shared" si="70"/>
        <v>6162.1875</v>
      </c>
      <c r="Y69" s="118">
        <f t="shared" si="75"/>
        <v>4683.4375</v>
      </c>
      <c r="Z69" s="118">
        <f t="shared" si="74"/>
        <v>23170</v>
      </c>
      <c r="AA69" s="119">
        <v>30</v>
      </c>
      <c r="AB69" s="115">
        <v>18</v>
      </c>
      <c r="AC69" s="115">
        <v>4</v>
      </c>
      <c r="AD69" s="115">
        <v>1</v>
      </c>
      <c r="AE69" s="115"/>
      <c r="AF69" s="115">
        <f t="shared" si="43"/>
        <v>15</v>
      </c>
      <c r="AG69" s="115">
        <f t="shared" si="44"/>
        <v>45</v>
      </c>
      <c r="AH69" s="101">
        <f t="shared" si="77"/>
        <v>30</v>
      </c>
      <c r="AI69" s="118">
        <f t="shared" si="45"/>
        <v>24649</v>
      </c>
      <c r="AJ69" s="118">
        <f t="shared" si="60"/>
        <v>23170</v>
      </c>
      <c r="AK69" s="118">
        <f t="shared" si="61"/>
        <v>12324</v>
      </c>
      <c r="AL69" s="118">
        <f t="shared" si="62"/>
        <v>6162</v>
      </c>
      <c r="AM69" s="118">
        <f t="shared" si="63"/>
        <v>4683</v>
      </c>
      <c r="AN69" s="119">
        <f t="shared" si="64"/>
        <v>0</v>
      </c>
      <c r="AO69" s="119">
        <f t="shared" si="52"/>
        <v>1479</v>
      </c>
      <c r="AP69" s="118">
        <f t="shared" si="65"/>
        <v>24648</v>
      </c>
      <c r="AQ69" s="118">
        <v>0</v>
      </c>
      <c r="AR69" s="118">
        <f t="shared" si="66"/>
        <v>0</v>
      </c>
      <c r="AS69" s="118">
        <f t="shared" si="67"/>
        <v>0</v>
      </c>
      <c r="AT69" s="118">
        <f t="shared" si="68"/>
        <v>1479</v>
      </c>
      <c r="AU69" s="118">
        <f t="shared" si="69"/>
        <v>1479</v>
      </c>
      <c r="AV69" s="118"/>
      <c r="AW69" s="118">
        <v>0</v>
      </c>
      <c r="AX69" s="118">
        <f t="shared" si="49"/>
        <v>0</v>
      </c>
      <c r="AY69" s="120"/>
      <c r="AZ69" s="120">
        <v>0</v>
      </c>
      <c r="BA69" s="118">
        <f t="shared" si="53"/>
        <v>21690</v>
      </c>
      <c r="BB69" s="122" t="s">
        <v>70</v>
      </c>
      <c r="BC69" s="122" t="s">
        <v>106</v>
      </c>
      <c r="BD69" s="132" t="s">
        <v>375</v>
      </c>
      <c r="BE69" s="102"/>
      <c r="BF69" s="102"/>
      <c r="BG69" s="70" t="s">
        <v>48</v>
      </c>
      <c r="BH69" s="125">
        <v>0</v>
      </c>
      <c r="BI69" s="156"/>
      <c r="BJ69" s="70"/>
    </row>
    <row r="70" spans="1:62" s="196" customFormat="1" x14ac:dyDescent="0.25">
      <c r="A70" s="197">
        <f t="shared" si="76"/>
        <v>68</v>
      </c>
      <c r="B70" s="198">
        <v>2030</v>
      </c>
      <c r="C70" s="199" t="s">
        <v>41</v>
      </c>
      <c r="D70" s="200" t="s">
        <v>402</v>
      </c>
      <c r="E70" s="201" t="s">
        <v>358</v>
      </c>
      <c r="F70" s="201" t="s">
        <v>441</v>
      </c>
      <c r="G70" s="202">
        <v>0</v>
      </c>
      <c r="H70" s="198" t="s">
        <v>43</v>
      </c>
      <c r="I70" s="182">
        <v>44798</v>
      </c>
      <c r="J70" s="137"/>
      <c r="K70" s="203">
        <v>44866</v>
      </c>
      <c r="L70" s="102"/>
      <c r="M70" s="204" t="s">
        <v>44</v>
      </c>
      <c r="N70" s="205" t="s">
        <v>959</v>
      </c>
      <c r="O70" s="201" t="s">
        <v>976</v>
      </c>
      <c r="P70" s="197" t="s">
        <v>46</v>
      </c>
      <c r="Q70" s="197" t="s">
        <v>389</v>
      </c>
      <c r="R70" s="206">
        <v>19468</v>
      </c>
      <c r="S70" s="207">
        <f>+R70*0.2</f>
        <v>3893.6000000000004</v>
      </c>
      <c r="T70" s="208">
        <v>45778</v>
      </c>
      <c r="U70" s="209">
        <f>R70+S70</f>
        <v>23361.599999999999</v>
      </c>
      <c r="V70" s="209">
        <v>21960</v>
      </c>
      <c r="W70" s="206">
        <f>+U70*0.5</f>
        <v>11680.8</v>
      </c>
      <c r="X70" s="206">
        <f t="shared" ref="X70:X72" si="78">+W70*0.5</f>
        <v>5840.4</v>
      </c>
      <c r="Y70" s="210">
        <f t="shared" ref="Y70:Y72" si="79">+V70-W70-X70</f>
        <v>4438.8000000000011</v>
      </c>
      <c r="Z70" s="210">
        <f t="shared" ref="Z70:Z85" si="80">W70+X70+Y70</f>
        <v>21960</v>
      </c>
      <c r="AA70" s="209">
        <v>30</v>
      </c>
      <c r="AB70" s="202"/>
      <c r="AC70" s="202">
        <v>30</v>
      </c>
      <c r="AD70" s="202">
        <v>0</v>
      </c>
      <c r="AE70" s="202"/>
      <c r="AF70" s="202">
        <f t="shared" si="43"/>
        <v>-30</v>
      </c>
      <c r="AG70" s="202">
        <f t="shared" si="44"/>
        <v>0</v>
      </c>
      <c r="AH70" s="211">
        <f t="shared" si="77"/>
        <v>0</v>
      </c>
      <c r="AI70" s="210">
        <f t="shared" si="45"/>
        <v>0</v>
      </c>
      <c r="AJ70" s="210">
        <f t="shared" si="60"/>
        <v>0</v>
      </c>
      <c r="AK70" s="210">
        <f t="shared" si="61"/>
        <v>0</v>
      </c>
      <c r="AL70" s="210">
        <f t="shared" si="62"/>
        <v>0</v>
      </c>
      <c r="AM70" s="210">
        <f t="shared" si="63"/>
        <v>0</v>
      </c>
      <c r="AN70" s="209">
        <f t="shared" si="64"/>
        <v>0</v>
      </c>
      <c r="AO70" s="209">
        <f t="shared" si="52"/>
        <v>0</v>
      </c>
      <c r="AP70" s="210">
        <f t="shared" si="65"/>
        <v>0</v>
      </c>
      <c r="AQ70" s="210">
        <v>0</v>
      </c>
      <c r="AR70" s="210">
        <f t="shared" si="66"/>
        <v>0</v>
      </c>
      <c r="AS70" s="210">
        <f t="shared" si="67"/>
        <v>0</v>
      </c>
      <c r="AT70" s="210">
        <f t="shared" si="68"/>
        <v>0</v>
      </c>
      <c r="AU70" s="210">
        <f t="shared" si="69"/>
        <v>0</v>
      </c>
      <c r="AV70" s="210">
        <v>10000</v>
      </c>
      <c r="AW70" s="210">
        <v>0</v>
      </c>
      <c r="AX70" s="210">
        <f t="shared" si="49"/>
        <v>10000</v>
      </c>
      <c r="AY70" s="212"/>
      <c r="AZ70" s="212">
        <v>0</v>
      </c>
      <c r="BA70" s="210">
        <f t="shared" si="53"/>
        <v>0</v>
      </c>
      <c r="BB70" s="193" t="s">
        <v>138</v>
      </c>
      <c r="BC70" s="194" t="s">
        <v>400</v>
      </c>
      <c r="BD70" s="213" t="s">
        <v>401</v>
      </c>
      <c r="BE70" s="214"/>
      <c r="BF70" s="102"/>
      <c r="BG70" s="197" t="s">
        <v>1480</v>
      </c>
      <c r="BH70" s="206" t="s">
        <v>1482</v>
      </c>
      <c r="BI70" s="156"/>
      <c r="BJ70" s="70"/>
    </row>
    <row r="71" spans="1:62" s="13" customFormat="1" x14ac:dyDescent="0.25">
      <c r="A71" s="70">
        <f t="shared" si="76"/>
        <v>69</v>
      </c>
      <c r="B71" s="122">
        <v>2025</v>
      </c>
      <c r="C71" s="108" t="s">
        <v>392</v>
      </c>
      <c r="D71" s="140" t="s">
        <v>403</v>
      </c>
      <c r="E71" s="114" t="s">
        <v>383</v>
      </c>
      <c r="F71" s="114" t="s">
        <v>442</v>
      </c>
      <c r="G71" s="115">
        <v>0</v>
      </c>
      <c r="H71" s="122" t="s">
        <v>43</v>
      </c>
      <c r="I71" s="82">
        <v>44810</v>
      </c>
      <c r="J71" s="137"/>
      <c r="K71" s="144">
        <v>44866</v>
      </c>
      <c r="L71" s="102"/>
      <c r="M71" s="128" t="s">
        <v>44</v>
      </c>
      <c r="N71" s="117" t="s">
        <v>959</v>
      </c>
      <c r="O71" s="114" t="s">
        <v>1000</v>
      </c>
      <c r="P71" s="70" t="s">
        <v>63</v>
      </c>
      <c r="Q71" s="70" t="s">
        <v>389</v>
      </c>
      <c r="R71" s="125">
        <v>14500</v>
      </c>
      <c r="S71" s="83">
        <f>+R71*0.2</f>
        <v>2900</v>
      </c>
      <c r="T71" s="116">
        <v>45778</v>
      </c>
      <c r="U71" s="119">
        <f t="shared" ref="U71:U78" si="81">R71+S71</f>
        <v>17400</v>
      </c>
      <c r="V71" s="119">
        <v>15597</v>
      </c>
      <c r="W71" s="119">
        <v>10800</v>
      </c>
      <c r="X71" s="125">
        <f>+V71-W71</f>
        <v>4797</v>
      </c>
      <c r="Y71" s="118">
        <f t="shared" si="79"/>
        <v>0</v>
      </c>
      <c r="Z71" s="118">
        <f t="shared" si="80"/>
        <v>15597</v>
      </c>
      <c r="AA71" s="119">
        <v>30</v>
      </c>
      <c r="AB71" s="115">
        <v>10.5</v>
      </c>
      <c r="AC71" s="115">
        <v>5</v>
      </c>
      <c r="AD71" s="115">
        <v>2</v>
      </c>
      <c r="AE71" s="115"/>
      <c r="AF71" s="115">
        <f t="shared" si="43"/>
        <v>7.5</v>
      </c>
      <c r="AG71" s="115">
        <f t="shared" si="44"/>
        <v>37.5</v>
      </c>
      <c r="AH71" s="101">
        <f t="shared" si="77"/>
        <v>30</v>
      </c>
      <c r="AI71" s="118">
        <f t="shared" ref="AI71:AI94" si="82">ROUND(U71*AH71/AA71,0)</f>
        <v>17400</v>
      </c>
      <c r="AJ71" s="118">
        <f t="shared" si="60"/>
        <v>15597</v>
      </c>
      <c r="AK71" s="118">
        <f t="shared" si="61"/>
        <v>10800</v>
      </c>
      <c r="AL71" s="118">
        <f t="shared" si="62"/>
        <v>4797</v>
      </c>
      <c r="AM71" s="118">
        <f t="shared" si="63"/>
        <v>0</v>
      </c>
      <c r="AN71" s="119">
        <f t="shared" si="64"/>
        <v>507</v>
      </c>
      <c r="AO71" s="119">
        <f t="shared" si="52"/>
        <v>1296</v>
      </c>
      <c r="AP71" s="118">
        <f t="shared" si="65"/>
        <v>17400</v>
      </c>
      <c r="AQ71" s="118">
        <v>0</v>
      </c>
      <c r="AR71" s="118">
        <f t="shared" si="66"/>
        <v>117</v>
      </c>
      <c r="AS71" s="118">
        <f t="shared" si="67"/>
        <v>507</v>
      </c>
      <c r="AT71" s="118">
        <f t="shared" si="68"/>
        <v>1296</v>
      </c>
      <c r="AU71" s="118">
        <f t="shared" si="69"/>
        <v>1296</v>
      </c>
      <c r="AV71" s="118"/>
      <c r="AW71" s="118">
        <v>0</v>
      </c>
      <c r="AX71" s="118">
        <f t="shared" si="49"/>
        <v>0</v>
      </c>
      <c r="AY71" s="120"/>
      <c r="AZ71" s="120">
        <v>1000</v>
      </c>
      <c r="BA71" s="118">
        <f t="shared" si="53"/>
        <v>13184</v>
      </c>
      <c r="BB71" s="122" t="s">
        <v>134</v>
      </c>
      <c r="BC71" s="138" t="s">
        <v>395</v>
      </c>
      <c r="BD71" s="145" t="s">
        <v>396</v>
      </c>
      <c r="BE71" s="102"/>
      <c r="BF71" s="102"/>
      <c r="BG71" s="70" t="s">
        <v>48</v>
      </c>
      <c r="BH71" s="125">
        <v>0</v>
      </c>
      <c r="BI71" s="156"/>
      <c r="BJ71" s="70"/>
    </row>
    <row r="72" spans="1:62" s="13" customFormat="1" x14ac:dyDescent="0.25">
      <c r="A72" s="70">
        <f t="shared" si="76"/>
        <v>70</v>
      </c>
      <c r="B72" s="122">
        <v>2027</v>
      </c>
      <c r="C72" s="108" t="s">
        <v>41</v>
      </c>
      <c r="D72" s="140" t="s">
        <v>404</v>
      </c>
      <c r="E72" s="114" t="s">
        <v>384</v>
      </c>
      <c r="F72" s="114" t="s">
        <v>443</v>
      </c>
      <c r="G72" s="115">
        <v>0</v>
      </c>
      <c r="H72" s="122" t="s">
        <v>43</v>
      </c>
      <c r="I72" s="82">
        <v>44816</v>
      </c>
      <c r="J72" s="137"/>
      <c r="K72" s="144">
        <v>44866</v>
      </c>
      <c r="L72" s="102"/>
      <c r="M72" s="128" t="s">
        <v>44</v>
      </c>
      <c r="N72" s="117" t="s">
        <v>959</v>
      </c>
      <c r="O72" s="114" t="s">
        <v>975</v>
      </c>
      <c r="P72" s="70" t="s">
        <v>46</v>
      </c>
      <c r="Q72" s="70" t="s">
        <v>412</v>
      </c>
      <c r="R72" s="125">
        <v>25000</v>
      </c>
      <c r="S72" s="83">
        <f>+R72*0.07</f>
        <v>1750.0000000000002</v>
      </c>
      <c r="T72" s="74">
        <v>45962</v>
      </c>
      <c r="U72" s="119">
        <f t="shared" si="81"/>
        <v>26750</v>
      </c>
      <c r="V72" s="119">
        <v>25145</v>
      </c>
      <c r="W72" s="119">
        <f>+U72*0.5</f>
        <v>13375</v>
      </c>
      <c r="X72" s="125">
        <f t="shared" si="78"/>
        <v>6687.5</v>
      </c>
      <c r="Y72" s="118">
        <f t="shared" si="79"/>
        <v>5082.5</v>
      </c>
      <c r="Z72" s="118">
        <f t="shared" si="80"/>
        <v>25145</v>
      </c>
      <c r="AA72" s="119">
        <v>30</v>
      </c>
      <c r="AB72" s="115">
        <v>6</v>
      </c>
      <c r="AC72" s="115">
        <v>1.5</v>
      </c>
      <c r="AD72" s="115">
        <v>1</v>
      </c>
      <c r="AE72" s="115"/>
      <c r="AF72" s="115">
        <f t="shared" si="43"/>
        <v>5.5</v>
      </c>
      <c r="AG72" s="115">
        <f t="shared" ref="AG72:AG86" si="83">+AF72+AA72</f>
        <v>35.5</v>
      </c>
      <c r="AH72" s="101">
        <f t="shared" si="77"/>
        <v>30</v>
      </c>
      <c r="AI72" s="118">
        <f t="shared" si="82"/>
        <v>26750</v>
      </c>
      <c r="AJ72" s="118">
        <f t="shared" si="60"/>
        <v>25145</v>
      </c>
      <c r="AK72" s="118">
        <f t="shared" si="61"/>
        <v>13375</v>
      </c>
      <c r="AL72" s="118">
        <f t="shared" si="62"/>
        <v>6688</v>
      </c>
      <c r="AM72" s="118">
        <f t="shared" si="63"/>
        <v>5083</v>
      </c>
      <c r="AN72" s="119">
        <f t="shared" si="64"/>
        <v>0</v>
      </c>
      <c r="AO72" s="119">
        <f t="shared" si="52"/>
        <v>1605</v>
      </c>
      <c r="AP72" s="118">
        <f t="shared" si="65"/>
        <v>26751</v>
      </c>
      <c r="AQ72" s="118">
        <v>0</v>
      </c>
      <c r="AR72" s="118">
        <f t="shared" si="66"/>
        <v>0</v>
      </c>
      <c r="AS72" s="118">
        <f t="shared" si="67"/>
        <v>0</v>
      </c>
      <c r="AT72" s="118">
        <f t="shared" si="68"/>
        <v>1605</v>
      </c>
      <c r="AU72" s="118">
        <f t="shared" si="69"/>
        <v>1605</v>
      </c>
      <c r="AV72" s="118">
        <v>15000</v>
      </c>
      <c r="AW72" s="118">
        <v>5000</v>
      </c>
      <c r="AX72" s="118">
        <f t="shared" si="49"/>
        <v>10000</v>
      </c>
      <c r="AY72" s="120"/>
      <c r="AZ72" s="120">
        <v>0</v>
      </c>
      <c r="BA72" s="118">
        <f t="shared" si="53"/>
        <v>18541</v>
      </c>
      <c r="BB72" s="122" t="s">
        <v>134</v>
      </c>
      <c r="BC72" s="138" t="s">
        <v>397</v>
      </c>
      <c r="BD72" s="145" t="s">
        <v>398</v>
      </c>
      <c r="BE72" s="102"/>
      <c r="BF72" s="102"/>
      <c r="BG72" s="70" t="s">
        <v>48</v>
      </c>
      <c r="BH72" s="125">
        <v>0</v>
      </c>
      <c r="BI72" s="156"/>
      <c r="BJ72" s="70"/>
    </row>
    <row r="73" spans="1:62" s="13" customFormat="1" x14ac:dyDescent="0.25">
      <c r="A73" s="70">
        <f t="shared" si="76"/>
        <v>71</v>
      </c>
      <c r="B73" s="122">
        <v>2036</v>
      </c>
      <c r="C73" s="108" t="s">
        <v>41</v>
      </c>
      <c r="D73" s="140" t="s">
        <v>415</v>
      </c>
      <c r="E73" s="114" t="s">
        <v>414</v>
      </c>
      <c r="F73" s="141" t="s">
        <v>450</v>
      </c>
      <c r="G73" s="115">
        <v>0</v>
      </c>
      <c r="H73" s="122" t="s">
        <v>43</v>
      </c>
      <c r="I73" s="82">
        <v>44412</v>
      </c>
      <c r="J73" s="137"/>
      <c r="K73" s="144">
        <v>44927</v>
      </c>
      <c r="L73" s="102"/>
      <c r="M73" s="128" t="s">
        <v>44</v>
      </c>
      <c r="N73" s="117" t="s">
        <v>940</v>
      </c>
      <c r="O73" s="114" t="s">
        <v>977</v>
      </c>
      <c r="P73" s="70" t="s">
        <v>46</v>
      </c>
      <c r="Q73" s="70" t="s">
        <v>63</v>
      </c>
      <c r="R73" s="125">
        <v>21075</v>
      </c>
      <c r="S73" s="125">
        <f>+R73*0.15</f>
        <v>3161.25</v>
      </c>
      <c r="T73" s="116">
        <v>45778</v>
      </c>
      <c r="U73" s="119">
        <f t="shared" si="81"/>
        <v>24236.25</v>
      </c>
      <c r="V73" s="119">
        <v>22782</v>
      </c>
      <c r="W73" s="119">
        <f t="shared" ref="W73:W78" si="84">+U73*0.5</f>
        <v>12118.125</v>
      </c>
      <c r="X73" s="125">
        <f>+W73*50/100</f>
        <v>6059.0625</v>
      </c>
      <c r="Y73" s="118">
        <f t="shared" ref="Y73:Y79" si="85">+V73-W73-X73</f>
        <v>4604.8125</v>
      </c>
      <c r="Z73" s="118">
        <f t="shared" si="80"/>
        <v>22782</v>
      </c>
      <c r="AA73" s="119">
        <v>30</v>
      </c>
      <c r="AB73" s="115">
        <v>6.5</v>
      </c>
      <c r="AC73" s="115">
        <v>3</v>
      </c>
      <c r="AD73" s="115">
        <v>1</v>
      </c>
      <c r="AE73" s="115"/>
      <c r="AF73" s="115">
        <f t="shared" ref="AF73:AF100" si="86">AB73+AD73+AE73-AC73</f>
        <v>4.5</v>
      </c>
      <c r="AG73" s="115">
        <f t="shared" si="83"/>
        <v>34.5</v>
      </c>
      <c r="AH73" s="101">
        <f t="shared" si="77"/>
        <v>30</v>
      </c>
      <c r="AI73" s="118">
        <f t="shared" si="82"/>
        <v>24236</v>
      </c>
      <c r="AJ73" s="118">
        <f t="shared" si="60"/>
        <v>22782</v>
      </c>
      <c r="AK73" s="118">
        <f t="shared" si="61"/>
        <v>12118</v>
      </c>
      <c r="AL73" s="118">
        <f t="shared" si="62"/>
        <v>6059</v>
      </c>
      <c r="AM73" s="118">
        <f t="shared" si="63"/>
        <v>4605</v>
      </c>
      <c r="AN73" s="119">
        <f t="shared" si="64"/>
        <v>0</v>
      </c>
      <c r="AO73" s="119">
        <f t="shared" si="52"/>
        <v>1454</v>
      </c>
      <c r="AP73" s="118">
        <f t="shared" si="65"/>
        <v>24236</v>
      </c>
      <c r="AQ73" s="118">
        <v>0</v>
      </c>
      <c r="AR73" s="118">
        <f t="shared" si="66"/>
        <v>0</v>
      </c>
      <c r="AS73" s="118">
        <f t="shared" si="67"/>
        <v>0</v>
      </c>
      <c r="AT73" s="118">
        <f t="shared" si="68"/>
        <v>1454</v>
      </c>
      <c r="AU73" s="118">
        <f t="shared" si="69"/>
        <v>1454</v>
      </c>
      <c r="AV73" s="118">
        <v>0</v>
      </c>
      <c r="AW73" s="118">
        <v>0</v>
      </c>
      <c r="AX73" s="118">
        <f t="shared" si="49"/>
        <v>0</v>
      </c>
      <c r="AY73" s="120"/>
      <c r="AZ73" s="120">
        <v>1000</v>
      </c>
      <c r="BA73" s="118">
        <f t="shared" si="53"/>
        <v>20328</v>
      </c>
      <c r="BB73" s="131" t="s">
        <v>50</v>
      </c>
      <c r="BC73" s="139" t="s">
        <v>202</v>
      </c>
      <c r="BD73" s="135">
        <v>921010033423118</v>
      </c>
      <c r="BE73" s="102"/>
      <c r="BF73" s="102"/>
      <c r="BG73" s="70" t="s">
        <v>48</v>
      </c>
      <c r="BH73" s="125">
        <v>0</v>
      </c>
      <c r="BI73" s="156"/>
      <c r="BJ73" s="70"/>
    </row>
    <row r="74" spans="1:62" s="13" customFormat="1" x14ac:dyDescent="0.25">
      <c r="A74" s="70">
        <f t="shared" si="76"/>
        <v>72</v>
      </c>
      <c r="B74" s="122">
        <v>2039</v>
      </c>
      <c r="C74" s="108" t="s">
        <v>41</v>
      </c>
      <c r="D74" s="126" t="s">
        <v>722</v>
      </c>
      <c r="E74" s="102" t="s">
        <v>413</v>
      </c>
      <c r="F74" s="141" t="s">
        <v>451</v>
      </c>
      <c r="G74" s="115">
        <v>0</v>
      </c>
      <c r="H74" s="122" t="s">
        <v>43</v>
      </c>
      <c r="I74" s="82">
        <v>44944</v>
      </c>
      <c r="J74" s="137"/>
      <c r="K74" s="136"/>
      <c r="L74" s="102"/>
      <c r="M74" s="128" t="s">
        <v>44</v>
      </c>
      <c r="N74" s="117" t="s">
        <v>945</v>
      </c>
      <c r="O74" s="114" t="s">
        <v>1112</v>
      </c>
      <c r="P74" s="70" t="s">
        <v>292</v>
      </c>
      <c r="Q74" s="70" t="s">
        <v>63</v>
      </c>
      <c r="R74" s="125">
        <v>53875</v>
      </c>
      <c r="S74" s="125">
        <f>+R74*0.21</f>
        <v>11313.75</v>
      </c>
      <c r="T74" s="116">
        <v>45778</v>
      </c>
      <c r="U74" s="119">
        <f t="shared" si="81"/>
        <v>65188.75</v>
      </c>
      <c r="V74" s="119">
        <v>63389</v>
      </c>
      <c r="W74" s="119">
        <f t="shared" si="84"/>
        <v>32594.375</v>
      </c>
      <c r="X74" s="125">
        <f>+W74*50/100</f>
        <v>16297.1875</v>
      </c>
      <c r="Y74" s="118">
        <f t="shared" si="85"/>
        <v>14497.4375</v>
      </c>
      <c r="Z74" s="118">
        <f t="shared" si="80"/>
        <v>63389</v>
      </c>
      <c r="AA74" s="119">
        <v>30</v>
      </c>
      <c r="AB74" s="115">
        <v>12</v>
      </c>
      <c r="AC74" s="115">
        <v>0</v>
      </c>
      <c r="AD74" s="115">
        <v>1</v>
      </c>
      <c r="AE74" s="115"/>
      <c r="AF74" s="115">
        <f t="shared" si="86"/>
        <v>13</v>
      </c>
      <c r="AG74" s="115">
        <f t="shared" si="83"/>
        <v>43</v>
      </c>
      <c r="AH74" s="101">
        <f t="shared" si="77"/>
        <v>30</v>
      </c>
      <c r="AI74" s="118">
        <f t="shared" si="82"/>
        <v>65189</v>
      </c>
      <c r="AJ74" s="118">
        <f t="shared" si="60"/>
        <v>63389</v>
      </c>
      <c r="AK74" s="118">
        <f t="shared" si="61"/>
        <v>32594</v>
      </c>
      <c r="AL74" s="118">
        <f t="shared" si="62"/>
        <v>16297</v>
      </c>
      <c r="AM74" s="118">
        <f t="shared" si="63"/>
        <v>14497</v>
      </c>
      <c r="AN74" s="119">
        <f t="shared" si="64"/>
        <v>0</v>
      </c>
      <c r="AO74" s="119">
        <f t="shared" si="52"/>
        <v>1800</v>
      </c>
      <c r="AP74" s="118">
        <f t="shared" si="65"/>
        <v>65188</v>
      </c>
      <c r="AQ74" s="118">
        <v>0</v>
      </c>
      <c r="AR74" s="118">
        <f t="shared" si="66"/>
        <v>0</v>
      </c>
      <c r="AS74" s="118">
        <f t="shared" si="67"/>
        <v>0</v>
      </c>
      <c r="AT74" s="118">
        <f t="shared" si="68"/>
        <v>1800</v>
      </c>
      <c r="AU74" s="118">
        <f t="shared" si="69"/>
        <v>1800</v>
      </c>
      <c r="AV74" s="118"/>
      <c r="AW74" s="118">
        <v>0</v>
      </c>
      <c r="AX74" s="118">
        <v>0</v>
      </c>
      <c r="AY74" s="120"/>
      <c r="AZ74" s="120">
        <v>0</v>
      </c>
      <c r="BA74" s="118">
        <f t="shared" si="53"/>
        <v>61588</v>
      </c>
      <c r="BB74" s="131" t="s">
        <v>417</v>
      </c>
      <c r="BC74" s="142" t="s">
        <v>448</v>
      </c>
      <c r="BD74" s="145" t="s">
        <v>418</v>
      </c>
      <c r="BE74" s="102"/>
      <c r="BF74" s="102"/>
      <c r="BG74" s="70" t="s">
        <v>48</v>
      </c>
      <c r="BH74" s="125">
        <v>0</v>
      </c>
      <c r="BI74" s="156"/>
      <c r="BJ74" s="70"/>
    </row>
    <row r="75" spans="1:62" s="13" customFormat="1" x14ac:dyDescent="0.25">
      <c r="A75" s="70">
        <f t="shared" si="76"/>
        <v>73</v>
      </c>
      <c r="B75" s="122">
        <v>2042</v>
      </c>
      <c r="C75" s="108" t="s">
        <v>41</v>
      </c>
      <c r="D75" s="140" t="s">
        <v>422</v>
      </c>
      <c r="E75" s="146" t="s">
        <v>411</v>
      </c>
      <c r="F75" s="141" t="s">
        <v>481</v>
      </c>
      <c r="G75" s="115">
        <v>0</v>
      </c>
      <c r="H75" s="122" t="s">
        <v>43</v>
      </c>
      <c r="I75" s="82">
        <v>44743</v>
      </c>
      <c r="J75" s="137"/>
      <c r="K75" s="144">
        <v>44927</v>
      </c>
      <c r="L75" s="102"/>
      <c r="M75" s="128" t="s">
        <v>44</v>
      </c>
      <c r="N75" s="117" t="s">
        <v>947</v>
      </c>
      <c r="O75" s="114" t="s">
        <v>998</v>
      </c>
      <c r="P75" s="70" t="s">
        <v>46</v>
      </c>
      <c r="Q75" s="70" t="s">
        <v>412</v>
      </c>
      <c r="R75" s="125">
        <v>23170</v>
      </c>
      <c r="S75" s="125">
        <f>+R75*0.2</f>
        <v>4634</v>
      </c>
      <c r="T75" s="116">
        <v>45778</v>
      </c>
      <c r="U75" s="119">
        <f t="shared" si="81"/>
        <v>27804</v>
      </c>
      <c r="V75" s="119">
        <v>26136</v>
      </c>
      <c r="W75" s="119">
        <f t="shared" si="84"/>
        <v>13902</v>
      </c>
      <c r="X75" s="125">
        <f>+W75*50/100</f>
        <v>6951</v>
      </c>
      <c r="Y75" s="118">
        <f t="shared" si="85"/>
        <v>5283</v>
      </c>
      <c r="Z75" s="118">
        <f t="shared" si="80"/>
        <v>26136</v>
      </c>
      <c r="AA75" s="119">
        <v>30</v>
      </c>
      <c r="AB75" s="115">
        <v>13.5</v>
      </c>
      <c r="AC75" s="115">
        <v>3</v>
      </c>
      <c r="AD75" s="115">
        <v>1</v>
      </c>
      <c r="AE75" s="115"/>
      <c r="AF75" s="115">
        <f t="shared" si="86"/>
        <v>11.5</v>
      </c>
      <c r="AG75" s="115">
        <f t="shared" si="83"/>
        <v>41.5</v>
      </c>
      <c r="AH75" s="101">
        <f t="shared" si="77"/>
        <v>30</v>
      </c>
      <c r="AI75" s="118">
        <f t="shared" si="82"/>
        <v>27804</v>
      </c>
      <c r="AJ75" s="118">
        <f t="shared" si="60"/>
        <v>26136</v>
      </c>
      <c r="AK75" s="118">
        <f t="shared" si="61"/>
        <v>13902</v>
      </c>
      <c r="AL75" s="118">
        <f t="shared" si="62"/>
        <v>6951</v>
      </c>
      <c r="AM75" s="118">
        <f t="shared" si="63"/>
        <v>5283</v>
      </c>
      <c r="AN75" s="119">
        <f t="shared" si="64"/>
        <v>0</v>
      </c>
      <c r="AO75" s="119">
        <f t="shared" si="52"/>
        <v>1668</v>
      </c>
      <c r="AP75" s="118">
        <f t="shared" si="65"/>
        <v>27804</v>
      </c>
      <c r="AQ75" s="118">
        <v>0</v>
      </c>
      <c r="AR75" s="118">
        <f t="shared" si="66"/>
        <v>0</v>
      </c>
      <c r="AS75" s="118">
        <f t="shared" si="67"/>
        <v>0</v>
      </c>
      <c r="AT75" s="118">
        <f t="shared" si="68"/>
        <v>1668</v>
      </c>
      <c r="AU75" s="118">
        <f t="shared" si="69"/>
        <v>1668</v>
      </c>
      <c r="AV75" s="118"/>
      <c r="AW75" s="118">
        <v>0</v>
      </c>
      <c r="AX75" s="118">
        <v>0</v>
      </c>
      <c r="AY75" s="120"/>
      <c r="AZ75" s="120">
        <v>0</v>
      </c>
      <c r="BA75" s="118">
        <f t="shared" si="53"/>
        <v>24468</v>
      </c>
      <c r="BB75" s="131" t="s">
        <v>54</v>
      </c>
      <c r="BC75" s="139" t="s">
        <v>217</v>
      </c>
      <c r="BD75" s="135" t="s">
        <v>352</v>
      </c>
      <c r="BE75" s="102"/>
      <c r="BF75" s="102"/>
      <c r="BG75" s="70" t="s">
        <v>48</v>
      </c>
      <c r="BH75" s="125">
        <v>0</v>
      </c>
      <c r="BI75" s="156"/>
      <c r="BJ75" s="70"/>
    </row>
    <row r="76" spans="1:62" s="13" customFormat="1" x14ac:dyDescent="0.25">
      <c r="A76" s="70">
        <f t="shared" si="76"/>
        <v>74</v>
      </c>
      <c r="B76" s="122">
        <v>2055</v>
      </c>
      <c r="C76" s="108" t="s">
        <v>41</v>
      </c>
      <c r="D76" s="140" t="s">
        <v>457</v>
      </c>
      <c r="E76" s="146" t="s">
        <v>452</v>
      </c>
      <c r="F76" s="141" t="s">
        <v>479</v>
      </c>
      <c r="G76" s="115">
        <v>0</v>
      </c>
      <c r="H76" s="122" t="s">
        <v>43</v>
      </c>
      <c r="I76" s="82">
        <v>45064</v>
      </c>
      <c r="J76" s="137"/>
      <c r="K76" s="82"/>
      <c r="L76" s="102"/>
      <c r="M76" s="128" t="s">
        <v>44</v>
      </c>
      <c r="N76" s="117" t="s">
        <v>959</v>
      </c>
      <c r="O76" s="114" t="s">
        <v>975</v>
      </c>
      <c r="P76" s="70" t="s">
        <v>46</v>
      </c>
      <c r="Q76" s="70" t="s">
        <v>63</v>
      </c>
      <c r="R76" s="125">
        <v>22000</v>
      </c>
      <c r="S76" s="125">
        <f>+R76*0.2</f>
        <v>4400</v>
      </c>
      <c r="T76" s="116">
        <v>45778</v>
      </c>
      <c r="U76" s="119">
        <f t="shared" si="81"/>
        <v>26400</v>
      </c>
      <c r="V76" s="119">
        <v>24816</v>
      </c>
      <c r="W76" s="119">
        <f t="shared" si="84"/>
        <v>13200</v>
      </c>
      <c r="X76" s="125">
        <f t="shared" ref="X76:X78" si="87">+W76*0.5</f>
        <v>6600</v>
      </c>
      <c r="Y76" s="118">
        <f t="shared" si="85"/>
        <v>5016</v>
      </c>
      <c r="Z76" s="118">
        <f t="shared" si="80"/>
        <v>24816</v>
      </c>
      <c r="AA76" s="119">
        <v>30</v>
      </c>
      <c r="AB76" s="115">
        <v>15</v>
      </c>
      <c r="AC76" s="115">
        <v>0</v>
      </c>
      <c r="AD76" s="115">
        <v>1</v>
      </c>
      <c r="AE76" s="115"/>
      <c r="AF76" s="115">
        <f t="shared" si="86"/>
        <v>16</v>
      </c>
      <c r="AG76" s="115">
        <f t="shared" si="83"/>
        <v>46</v>
      </c>
      <c r="AH76" s="101">
        <f t="shared" si="77"/>
        <v>30</v>
      </c>
      <c r="AI76" s="118">
        <f t="shared" si="82"/>
        <v>26400</v>
      </c>
      <c r="AJ76" s="118">
        <f t="shared" si="60"/>
        <v>24816</v>
      </c>
      <c r="AK76" s="118">
        <f t="shared" si="61"/>
        <v>13200</v>
      </c>
      <c r="AL76" s="118">
        <f t="shared" si="62"/>
        <v>6600</v>
      </c>
      <c r="AM76" s="118">
        <f t="shared" si="63"/>
        <v>5016</v>
      </c>
      <c r="AN76" s="119">
        <f t="shared" si="64"/>
        <v>0</v>
      </c>
      <c r="AO76" s="119">
        <f t="shared" si="52"/>
        <v>1584</v>
      </c>
      <c r="AP76" s="118">
        <f t="shared" si="65"/>
        <v>26400</v>
      </c>
      <c r="AQ76" s="118">
        <v>0</v>
      </c>
      <c r="AR76" s="118">
        <f t="shared" si="66"/>
        <v>0</v>
      </c>
      <c r="AS76" s="118">
        <f t="shared" si="67"/>
        <v>0</v>
      </c>
      <c r="AT76" s="118">
        <f t="shared" si="68"/>
        <v>1584</v>
      </c>
      <c r="AU76" s="118">
        <f t="shared" si="69"/>
        <v>1584</v>
      </c>
      <c r="AV76" s="118"/>
      <c r="AW76" s="118">
        <v>0</v>
      </c>
      <c r="AX76" s="118">
        <v>0</v>
      </c>
      <c r="AY76" s="120"/>
      <c r="AZ76" s="120">
        <v>1000</v>
      </c>
      <c r="BA76" s="118">
        <f t="shared" si="53"/>
        <v>22232</v>
      </c>
      <c r="BB76" s="131" t="s">
        <v>455</v>
      </c>
      <c r="BC76" s="139" t="s">
        <v>460</v>
      </c>
      <c r="BD76" s="135" t="s">
        <v>461</v>
      </c>
      <c r="BE76" s="102"/>
      <c r="BF76" s="102"/>
      <c r="BG76" s="70" t="s">
        <v>48</v>
      </c>
      <c r="BH76" s="125">
        <v>0</v>
      </c>
      <c r="BI76" s="156"/>
      <c r="BJ76" s="70"/>
    </row>
    <row r="77" spans="1:62" s="13" customFormat="1" x14ac:dyDescent="0.25">
      <c r="A77" s="70">
        <f t="shared" si="76"/>
        <v>75</v>
      </c>
      <c r="B77" s="122">
        <v>2059</v>
      </c>
      <c r="C77" s="108" t="s">
        <v>41</v>
      </c>
      <c r="D77" s="140" t="s">
        <v>462</v>
      </c>
      <c r="E77" s="146" t="s">
        <v>346</v>
      </c>
      <c r="F77" s="114" t="s">
        <v>458</v>
      </c>
      <c r="G77" s="115">
        <v>0</v>
      </c>
      <c r="H77" s="122" t="s">
        <v>43</v>
      </c>
      <c r="I77" s="82">
        <v>44763</v>
      </c>
      <c r="J77" s="137"/>
      <c r="K77" s="82"/>
      <c r="L77" s="102"/>
      <c r="M77" s="128" t="s">
        <v>44</v>
      </c>
      <c r="N77" s="117" t="s">
        <v>947</v>
      </c>
      <c r="O77" s="114" t="s">
        <v>977</v>
      </c>
      <c r="P77" s="70" t="s">
        <v>46</v>
      </c>
      <c r="Q77" s="70" t="s">
        <v>412</v>
      </c>
      <c r="R77" s="125">
        <v>23927</v>
      </c>
      <c r="S77" s="125">
        <f>+R77*0.1</f>
        <v>2392.7000000000003</v>
      </c>
      <c r="T77" s="116">
        <v>45778</v>
      </c>
      <c r="U77" s="119">
        <f t="shared" si="81"/>
        <v>26319.7</v>
      </c>
      <c r="V77" s="119">
        <v>24741</v>
      </c>
      <c r="W77" s="119">
        <f t="shared" si="84"/>
        <v>13159.85</v>
      </c>
      <c r="X77" s="125">
        <f t="shared" si="87"/>
        <v>6579.9250000000002</v>
      </c>
      <c r="Y77" s="118">
        <f t="shared" si="85"/>
        <v>5001.2249999999995</v>
      </c>
      <c r="Z77" s="118">
        <f t="shared" si="80"/>
        <v>24741</v>
      </c>
      <c r="AA77" s="119">
        <v>30</v>
      </c>
      <c r="AB77" s="115">
        <v>2.5</v>
      </c>
      <c r="AC77" s="115">
        <v>1</v>
      </c>
      <c r="AD77" s="115">
        <v>1</v>
      </c>
      <c r="AE77" s="115"/>
      <c r="AF77" s="115">
        <f t="shared" si="86"/>
        <v>2.5</v>
      </c>
      <c r="AG77" s="115">
        <f t="shared" si="83"/>
        <v>32.5</v>
      </c>
      <c r="AH77" s="101">
        <f t="shared" si="77"/>
        <v>30</v>
      </c>
      <c r="AI77" s="118">
        <f t="shared" si="82"/>
        <v>26320</v>
      </c>
      <c r="AJ77" s="118">
        <f t="shared" si="60"/>
        <v>24741</v>
      </c>
      <c r="AK77" s="118">
        <f t="shared" si="61"/>
        <v>13160</v>
      </c>
      <c r="AL77" s="118">
        <f t="shared" si="62"/>
        <v>6580</v>
      </c>
      <c r="AM77" s="118">
        <f t="shared" si="63"/>
        <v>5001</v>
      </c>
      <c r="AN77" s="119">
        <f t="shared" si="64"/>
        <v>0</v>
      </c>
      <c r="AO77" s="119">
        <f t="shared" si="52"/>
        <v>1579</v>
      </c>
      <c r="AP77" s="118">
        <f>SUM(AK77:AO77)+1</f>
        <v>26321</v>
      </c>
      <c r="AQ77" s="118">
        <v>0</v>
      </c>
      <c r="AR77" s="118">
        <f t="shared" si="66"/>
        <v>0</v>
      </c>
      <c r="AS77" s="118">
        <f t="shared" si="67"/>
        <v>0</v>
      </c>
      <c r="AT77" s="118">
        <f t="shared" si="68"/>
        <v>1579</v>
      </c>
      <c r="AU77" s="118">
        <f t="shared" si="69"/>
        <v>1579</v>
      </c>
      <c r="AV77" s="118">
        <v>5000</v>
      </c>
      <c r="AW77" s="118">
        <v>5000</v>
      </c>
      <c r="AX77" s="118">
        <f t="shared" ref="AX77:AX86" si="88">+AV77-AW77</f>
        <v>0</v>
      </c>
      <c r="AY77" s="120"/>
      <c r="AZ77" s="120">
        <v>0</v>
      </c>
      <c r="BA77" s="118">
        <f t="shared" si="53"/>
        <v>18163</v>
      </c>
      <c r="BB77" s="131" t="s">
        <v>393</v>
      </c>
      <c r="BC77" s="139" t="s">
        <v>106</v>
      </c>
      <c r="BD77" s="139" t="s">
        <v>374</v>
      </c>
      <c r="BE77" s="102"/>
      <c r="BF77" s="102"/>
      <c r="BG77" s="70" t="s">
        <v>48</v>
      </c>
      <c r="BH77" s="125">
        <v>0</v>
      </c>
      <c r="BI77" s="156"/>
      <c r="BJ77" s="70"/>
    </row>
    <row r="78" spans="1:62" s="13" customFormat="1" x14ac:dyDescent="0.25">
      <c r="A78" s="70">
        <f t="shared" si="76"/>
        <v>76</v>
      </c>
      <c r="B78" s="122">
        <v>2063</v>
      </c>
      <c r="C78" s="108" t="s">
        <v>41</v>
      </c>
      <c r="D78" s="140" t="s">
        <v>476</v>
      </c>
      <c r="E78" s="146" t="s">
        <v>464</v>
      </c>
      <c r="F78" s="114" t="s">
        <v>468</v>
      </c>
      <c r="G78" s="147">
        <v>7836067592</v>
      </c>
      <c r="H78" s="122" t="s">
        <v>43</v>
      </c>
      <c r="I78" s="82">
        <v>45078</v>
      </c>
      <c r="J78" s="137"/>
      <c r="K78" s="82"/>
      <c r="L78" s="102"/>
      <c r="M78" s="128" t="s">
        <v>44</v>
      </c>
      <c r="N78" s="117" t="s">
        <v>947</v>
      </c>
      <c r="O78" s="114" t="s">
        <v>1001</v>
      </c>
      <c r="P78" s="70" t="s">
        <v>292</v>
      </c>
      <c r="Q78" s="70" t="s">
        <v>412</v>
      </c>
      <c r="R78" s="125">
        <v>28417</v>
      </c>
      <c r="S78" s="125">
        <f>+R78*0.12</f>
        <v>3410.04</v>
      </c>
      <c r="T78" s="116">
        <v>45778</v>
      </c>
      <c r="U78" s="119">
        <f t="shared" si="81"/>
        <v>31827.040000000001</v>
      </c>
      <c r="V78" s="119">
        <v>30027</v>
      </c>
      <c r="W78" s="119">
        <f t="shared" si="84"/>
        <v>15913.52</v>
      </c>
      <c r="X78" s="125">
        <f t="shared" si="87"/>
        <v>7956.76</v>
      </c>
      <c r="Y78" s="118">
        <f t="shared" si="85"/>
        <v>6156.7199999999993</v>
      </c>
      <c r="Z78" s="118">
        <f t="shared" si="80"/>
        <v>30027</v>
      </c>
      <c r="AA78" s="119">
        <v>30</v>
      </c>
      <c r="AB78" s="115">
        <v>11</v>
      </c>
      <c r="AC78" s="115">
        <v>1</v>
      </c>
      <c r="AD78" s="115">
        <v>1</v>
      </c>
      <c r="AE78" s="115"/>
      <c r="AF78" s="115">
        <f t="shared" si="86"/>
        <v>11</v>
      </c>
      <c r="AG78" s="115">
        <f t="shared" si="83"/>
        <v>41</v>
      </c>
      <c r="AH78" s="101">
        <f t="shared" si="77"/>
        <v>30</v>
      </c>
      <c r="AI78" s="118">
        <f t="shared" si="82"/>
        <v>31827</v>
      </c>
      <c r="AJ78" s="118">
        <f t="shared" si="60"/>
        <v>30027</v>
      </c>
      <c r="AK78" s="118">
        <f t="shared" si="61"/>
        <v>15914</v>
      </c>
      <c r="AL78" s="118">
        <f t="shared" si="62"/>
        <v>7957</v>
      </c>
      <c r="AM78" s="118">
        <f t="shared" si="63"/>
        <v>6157</v>
      </c>
      <c r="AN78" s="119">
        <f t="shared" si="64"/>
        <v>0</v>
      </c>
      <c r="AO78" s="119">
        <f t="shared" si="52"/>
        <v>1800</v>
      </c>
      <c r="AP78" s="118">
        <f t="shared" ref="AP78:AP106" si="89">SUM(AK78:AO78)</f>
        <v>31828</v>
      </c>
      <c r="AQ78" s="118">
        <v>0</v>
      </c>
      <c r="AR78" s="118">
        <f t="shared" si="66"/>
        <v>0</v>
      </c>
      <c r="AS78" s="118">
        <f t="shared" si="67"/>
        <v>0</v>
      </c>
      <c r="AT78" s="118">
        <f t="shared" si="68"/>
        <v>1800</v>
      </c>
      <c r="AU78" s="118">
        <f t="shared" si="69"/>
        <v>1800</v>
      </c>
      <c r="AV78" s="118"/>
      <c r="AW78" s="118">
        <v>0</v>
      </c>
      <c r="AX78" s="118">
        <f t="shared" si="88"/>
        <v>0</v>
      </c>
      <c r="AY78" s="120"/>
      <c r="AZ78" s="120">
        <v>1000</v>
      </c>
      <c r="BA78" s="118">
        <f t="shared" si="53"/>
        <v>27228</v>
      </c>
      <c r="BB78" s="131" t="s">
        <v>138</v>
      </c>
      <c r="BC78" s="139" t="s">
        <v>469</v>
      </c>
      <c r="BD78" s="139" t="s">
        <v>470</v>
      </c>
      <c r="BE78" s="102"/>
      <c r="BF78" s="102"/>
      <c r="BG78" s="70" t="s">
        <v>48</v>
      </c>
      <c r="BH78" s="125">
        <v>0</v>
      </c>
      <c r="BI78" s="156"/>
      <c r="BJ78" s="70"/>
    </row>
    <row r="79" spans="1:62" s="13" customFormat="1" x14ac:dyDescent="0.25">
      <c r="A79" s="70">
        <f t="shared" si="76"/>
        <v>77</v>
      </c>
      <c r="B79" s="122">
        <v>2067</v>
      </c>
      <c r="C79" s="108" t="s">
        <v>41</v>
      </c>
      <c r="D79" s="140" t="s">
        <v>477</v>
      </c>
      <c r="E79" s="146" t="s">
        <v>465</v>
      </c>
      <c r="F79" s="114" t="s">
        <v>482</v>
      </c>
      <c r="G79" s="147">
        <v>9667988775</v>
      </c>
      <c r="H79" s="122" t="s">
        <v>43</v>
      </c>
      <c r="I79" s="82">
        <v>45082</v>
      </c>
      <c r="J79" s="137"/>
      <c r="K79" s="82"/>
      <c r="L79" s="102"/>
      <c r="M79" s="128" t="s">
        <v>44</v>
      </c>
      <c r="N79" s="117" t="s">
        <v>961</v>
      </c>
      <c r="O79" s="114" t="s">
        <v>306</v>
      </c>
      <c r="P79" s="70" t="s">
        <v>292</v>
      </c>
      <c r="Q79" s="70" t="s">
        <v>412</v>
      </c>
      <c r="R79" s="125">
        <v>57677</v>
      </c>
      <c r="S79" s="125">
        <v>10000</v>
      </c>
      <c r="T79" s="116">
        <v>45748</v>
      </c>
      <c r="U79" s="119">
        <f>R79+S79</f>
        <v>67677</v>
      </c>
      <c r="V79" s="119">
        <v>65877</v>
      </c>
      <c r="W79" s="119">
        <v>34500</v>
      </c>
      <c r="X79" s="125">
        <f>+W79*0.5</f>
        <v>17250</v>
      </c>
      <c r="Y79" s="118">
        <f t="shared" si="85"/>
        <v>14127</v>
      </c>
      <c r="Z79" s="118">
        <f t="shared" si="80"/>
        <v>65877</v>
      </c>
      <c r="AA79" s="119">
        <v>30</v>
      </c>
      <c r="AB79" s="115">
        <v>4.5</v>
      </c>
      <c r="AC79" s="115">
        <v>0</v>
      </c>
      <c r="AD79" s="115">
        <v>1</v>
      </c>
      <c r="AE79" s="115"/>
      <c r="AF79" s="115">
        <f t="shared" si="86"/>
        <v>5.5</v>
      </c>
      <c r="AG79" s="115">
        <f t="shared" si="83"/>
        <v>35.5</v>
      </c>
      <c r="AH79" s="101">
        <f t="shared" si="77"/>
        <v>30</v>
      </c>
      <c r="AI79" s="118">
        <f t="shared" si="82"/>
        <v>67677</v>
      </c>
      <c r="AJ79" s="118">
        <f t="shared" si="60"/>
        <v>65877</v>
      </c>
      <c r="AK79" s="118">
        <f t="shared" si="61"/>
        <v>34500</v>
      </c>
      <c r="AL79" s="118">
        <f t="shared" si="62"/>
        <v>17250</v>
      </c>
      <c r="AM79" s="118">
        <f t="shared" si="63"/>
        <v>14127</v>
      </c>
      <c r="AN79" s="119">
        <f t="shared" si="64"/>
        <v>0</v>
      </c>
      <c r="AO79" s="119">
        <f t="shared" si="52"/>
        <v>1800</v>
      </c>
      <c r="AP79" s="118">
        <f t="shared" si="89"/>
        <v>67677</v>
      </c>
      <c r="AQ79" s="118">
        <v>0</v>
      </c>
      <c r="AR79" s="118">
        <f t="shared" si="66"/>
        <v>0</v>
      </c>
      <c r="AS79" s="118">
        <f t="shared" si="67"/>
        <v>0</v>
      </c>
      <c r="AT79" s="118">
        <f t="shared" si="68"/>
        <v>1800</v>
      </c>
      <c r="AU79" s="118">
        <f t="shared" si="69"/>
        <v>1800</v>
      </c>
      <c r="AV79" s="118"/>
      <c r="AW79" s="118">
        <v>0</v>
      </c>
      <c r="AX79" s="118">
        <v>0</v>
      </c>
      <c r="AY79" s="120"/>
      <c r="AZ79" s="120">
        <v>0</v>
      </c>
      <c r="BA79" s="118">
        <f t="shared" si="53"/>
        <v>64077</v>
      </c>
      <c r="BB79" s="131" t="s">
        <v>455</v>
      </c>
      <c r="BC79" s="139" t="s">
        <v>93</v>
      </c>
      <c r="BD79" s="139" t="s">
        <v>472</v>
      </c>
      <c r="BE79" s="102"/>
      <c r="BF79" s="102"/>
      <c r="BG79" s="70" t="s">
        <v>48</v>
      </c>
      <c r="BH79" s="125">
        <v>0</v>
      </c>
      <c r="BI79" s="156"/>
      <c r="BJ79" s="70"/>
    </row>
    <row r="80" spans="1:62" s="13" customFormat="1" x14ac:dyDescent="0.25">
      <c r="A80" s="70">
        <f t="shared" si="76"/>
        <v>78</v>
      </c>
      <c r="B80" s="122">
        <v>2072</v>
      </c>
      <c r="C80" s="108" t="s">
        <v>467</v>
      </c>
      <c r="D80" s="140" t="s">
        <v>478</v>
      </c>
      <c r="E80" s="146" t="s">
        <v>466</v>
      </c>
      <c r="F80" s="114" t="s">
        <v>475</v>
      </c>
      <c r="G80" s="147">
        <v>7042119925</v>
      </c>
      <c r="H80" s="122" t="s">
        <v>43</v>
      </c>
      <c r="I80" s="82">
        <v>45098</v>
      </c>
      <c r="J80" s="137"/>
      <c r="K80" s="82"/>
      <c r="L80" s="102"/>
      <c r="M80" s="128" t="s">
        <v>44</v>
      </c>
      <c r="N80" s="117" t="s">
        <v>959</v>
      </c>
      <c r="O80" s="114" t="s">
        <v>975</v>
      </c>
      <c r="P80" s="70" t="s">
        <v>412</v>
      </c>
      <c r="Q80" s="70" t="s">
        <v>412</v>
      </c>
      <c r="R80" s="125">
        <v>18344</v>
      </c>
      <c r="S80" s="125">
        <f>+R80*0.1</f>
        <v>1834.4</v>
      </c>
      <c r="T80" s="116">
        <v>45778</v>
      </c>
      <c r="U80" s="119">
        <f t="shared" ref="U80:U85" si="90">R80+S80</f>
        <v>20178.400000000001</v>
      </c>
      <c r="V80" s="119">
        <v>18288</v>
      </c>
      <c r="W80" s="119">
        <v>10800</v>
      </c>
      <c r="X80" s="125">
        <f>+W80*50/100</f>
        <v>5400</v>
      </c>
      <c r="Y80" s="118">
        <f t="shared" ref="Y80" si="91">+V80-W80-X80</f>
        <v>2088</v>
      </c>
      <c r="Z80" s="118">
        <f t="shared" si="80"/>
        <v>18288</v>
      </c>
      <c r="AA80" s="119">
        <v>30</v>
      </c>
      <c r="AB80" s="115">
        <v>18</v>
      </c>
      <c r="AC80" s="115">
        <v>3</v>
      </c>
      <c r="AD80" s="115">
        <v>1</v>
      </c>
      <c r="AE80" s="115"/>
      <c r="AF80" s="115">
        <f t="shared" si="86"/>
        <v>16</v>
      </c>
      <c r="AG80" s="115">
        <f t="shared" si="83"/>
        <v>46</v>
      </c>
      <c r="AH80" s="101">
        <f t="shared" si="77"/>
        <v>30</v>
      </c>
      <c r="AI80" s="118">
        <f t="shared" si="82"/>
        <v>20178</v>
      </c>
      <c r="AJ80" s="118">
        <f t="shared" si="60"/>
        <v>18288</v>
      </c>
      <c r="AK80" s="118">
        <f t="shared" si="61"/>
        <v>10800</v>
      </c>
      <c r="AL80" s="118">
        <f t="shared" si="62"/>
        <v>5400</v>
      </c>
      <c r="AM80" s="118">
        <f t="shared" si="63"/>
        <v>2088</v>
      </c>
      <c r="AN80" s="119">
        <f>ROUNDUP(IF(V80&gt;=21000,0,AJ80*3.25%),0)</f>
        <v>595</v>
      </c>
      <c r="AO80" s="119">
        <f t="shared" ref="AO80:AO106" si="92">ROUND(IF(AK80&lt;15001,AK80*12%,1800),0)</f>
        <v>1296</v>
      </c>
      <c r="AP80" s="118">
        <f t="shared" si="89"/>
        <v>20179</v>
      </c>
      <c r="AQ80" s="118">
        <v>0</v>
      </c>
      <c r="AR80" s="118">
        <f t="shared" si="66"/>
        <v>138</v>
      </c>
      <c r="AS80" s="118">
        <f t="shared" si="67"/>
        <v>595</v>
      </c>
      <c r="AT80" s="118">
        <f t="shared" si="68"/>
        <v>1296</v>
      </c>
      <c r="AU80" s="118">
        <f t="shared" si="69"/>
        <v>1296</v>
      </c>
      <c r="AV80" s="118"/>
      <c r="AW80" s="118">
        <v>0</v>
      </c>
      <c r="AX80" s="118">
        <v>0</v>
      </c>
      <c r="AY80" s="120"/>
      <c r="AZ80" s="120">
        <v>1000</v>
      </c>
      <c r="BA80" s="118">
        <f t="shared" si="53"/>
        <v>15854</v>
      </c>
      <c r="BB80" s="131" t="s">
        <v>445</v>
      </c>
      <c r="BC80" s="139" t="s">
        <v>473</v>
      </c>
      <c r="BD80" s="139" t="s">
        <v>474</v>
      </c>
      <c r="BE80" s="102"/>
      <c r="BF80" s="102"/>
      <c r="BG80" s="70" t="s">
        <v>48</v>
      </c>
      <c r="BH80" s="125">
        <v>0</v>
      </c>
      <c r="BI80" s="156"/>
      <c r="BJ80" s="70"/>
    </row>
    <row r="81" spans="1:62" s="13" customFormat="1" x14ac:dyDescent="0.25">
      <c r="A81" s="70">
        <f t="shared" si="76"/>
        <v>79</v>
      </c>
      <c r="B81" s="122">
        <v>2081</v>
      </c>
      <c r="C81" s="108" t="s">
        <v>490</v>
      </c>
      <c r="D81" s="140" t="s">
        <v>499</v>
      </c>
      <c r="E81" s="146" t="s">
        <v>483</v>
      </c>
      <c r="F81" s="114" t="s">
        <v>504</v>
      </c>
      <c r="G81" s="147"/>
      <c r="H81" s="122" t="s">
        <v>43</v>
      </c>
      <c r="I81" s="82">
        <v>45120</v>
      </c>
      <c r="J81" s="137"/>
      <c r="K81" s="82"/>
      <c r="L81" s="102"/>
      <c r="M81" s="128" t="s">
        <v>44</v>
      </c>
      <c r="N81" s="117" t="s">
        <v>959</v>
      </c>
      <c r="O81" s="114" t="s">
        <v>998</v>
      </c>
      <c r="P81" s="70" t="s">
        <v>412</v>
      </c>
      <c r="Q81" s="70" t="s">
        <v>412</v>
      </c>
      <c r="R81" s="125">
        <v>20556</v>
      </c>
      <c r="S81" s="125">
        <f>+R81*0.05</f>
        <v>1027.8</v>
      </c>
      <c r="T81" s="116" t="s">
        <v>1501</v>
      </c>
      <c r="U81" s="119">
        <f t="shared" si="90"/>
        <v>21583.8</v>
      </c>
      <c r="V81" s="119">
        <v>19649</v>
      </c>
      <c r="W81" s="119">
        <v>10800</v>
      </c>
      <c r="X81" s="125">
        <f>+W81*0.5</f>
        <v>5400</v>
      </c>
      <c r="Y81" s="118">
        <f t="shared" ref="Y81:Y85" si="93">+V81-W81-X81</f>
        <v>3449</v>
      </c>
      <c r="Z81" s="118">
        <f t="shared" si="80"/>
        <v>19649</v>
      </c>
      <c r="AA81" s="119">
        <v>30</v>
      </c>
      <c r="AB81" s="115">
        <v>17</v>
      </c>
      <c r="AC81" s="115">
        <v>12</v>
      </c>
      <c r="AD81" s="115">
        <v>1</v>
      </c>
      <c r="AE81" s="115"/>
      <c r="AF81" s="115">
        <f t="shared" si="86"/>
        <v>6</v>
      </c>
      <c r="AG81" s="115">
        <f t="shared" si="83"/>
        <v>36</v>
      </c>
      <c r="AH81" s="101">
        <f t="shared" si="77"/>
        <v>30</v>
      </c>
      <c r="AI81" s="118">
        <f t="shared" si="82"/>
        <v>21584</v>
      </c>
      <c r="AJ81" s="118">
        <f t="shared" si="60"/>
        <v>19649</v>
      </c>
      <c r="AK81" s="118">
        <f t="shared" si="61"/>
        <v>10800</v>
      </c>
      <c r="AL81" s="118">
        <f t="shared" si="62"/>
        <v>5400</v>
      </c>
      <c r="AM81" s="118">
        <f t="shared" si="63"/>
        <v>3449</v>
      </c>
      <c r="AN81" s="119">
        <f t="shared" si="64"/>
        <v>639</v>
      </c>
      <c r="AO81" s="119">
        <f t="shared" si="92"/>
        <v>1296</v>
      </c>
      <c r="AP81" s="118">
        <f t="shared" si="89"/>
        <v>21584</v>
      </c>
      <c r="AQ81" s="118">
        <v>0</v>
      </c>
      <c r="AR81" s="118">
        <f t="shared" si="66"/>
        <v>148</v>
      </c>
      <c r="AS81" s="118">
        <f t="shared" si="67"/>
        <v>639</v>
      </c>
      <c r="AT81" s="118">
        <f t="shared" si="68"/>
        <v>1296</v>
      </c>
      <c r="AU81" s="118">
        <f t="shared" si="69"/>
        <v>1296</v>
      </c>
      <c r="AV81" s="118">
        <v>0</v>
      </c>
      <c r="AW81" s="118">
        <v>0</v>
      </c>
      <c r="AX81" s="118">
        <f t="shared" si="88"/>
        <v>0</v>
      </c>
      <c r="AY81" s="120">
        <v>1000</v>
      </c>
      <c r="AZ81" s="120">
        <v>0</v>
      </c>
      <c r="BA81" s="118">
        <f>AP81-AQ81-AR81-AS81-AT81-AU81-AW81+AY81-AZ81</f>
        <v>19205</v>
      </c>
      <c r="BB81" s="131" t="s">
        <v>393</v>
      </c>
      <c r="BC81" s="139" t="s">
        <v>202</v>
      </c>
      <c r="BD81" s="139" t="s">
        <v>563</v>
      </c>
      <c r="BE81" s="102"/>
      <c r="BF81" s="102"/>
      <c r="BG81" s="70" t="s">
        <v>48</v>
      </c>
      <c r="BH81" s="125" t="s">
        <v>1483</v>
      </c>
      <c r="BI81" s="156"/>
      <c r="BJ81" s="70"/>
    </row>
    <row r="82" spans="1:62" s="196" customFormat="1" x14ac:dyDescent="0.25">
      <c r="A82" s="197">
        <f t="shared" si="76"/>
        <v>80</v>
      </c>
      <c r="B82" s="198">
        <v>2082</v>
      </c>
      <c r="C82" s="199" t="s">
        <v>491</v>
      </c>
      <c r="D82" s="200" t="s">
        <v>500</v>
      </c>
      <c r="E82" s="215" t="s">
        <v>484</v>
      </c>
      <c r="F82" s="201" t="s">
        <v>505</v>
      </c>
      <c r="G82" s="216"/>
      <c r="H82" s="198" t="s">
        <v>43</v>
      </c>
      <c r="I82" s="182">
        <v>45121</v>
      </c>
      <c r="J82" s="137"/>
      <c r="K82" s="182"/>
      <c r="L82" s="102"/>
      <c r="M82" s="204" t="s">
        <v>44</v>
      </c>
      <c r="N82" s="205" t="s">
        <v>959</v>
      </c>
      <c r="O82" s="201" t="s">
        <v>975</v>
      </c>
      <c r="P82" s="197" t="s">
        <v>412</v>
      </c>
      <c r="Q82" s="197" t="s">
        <v>412</v>
      </c>
      <c r="R82" s="206">
        <v>18562</v>
      </c>
      <c r="S82" s="206">
        <f>+R82*0.12</f>
        <v>2227.44</v>
      </c>
      <c r="T82" s="208">
        <v>45778</v>
      </c>
      <c r="U82" s="209">
        <f t="shared" si="90"/>
        <v>20789.439999999999</v>
      </c>
      <c r="V82" s="209">
        <v>18879</v>
      </c>
      <c r="W82" s="209">
        <v>10800</v>
      </c>
      <c r="X82" s="206">
        <f>+W82*0.5</f>
        <v>5400</v>
      </c>
      <c r="Y82" s="210">
        <f t="shared" si="93"/>
        <v>2679</v>
      </c>
      <c r="Z82" s="210">
        <f t="shared" si="80"/>
        <v>18879</v>
      </c>
      <c r="AA82" s="209">
        <v>30</v>
      </c>
      <c r="AB82" s="202"/>
      <c r="AC82" s="202">
        <v>17</v>
      </c>
      <c r="AD82" s="202">
        <v>0</v>
      </c>
      <c r="AE82" s="202"/>
      <c r="AF82" s="202">
        <f t="shared" si="86"/>
        <v>-17</v>
      </c>
      <c r="AG82" s="202">
        <f t="shared" si="83"/>
        <v>13</v>
      </c>
      <c r="AH82" s="211">
        <f t="shared" si="77"/>
        <v>13</v>
      </c>
      <c r="AI82" s="210">
        <f t="shared" si="82"/>
        <v>9009</v>
      </c>
      <c r="AJ82" s="210">
        <f t="shared" si="60"/>
        <v>8181</v>
      </c>
      <c r="AK82" s="210">
        <f t="shared" si="61"/>
        <v>4680</v>
      </c>
      <c r="AL82" s="210">
        <f t="shared" si="62"/>
        <v>2340</v>
      </c>
      <c r="AM82" s="210">
        <f t="shared" ref="AM82:AM94" si="94">ROUND(Y82*AH82/AA82,0)</f>
        <v>1161</v>
      </c>
      <c r="AN82" s="209">
        <f t="shared" si="64"/>
        <v>266</v>
      </c>
      <c r="AO82" s="209">
        <f t="shared" si="92"/>
        <v>562</v>
      </c>
      <c r="AP82" s="210">
        <f t="shared" si="89"/>
        <v>9009</v>
      </c>
      <c r="AQ82" s="210">
        <v>0</v>
      </c>
      <c r="AR82" s="210">
        <f t="shared" si="66"/>
        <v>62</v>
      </c>
      <c r="AS82" s="210">
        <f t="shared" ref="AS82:AS108" si="95">AN82</f>
        <v>266</v>
      </c>
      <c r="AT82" s="210">
        <f t="shared" ref="AT82:AT108" si="96">AO82</f>
        <v>562</v>
      </c>
      <c r="AU82" s="210">
        <f t="shared" ref="AU82:AU108" si="97">AO82</f>
        <v>562</v>
      </c>
      <c r="AV82" s="210">
        <v>0</v>
      </c>
      <c r="AW82" s="210">
        <v>0</v>
      </c>
      <c r="AX82" s="210">
        <v>0</v>
      </c>
      <c r="AY82" s="212"/>
      <c r="AZ82" s="212">
        <v>0</v>
      </c>
      <c r="BA82" s="210">
        <f t="shared" si="53"/>
        <v>7557</v>
      </c>
      <c r="BB82" s="193" t="s">
        <v>420</v>
      </c>
      <c r="BC82" s="194" t="s">
        <v>327</v>
      </c>
      <c r="BD82" s="194" t="s">
        <v>515</v>
      </c>
      <c r="BE82" s="214"/>
      <c r="BF82" s="102"/>
      <c r="BG82" s="197" t="s">
        <v>1480</v>
      </c>
      <c r="BH82" s="206" t="s">
        <v>1484</v>
      </c>
      <c r="BI82" s="156"/>
      <c r="BJ82" s="70"/>
    </row>
    <row r="83" spans="1:62" s="13" customFormat="1" x14ac:dyDescent="0.25">
      <c r="A83" s="70">
        <f t="shared" si="76"/>
        <v>81</v>
      </c>
      <c r="B83" s="122">
        <v>2083</v>
      </c>
      <c r="C83" s="108" t="s">
        <v>41</v>
      </c>
      <c r="D83" s="140" t="s">
        <v>501</v>
      </c>
      <c r="E83" s="146" t="s">
        <v>486</v>
      </c>
      <c r="F83" s="114" t="s">
        <v>506</v>
      </c>
      <c r="G83" s="147"/>
      <c r="H83" s="122" t="s">
        <v>43</v>
      </c>
      <c r="I83" s="82">
        <v>45124</v>
      </c>
      <c r="J83" s="137"/>
      <c r="K83" s="82"/>
      <c r="L83" s="102"/>
      <c r="M83" s="128" t="s">
        <v>44</v>
      </c>
      <c r="N83" s="117" t="s">
        <v>959</v>
      </c>
      <c r="O83" s="114" t="s">
        <v>1000</v>
      </c>
      <c r="P83" s="70" t="s">
        <v>46</v>
      </c>
      <c r="Q83" s="70" t="s">
        <v>412</v>
      </c>
      <c r="R83" s="125">
        <v>23465</v>
      </c>
      <c r="S83" s="125">
        <f>+R83*0.12</f>
        <v>2815.7999999999997</v>
      </c>
      <c r="T83" s="116">
        <v>45778</v>
      </c>
      <c r="U83" s="119">
        <f t="shared" si="90"/>
        <v>26280.799999999999</v>
      </c>
      <c r="V83" s="119">
        <v>24704</v>
      </c>
      <c r="W83" s="119">
        <f>+U83*0.5</f>
        <v>13140.4</v>
      </c>
      <c r="X83" s="125">
        <f>+W83*0.5</f>
        <v>6570.2</v>
      </c>
      <c r="Y83" s="118">
        <f t="shared" si="93"/>
        <v>4993.4000000000005</v>
      </c>
      <c r="Z83" s="118">
        <f t="shared" si="80"/>
        <v>24704</v>
      </c>
      <c r="AA83" s="119">
        <v>30</v>
      </c>
      <c r="AB83" s="115">
        <v>8</v>
      </c>
      <c r="AC83" s="115">
        <v>1</v>
      </c>
      <c r="AD83" s="115">
        <v>1</v>
      </c>
      <c r="AE83" s="115"/>
      <c r="AF83" s="115">
        <f t="shared" si="86"/>
        <v>8</v>
      </c>
      <c r="AG83" s="115">
        <f t="shared" si="83"/>
        <v>38</v>
      </c>
      <c r="AH83" s="101">
        <f t="shared" si="77"/>
        <v>30</v>
      </c>
      <c r="AI83" s="118">
        <f t="shared" si="82"/>
        <v>26281</v>
      </c>
      <c r="AJ83" s="118">
        <f t="shared" si="60"/>
        <v>24704</v>
      </c>
      <c r="AK83" s="118">
        <f t="shared" si="61"/>
        <v>13140</v>
      </c>
      <c r="AL83" s="118">
        <f t="shared" si="62"/>
        <v>6570</v>
      </c>
      <c r="AM83" s="118">
        <f t="shared" si="94"/>
        <v>4993</v>
      </c>
      <c r="AN83" s="119">
        <f t="shared" si="64"/>
        <v>0</v>
      </c>
      <c r="AO83" s="119">
        <f t="shared" si="92"/>
        <v>1577</v>
      </c>
      <c r="AP83" s="118">
        <f t="shared" si="89"/>
        <v>26280</v>
      </c>
      <c r="AQ83" s="118">
        <v>0</v>
      </c>
      <c r="AR83" s="118">
        <f t="shared" si="66"/>
        <v>0</v>
      </c>
      <c r="AS83" s="118">
        <f t="shared" si="95"/>
        <v>0</v>
      </c>
      <c r="AT83" s="118">
        <f t="shared" si="96"/>
        <v>1577</v>
      </c>
      <c r="AU83" s="118">
        <f t="shared" si="97"/>
        <v>1577</v>
      </c>
      <c r="AV83" s="118"/>
      <c r="AW83" s="118">
        <v>0</v>
      </c>
      <c r="AX83" s="118">
        <v>0</v>
      </c>
      <c r="AY83" s="120"/>
      <c r="AZ83" s="120">
        <v>0</v>
      </c>
      <c r="BA83" s="118">
        <f t="shared" si="53"/>
        <v>23126</v>
      </c>
      <c r="BB83" s="131" t="s">
        <v>517</v>
      </c>
      <c r="BC83" s="139" t="s">
        <v>518</v>
      </c>
      <c r="BD83" s="139" t="s">
        <v>519</v>
      </c>
      <c r="BE83" s="102"/>
      <c r="BF83" s="102"/>
      <c r="BG83" s="70" t="s">
        <v>48</v>
      </c>
      <c r="BH83" s="125">
        <v>0</v>
      </c>
      <c r="BI83" s="156"/>
      <c r="BJ83" s="70"/>
    </row>
    <row r="84" spans="1:62" s="13" customFormat="1" x14ac:dyDescent="0.25">
      <c r="A84" s="70">
        <f t="shared" si="76"/>
        <v>82</v>
      </c>
      <c r="B84" s="122">
        <v>2084</v>
      </c>
      <c r="C84" s="108" t="s">
        <v>492</v>
      </c>
      <c r="D84" s="140" t="s">
        <v>502</v>
      </c>
      <c r="E84" s="146" t="s">
        <v>487</v>
      </c>
      <c r="F84" s="114" t="s">
        <v>507</v>
      </c>
      <c r="G84" s="147"/>
      <c r="H84" s="122" t="s">
        <v>43</v>
      </c>
      <c r="I84" s="82">
        <v>45124</v>
      </c>
      <c r="J84" s="137"/>
      <c r="K84" s="82"/>
      <c r="L84" s="102"/>
      <c r="M84" s="128" t="s">
        <v>44</v>
      </c>
      <c r="N84" s="117" t="s">
        <v>959</v>
      </c>
      <c r="O84" s="114" t="s">
        <v>975</v>
      </c>
      <c r="P84" s="70" t="s">
        <v>412</v>
      </c>
      <c r="Q84" s="70" t="s">
        <v>412</v>
      </c>
      <c r="R84" s="125">
        <v>20687</v>
      </c>
      <c r="S84" s="125">
        <f>+R84*0.07</f>
        <v>1448.0900000000001</v>
      </c>
      <c r="T84" s="116">
        <v>45778</v>
      </c>
      <c r="U84" s="119">
        <f t="shared" si="90"/>
        <v>22135.09</v>
      </c>
      <c r="V84" s="119">
        <v>20152</v>
      </c>
      <c r="W84" s="119">
        <f>+U84*0.5</f>
        <v>11067.545</v>
      </c>
      <c r="X84" s="125">
        <f>+W84*50/100</f>
        <v>5533.7725</v>
      </c>
      <c r="Y84" s="118">
        <f t="shared" si="93"/>
        <v>3550.6824999999999</v>
      </c>
      <c r="Z84" s="118">
        <f t="shared" si="80"/>
        <v>20152</v>
      </c>
      <c r="AA84" s="119">
        <v>30</v>
      </c>
      <c r="AB84" s="115">
        <v>2.5</v>
      </c>
      <c r="AC84" s="115">
        <v>2.5</v>
      </c>
      <c r="AD84" s="115">
        <v>2</v>
      </c>
      <c r="AE84" s="115"/>
      <c r="AF84" s="115">
        <f t="shared" si="86"/>
        <v>2</v>
      </c>
      <c r="AG84" s="115">
        <f t="shared" si="83"/>
        <v>32</v>
      </c>
      <c r="AH84" s="101">
        <f t="shared" si="77"/>
        <v>30</v>
      </c>
      <c r="AI84" s="118">
        <f t="shared" si="82"/>
        <v>22135</v>
      </c>
      <c r="AJ84" s="118">
        <f t="shared" si="60"/>
        <v>20152</v>
      </c>
      <c r="AK84" s="118">
        <f t="shared" si="61"/>
        <v>11068</v>
      </c>
      <c r="AL84" s="118">
        <f t="shared" si="62"/>
        <v>5534</v>
      </c>
      <c r="AM84" s="118">
        <f t="shared" si="94"/>
        <v>3551</v>
      </c>
      <c r="AN84" s="119">
        <f t="shared" si="64"/>
        <v>655</v>
      </c>
      <c r="AO84" s="119">
        <f t="shared" si="92"/>
        <v>1328</v>
      </c>
      <c r="AP84" s="118">
        <f t="shared" si="89"/>
        <v>22136</v>
      </c>
      <c r="AQ84" s="118">
        <v>0</v>
      </c>
      <c r="AR84" s="118">
        <f t="shared" si="66"/>
        <v>152</v>
      </c>
      <c r="AS84" s="118">
        <f t="shared" si="95"/>
        <v>655</v>
      </c>
      <c r="AT84" s="118">
        <f t="shared" si="96"/>
        <v>1328</v>
      </c>
      <c r="AU84" s="118">
        <f t="shared" si="97"/>
        <v>1328</v>
      </c>
      <c r="AV84" s="118"/>
      <c r="AW84" s="118">
        <v>0</v>
      </c>
      <c r="AX84" s="118">
        <v>0</v>
      </c>
      <c r="AY84" s="120"/>
      <c r="AZ84" s="120">
        <v>1000</v>
      </c>
      <c r="BA84" s="118">
        <f t="shared" si="53"/>
        <v>17673</v>
      </c>
      <c r="BB84" s="131" t="s">
        <v>394</v>
      </c>
      <c r="BC84" s="139" t="s">
        <v>512</v>
      </c>
      <c r="BD84" s="139" t="s">
        <v>516</v>
      </c>
      <c r="BE84" s="102"/>
      <c r="BF84" s="102"/>
      <c r="BG84" s="70" t="s">
        <v>48</v>
      </c>
      <c r="BH84" s="125">
        <v>0</v>
      </c>
      <c r="BI84" s="156"/>
      <c r="BJ84" s="70"/>
    </row>
    <row r="85" spans="1:62" s="13" customFormat="1" x14ac:dyDescent="0.25">
      <c r="A85" s="70">
        <f t="shared" si="76"/>
        <v>83</v>
      </c>
      <c r="B85" s="122">
        <v>2086</v>
      </c>
      <c r="C85" s="108" t="s">
        <v>493</v>
      </c>
      <c r="D85" s="140" t="s">
        <v>503</v>
      </c>
      <c r="E85" s="146" t="s">
        <v>488</v>
      </c>
      <c r="F85" s="114" t="s">
        <v>508</v>
      </c>
      <c r="G85" s="147"/>
      <c r="H85" s="122" t="s">
        <v>43</v>
      </c>
      <c r="I85" s="82">
        <v>45126</v>
      </c>
      <c r="J85" s="137"/>
      <c r="K85" s="82"/>
      <c r="L85" s="102"/>
      <c r="M85" s="128" t="s">
        <v>44</v>
      </c>
      <c r="N85" s="117" t="s">
        <v>959</v>
      </c>
      <c r="O85" s="114" t="s">
        <v>1001</v>
      </c>
      <c r="P85" s="70" t="s">
        <v>412</v>
      </c>
      <c r="Q85" s="70" t="s">
        <v>412</v>
      </c>
      <c r="R85" s="125">
        <v>19074</v>
      </c>
      <c r="S85" s="125">
        <f>+R85*0.15</f>
        <v>2861.1</v>
      </c>
      <c r="T85" s="116">
        <v>45778</v>
      </c>
      <c r="U85" s="119">
        <f t="shared" si="90"/>
        <v>21935.1</v>
      </c>
      <c r="V85" s="119">
        <v>19970</v>
      </c>
      <c r="W85" s="119">
        <f>+U85*0.5</f>
        <v>10967.55</v>
      </c>
      <c r="X85" s="125">
        <f>+W85*0.5</f>
        <v>5483.7749999999996</v>
      </c>
      <c r="Y85" s="118">
        <f t="shared" si="93"/>
        <v>3518.6750000000011</v>
      </c>
      <c r="Z85" s="118">
        <f t="shared" si="80"/>
        <v>19970</v>
      </c>
      <c r="AA85" s="119">
        <v>30</v>
      </c>
      <c r="AB85" s="115">
        <v>7</v>
      </c>
      <c r="AC85" s="115">
        <v>2</v>
      </c>
      <c r="AD85" s="115">
        <v>1</v>
      </c>
      <c r="AE85" s="115"/>
      <c r="AF85" s="115">
        <f t="shared" si="86"/>
        <v>6</v>
      </c>
      <c r="AG85" s="115">
        <f t="shared" si="83"/>
        <v>36</v>
      </c>
      <c r="AH85" s="101">
        <f t="shared" si="77"/>
        <v>30</v>
      </c>
      <c r="AI85" s="118">
        <f t="shared" si="82"/>
        <v>21935</v>
      </c>
      <c r="AJ85" s="118">
        <f t="shared" si="60"/>
        <v>19970</v>
      </c>
      <c r="AK85" s="118">
        <f t="shared" si="61"/>
        <v>10968</v>
      </c>
      <c r="AL85" s="118">
        <f t="shared" si="62"/>
        <v>5484</v>
      </c>
      <c r="AM85" s="118">
        <f t="shared" si="94"/>
        <v>3519</v>
      </c>
      <c r="AN85" s="119">
        <f t="shared" si="64"/>
        <v>650</v>
      </c>
      <c r="AO85" s="119">
        <f t="shared" si="92"/>
        <v>1316</v>
      </c>
      <c r="AP85" s="118">
        <f t="shared" si="89"/>
        <v>21937</v>
      </c>
      <c r="AQ85" s="118">
        <v>0</v>
      </c>
      <c r="AR85" s="118">
        <f t="shared" si="66"/>
        <v>150</v>
      </c>
      <c r="AS85" s="118">
        <f t="shared" si="95"/>
        <v>650</v>
      </c>
      <c r="AT85" s="118">
        <f t="shared" si="96"/>
        <v>1316</v>
      </c>
      <c r="AU85" s="118">
        <f t="shared" si="97"/>
        <v>1316</v>
      </c>
      <c r="AV85" s="118"/>
      <c r="AW85" s="118">
        <v>0</v>
      </c>
      <c r="AX85" s="118">
        <f t="shared" si="88"/>
        <v>0</v>
      </c>
      <c r="AY85" s="120"/>
      <c r="AZ85" s="120">
        <v>1000</v>
      </c>
      <c r="BA85" s="118">
        <f t="shared" si="53"/>
        <v>17505</v>
      </c>
      <c r="BB85" s="131" t="s">
        <v>455</v>
      </c>
      <c r="BC85" s="139" t="s">
        <v>513</v>
      </c>
      <c r="BD85" s="139" t="s">
        <v>514</v>
      </c>
      <c r="BE85" s="102"/>
      <c r="BF85" s="102"/>
      <c r="BG85" s="70" t="s">
        <v>48</v>
      </c>
      <c r="BH85" s="125">
        <v>0</v>
      </c>
      <c r="BI85" s="156"/>
      <c r="BJ85" s="70"/>
    </row>
    <row r="86" spans="1:62" s="13" customFormat="1" x14ac:dyDescent="0.25">
      <c r="A86" s="70">
        <f t="shared" si="76"/>
        <v>84</v>
      </c>
      <c r="B86" s="122">
        <v>2102</v>
      </c>
      <c r="C86" s="108" t="s">
        <v>538</v>
      </c>
      <c r="D86" s="140" t="s">
        <v>535</v>
      </c>
      <c r="E86" s="146" t="s">
        <v>521</v>
      </c>
      <c r="F86" s="114" t="s">
        <v>529</v>
      </c>
      <c r="G86" s="147">
        <v>9122720735</v>
      </c>
      <c r="H86" s="122" t="s">
        <v>43</v>
      </c>
      <c r="I86" s="82">
        <v>45143</v>
      </c>
      <c r="J86" s="137"/>
      <c r="K86" s="82"/>
      <c r="L86" s="102"/>
      <c r="M86" s="128" t="s">
        <v>44</v>
      </c>
      <c r="N86" s="117" t="s">
        <v>959</v>
      </c>
      <c r="O86" s="114" t="s">
        <v>1001</v>
      </c>
      <c r="P86" s="70" t="s">
        <v>412</v>
      </c>
      <c r="Q86" s="70" t="s">
        <v>412</v>
      </c>
      <c r="R86" s="125">
        <v>19500</v>
      </c>
      <c r="S86" s="83">
        <f>+R86*0.12</f>
        <v>2340</v>
      </c>
      <c r="T86" s="116">
        <v>45778</v>
      </c>
      <c r="U86" s="119">
        <f t="shared" ref="U86" si="98">R86+S86</f>
        <v>21840</v>
      </c>
      <c r="V86" s="119">
        <v>19884</v>
      </c>
      <c r="W86" s="119">
        <f>+U86*0.5</f>
        <v>10920</v>
      </c>
      <c r="X86" s="125">
        <v>4625</v>
      </c>
      <c r="Y86" s="118">
        <f t="shared" ref="Y86:Y87" si="99">+V86-W86-X86</f>
        <v>4339</v>
      </c>
      <c r="Z86" s="118">
        <f t="shared" ref="Z86" si="100">W86+X86+Y86</f>
        <v>19884</v>
      </c>
      <c r="AA86" s="119">
        <v>30</v>
      </c>
      <c r="AB86" s="115">
        <v>10</v>
      </c>
      <c r="AC86" s="115">
        <v>3.5</v>
      </c>
      <c r="AD86" s="115">
        <v>1</v>
      </c>
      <c r="AE86" s="115"/>
      <c r="AF86" s="115">
        <f t="shared" si="86"/>
        <v>7.5</v>
      </c>
      <c r="AG86" s="115">
        <f t="shared" si="83"/>
        <v>37.5</v>
      </c>
      <c r="AH86" s="101">
        <f t="shared" si="77"/>
        <v>30</v>
      </c>
      <c r="AI86" s="118">
        <f t="shared" si="82"/>
        <v>21840</v>
      </c>
      <c r="AJ86" s="118">
        <f t="shared" si="60"/>
        <v>19884</v>
      </c>
      <c r="AK86" s="118">
        <f t="shared" si="61"/>
        <v>10920</v>
      </c>
      <c r="AL86" s="118">
        <f t="shared" si="62"/>
        <v>4625</v>
      </c>
      <c r="AM86" s="118">
        <f t="shared" si="94"/>
        <v>4339</v>
      </c>
      <c r="AN86" s="119">
        <f t="shared" si="64"/>
        <v>647</v>
      </c>
      <c r="AO86" s="119">
        <f t="shared" si="92"/>
        <v>1310</v>
      </c>
      <c r="AP86" s="118">
        <f t="shared" si="89"/>
        <v>21841</v>
      </c>
      <c r="AQ86" s="118">
        <v>0</v>
      </c>
      <c r="AR86" s="118">
        <f t="shared" si="66"/>
        <v>150</v>
      </c>
      <c r="AS86" s="118">
        <f t="shared" si="95"/>
        <v>647</v>
      </c>
      <c r="AT86" s="118">
        <f t="shared" si="96"/>
        <v>1310</v>
      </c>
      <c r="AU86" s="118">
        <f t="shared" si="97"/>
        <v>1310</v>
      </c>
      <c r="AV86" s="118"/>
      <c r="AW86" s="118">
        <v>0</v>
      </c>
      <c r="AX86" s="118">
        <f t="shared" si="88"/>
        <v>0</v>
      </c>
      <c r="AY86" s="120"/>
      <c r="AZ86" s="120">
        <v>0</v>
      </c>
      <c r="BA86" s="118">
        <f t="shared" si="53"/>
        <v>18424</v>
      </c>
      <c r="BB86" s="131" t="s">
        <v>455</v>
      </c>
      <c r="BC86" s="139" t="s">
        <v>530</v>
      </c>
      <c r="BD86" s="139" t="s">
        <v>531</v>
      </c>
      <c r="BE86" s="102"/>
      <c r="BF86" s="102"/>
      <c r="BG86" s="70" t="s">
        <v>48</v>
      </c>
      <c r="BH86" s="125">
        <v>0</v>
      </c>
      <c r="BI86" s="156"/>
      <c r="BJ86" s="70"/>
    </row>
    <row r="87" spans="1:62" s="13" customFormat="1" x14ac:dyDescent="0.25">
      <c r="A87" s="70">
        <f t="shared" si="76"/>
        <v>85</v>
      </c>
      <c r="B87" s="122">
        <v>2109</v>
      </c>
      <c r="C87" s="108" t="s">
        <v>539</v>
      </c>
      <c r="D87" s="140" t="s">
        <v>537</v>
      </c>
      <c r="E87" s="146" t="s">
        <v>524</v>
      </c>
      <c r="F87" s="114" t="s">
        <v>526</v>
      </c>
      <c r="G87" s="147">
        <v>6206740532</v>
      </c>
      <c r="H87" s="122" t="s">
        <v>43</v>
      </c>
      <c r="I87" s="82">
        <v>45147</v>
      </c>
      <c r="J87" s="137"/>
      <c r="K87" s="82"/>
      <c r="L87" s="102"/>
      <c r="M87" s="128" t="s">
        <v>44</v>
      </c>
      <c r="N87" s="117" t="s">
        <v>959</v>
      </c>
      <c r="O87" s="114" t="s">
        <v>110</v>
      </c>
      <c r="P87" s="70" t="s">
        <v>412</v>
      </c>
      <c r="Q87" s="70" t="s">
        <v>412</v>
      </c>
      <c r="R87" s="125">
        <v>17375</v>
      </c>
      <c r="S87" s="119">
        <f>+R87*0.12</f>
        <v>2085</v>
      </c>
      <c r="T87" s="116">
        <v>45778</v>
      </c>
      <c r="U87" s="119">
        <f t="shared" ref="U87" si="101">R87+S87</f>
        <v>19460</v>
      </c>
      <c r="V87" s="119">
        <v>17592</v>
      </c>
      <c r="W87" s="119">
        <v>10800</v>
      </c>
      <c r="X87" s="125">
        <f>+W87*0.5</f>
        <v>5400</v>
      </c>
      <c r="Y87" s="118">
        <f t="shared" si="99"/>
        <v>1392</v>
      </c>
      <c r="Z87" s="118">
        <f>W87+X87+Y87</f>
        <v>17592</v>
      </c>
      <c r="AA87" s="119">
        <v>30</v>
      </c>
      <c r="AB87" s="115">
        <v>14.5</v>
      </c>
      <c r="AC87" s="115">
        <v>3.5</v>
      </c>
      <c r="AD87" s="115">
        <v>1</v>
      </c>
      <c r="AE87" s="115"/>
      <c r="AF87" s="115">
        <f t="shared" si="86"/>
        <v>12</v>
      </c>
      <c r="AG87" s="115">
        <f t="shared" ref="AG87" si="102">+AF87+AA87</f>
        <v>42</v>
      </c>
      <c r="AH87" s="101">
        <f t="shared" si="77"/>
        <v>30</v>
      </c>
      <c r="AI87" s="118">
        <f t="shared" si="82"/>
        <v>19460</v>
      </c>
      <c r="AJ87" s="118">
        <f t="shared" si="60"/>
        <v>17592</v>
      </c>
      <c r="AK87" s="118">
        <f t="shared" si="61"/>
        <v>10800</v>
      </c>
      <c r="AL87" s="118">
        <f t="shared" si="62"/>
        <v>5400</v>
      </c>
      <c r="AM87" s="118">
        <f t="shared" si="94"/>
        <v>1392</v>
      </c>
      <c r="AN87" s="119">
        <f t="shared" si="64"/>
        <v>572</v>
      </c>
      <c r="AO87" s="119">
        <f t="shared" si="92"/>
        <v>1296</v>
      </c>
      <c r="AP87" s="118">
        <f t="shared" si="89"/>
        <v>19460</v>
      </c>
      <c r="AQ87" s="118">
        <v>0</v>
      </c>
      <c r="AR87" s="118">
        <f t="shared" si="66"/>
        <v>132</v>
      </c>
      <c r="AS87" s="118">
        <f t="shared" si="95"/>
        <v>572</v>
      </c>
      <c r="AT87" s="118">
        <f t="shared" si="96"/>
        <v>1296</v>
      </c>
      <c r="AU87" s="118">
        <f t="shared" si="97"/>
        <v>1296</v>
      </c>
      <c r="AV87" s="118"/>
      <c r="AW87" s="118">
        <v>0</v>
      </c>
      <c r="AX87" s="118">
        <v>0</v>
      </c>
      <c r="AY87" s="120"/>
      <c r="AZ87" s="120">
        <v>1000</v>
      </c>
      <c r="BA87" s="118">
        <f t="shared" ref="BA87:BA120" si="103">AP87-AQ87-AR87-AS87-AT87-AU87-AW87+AY87-AZ87</f>
        <v>15164</v>
      </c>
      <c r="BB87" s="131" t="s">
        <v>54</v>
      </c>
      <c r="BC87" s="139" t="s">
        <v>527</v>
      </c>
      <c r="BD87" s="139" t="s">
        <v>528</v>
      </c>
      <c r="BE87" s="102"/>
      <c r="BF87" s="102"/>
      <c r="BG87" s="70" t="s">
        <v>48</v>
      </c>
      <c r="BH87" s="125">
        <v>0</v>
      </c>
      <c r="BI87" s="156"/>
      <c r="BJ87" s="70"/>
    </row>
    <row r="88" spans="1:62" s="13" customFormat="1" x14ac:dyDescent="0.25">
      <c r="A88" s="70">
        <f t="shared" si="76"/>
        <v>86</v>
      </c>
      <c r="B88" s="122">
        <v>2115</v>
      </c>
      <c r="C88" s="108" t="s">
        <v>540</v>
      </c>
      <c r="D88" s="140" t="s">
        <v>536</v>
      </c>
      <c r="E88" s="146" t="s">
        <v>464</v>
      </c>
      <c r="F88" s="114" t="s">
        <v>578</v>
      </c>
      <c r="G88" s="147"/>
      <c r="H88" s="122" t="s">
        <v>43</v>
      </c>
      <c r="I88" s="82">
        <v>45163</v>
      </c>
      <c r="J88" s="137"/>
      <c r="K88" s="82"/>
      <c r="L88" s="102"/>
      <c r="M88" s="128" t="s">
        <v>44</v>
      </c>
      <c r="N88" s="117" t="s">
        <v>959</v>
      </c>
      <c r="O88" s="114" t="s">
        <v>976</v>
      </c>
      <c r="P88" s="70" t="s">
        <v>412</v>
      </c>
      <c r="Q88" s="70" t="s">
        <v>412</v>
      </c>
      <c r="R88" s="125">
        <v>19844</v>
      </c>
      <c r="S88" s="119">
        <f>+R88*0.1</f>
        <v>1984.4</v>
      </c>
      <c r="T88" s="116">
        <v>45778</v>
      </c>
      <c r="U88" s="119">
        <f t="shared" ref="U88" si="104">R88+S88</f>
        <v>21828.400000000001</v>
      </c>
      <c r="V88" s="119">
        <v>19872</v>
      </c>
      <c r="W88" s="119">
        <f>+U88*0.5</f>
        <v>10914.2</v>
      </c>
      <c r="X88" s="125">
        <f>+W88*0.5</f>
        <v>5457.1</v>
      </c>
      <c r="Y88" s="118">
        <f t="shared" ref="Y88:Y89" si="105">+V88-W88-X88</f>
        <v>3500.6999999999989</v>
      </c>
      <c r="Z88" s="118">
        <f t="shared" ref="Z88" si="106">W88+X88+Y88</f>
        <v>19872</v>
      </c>
      <c r="AA88" s="119">
        <v>30</v>
      </c>
      <c r="AB88" s="115">
        <v>5</v>
      </c>
      <c r="AC88" s="115">
        <v>10.5</v>
      </c>
      <c r="AD88" s="115">
        <v>1</v>
      </c>
      <c r="AE88" s="115"/>
      <c r="AF88" s="115">
        <f t="shared" si="86"/>
        <v>-4.5</v>
      </c>
      <c r="AG88" s="115">
        <f t="shared" ref="AG88" si="107">+AF88+AA88</f>
        <v>25.5</v>
      </c>
      <c r="AH88" s="101">
        <f t="shared" si="77"/>
        <v>25.5</v>
      </c>
      <c r="AI88" s="118">
        <f t="shared" si="82"/>
        <v>18554</v>
      </c>
      <c r="AJ88" s="118">
        <f t="shared" si="60"/>
        <v>16891</v>
      </c>
      <c r="AK88" s="118">
        <f t="shared" si="61"/>
        <v>9277</v>
      </c>
      <c r="AL88" s="118">
        <f t="shared" si="62"/>
        <v>4639</v>
      </c>
      <c r="AM88" s="118">
        <f t="shared" si="94"/>
        <v>2976</v>
      </c>
      <c r="AN88" s="119">
        <f t="shared" si="64"/>
        <v>549</v>
      </c>
      <c r="AO88" s="119">
        <f t="shared" si="92"/>
        <v>1113</v>
      </c>
      <c r="AP88" s="118">
        <f t="shared" si="89"/>
        <v>18554</v>
      </c>
      <c r="AQ88" s="118">
        <v>0</v>
      </c>
      <c r="AR88" s="118">
        <f t="shared" si="66"/>
        <v>127</v>
      </c>
      <c r="AS88" s="118">
        <f t="shared" si="95"/>
        <v>549</v>
      </c>
      <c r="AT88" s="118">
        <f t="shared" si="96"/>
        <v>1113</v>
      </c>
      <c r="AU88" s="118">
        <f t="shared" si="97"/>
        <v>1113</v>
      </c>
      <c r="AV88" s="118">
        <v>5000</v>
      </c>
      <c r="AW88" s="118">
        <v>5000</v>
      </c>
      <c r="AX88" s="118">
        <f t="shared" ref="AX88" si="108">+AV88-AW88</f>
        <v>0</v>
      </c>
      <c r="AY88" s="120"/>
      <c r="AZ88" s="120">
        <v>0</v>
      </c>
      <c r="BA88" s="118">
        <f t="shared" si="103"/>
        <v>10652</v>
      </c>
      <c r="BB88" s="131" t="s">
        <v>1255</v>
      </c>
      <c r="BC88" s="139" t="s">
        <v>1256</v>
      </c>
      <c r="BD88" s="139" t="s">
        <v>1338</v>
      </c>
      <c r="BE88" s="102"/>
      <c r="BF88" s="102"/>
      <c r="BG88" s="70" t="s">
        <v>48</v>
      </c>
      <c r="BH88" s="125">
        <v>0</v>
      </c>
      <c r="BI88" s="156"/>
      <c r="BJ88" s="70"/>
    </row>
    <row r="89" spans="1:62" s="13" customFormat="1" x14ac:dyDescent="0.25">
      <c r="A89" s="70">
        <f t="shared" si="76"/>
        <v>87</v>
      </c>
      <c r="B89" s="122">
        <v>2118</v>
      </c>
      <c r="C89" s="108" t="s">
        <v>41</v>
      </c>
      <c r="D89" s="140" t="s">
        <v>546</v>
      </c>
      <c r="E89" s="146" t="s">
        <v>426</v>
      </c>
      <c r="F89" s="114" t="s">
        <v>579</v>
      </c>
      <c r="G89" s="147"/>
      <c r="H89" s="122" t="s">
        <v>43</v>
      </c>
      <c r="I89" s="82">
        <v>45139</v>
      </c>
      <c r="J89" s="137"/>
      <c r="K89" s="82"/>
      <c r="L89" s="102"/>
      <c r="M89" s="128" t="s">
        <v>44</v>
      </c>
      <c r="N89" s="117" t="s">
        <v>947</v>
      </c>
      <c r="O89" s="114" t="s">
        <v>998</v>
      </c>
      <c r="P89" s="70" t="s">
        <v>46</v>
      </c>
      <c r="Q89" s="70" t="s">
        <v>412</v>
      </c>
      <c r="R89" s="125">
        <v>26120</v>
      </c>
      <c r="S89" s="125">
        <f>+R89*0.12</f>
        <v>3134.4</v>
      </c>
      <c r="T89" s="116">
        <v>45778</v>
      </c>
      <c r="U89" s="119">
        <f>R89+S89</f>
        <v>29254.400000000001</v>
      </c>
      <c r="V89" s="119">
        <v>27499</v>
      </c>
      <c r="W89" s="119">
        <f>+U89*0.5</f>
        <v>14627.2</v>
      </c>
      <c r="X89" s="125">
        <f t="shared" ref="X89:X91" si="109">+W89*0.5</f>
        <v>7313.6</v>
      </c>
      <c r="Y89" s="118">
        <f t="shared" si="105"/>
        <v>5558.1999999999989</v>
      </c>
      <c r="Z89" s="118">
        <f>W89+X89+Y89</f>
        <v>27499</v>
      </c>
      <c r="AA89" s="119">
        <v>30</v>
      </c>
      <c r="AB89" s="115">
        <v>29.5</v>
      </c>
      <c r="AC89" s="115">
        <v>0</v>
      </c>
      <c r="AD89" s="115">
        <v>1</v>
      </c>
      <c r="AE89" s="115"/>
      <c r="AF89" s="115">
        <f t="shared" si="86"/>
        <v>30.5</v>
      </c>
      <c r="AG89" s="115">
        <f>+AF89+AA89</f>
        <v>60.5</v>
      </c>
      <c r="AH89" s="101">
        <f t="shared" si="77"/>
        <v>30</v>
      </c>
      <c r="AI89" s="118">
        <f t="shared" si="82"/>
        <v>29254</v>
      </c>
      <c r="AJ89" s="118">
        <f t="shared" si="60"/>
        <v>27499</v>
      </c>
      <c r="AK89" s="118">
        <f t="shared" si="61"/>
        <v>14627</v>
      </c>
      <c r="AL89" s="118">
        <f t="shared" si="62"/>
        <v>7314</v>
      </c>
      <c r="AM89" s="118">
        <f t="shared" si="94"/>
        <v>5558</v>
      </c>
      <c r="AN89" s="119">
        <f t="shared" si="64"/>
        <v>0</v>
      </c>
      <c r="AO89" s="119">
        <f t="shared" si="92"/>
        <v>1755</v>
      </c>
      <c r="AP89" s="118">
        <f t="shared" si="89"/>
        <v>29254</v>
      </c>
      <c r="AQ89" s="118">
        <v>0</v>
      </c>
      <c r="AR89" s="118">
        <f t="shared" si="66"/>
        <v>0</v>
      </c>
      <c r="AS89" s="118">
        <f t="shared" si="95"/>
        <v>0</v>
      </c>
      <c r="AT89" s="118">
        <f t="shared" si="96"/>
        <v>1755</v>
      </c>
      <c r="AU89" s="118">
        <f t="shared" si="97"/>
        <v>1755</v>
      </c>
      <c r="AV89" s="118"/>
      <c r="AW89" s="118">
        <v>0</v>
      </c>
      <c r="AX89" s="118">
        <v>0</v>
      </c>
      <c r="AY89" s="120"/>
      <c r="AZ89" s="120">
        <v>0</v>
      </c>
      <c r="BA89" s="118">
        <f t="shared" si="103"/>
        <v>25744</v>
      </c>
      <c r="BB89" s="131" t="s">
        <v>446</v>
      </c>
      <c r="BC89" s="139" t="s">
        <v>265</v>
      </c>
      <c r="BD89" s="139" t="s">
        <v>447</v>
      </c>
      <c r="BE89" s="102"/>
      <c r="BF89" s="102"/>
      <c r="BG89" s="70" t="s">
        <v>48</v>
      </c>
      <c r="BH89" s="125">
        <v>0</v>
      </c>
      <c r="BI89" s="156"/>
      <c r="BJ89" s="70"/>
    </row>
    <row r="90" spans="1:62" s="13" customFormat="1" x14ac:dyDescent="0.25">
      <c r="A90" s="70">
        <f t="shared" si="76"/>
        <v>88</v>
      </c>
      <c r="B90" s="122">
        <v>2134</v>
      </c>
      <c r="C90" s="108" t="s">
        <v>41</v>
      </c>
      <c r="D90" s="140" t="s">
        <v>584</v>
      </c>
      <c r="E90" s="146" t="s">
        <v>554</v>
      </c>
      <c r="F90" s="114" t="s">
        <v>577</v>
      </c>
      <c r="G90" s="147"/>
      <c r="H90" s="122" t="s">
        <v>43</v>
      </c>
      <c r="I90" s="82">
        <v>45203</v>
      </c>
      <c r="J90" s="137"/>
      <c r="K90" s="82"/>
      <c r="L90" s="102"/>
      <c r="M90" s="128" t="s">
        <v>44</v>
      </c>
      <c r="N90" s="117" t="s">
        <v>947</v>
      </c>
      <c r="O90" s="114" t="s">
        <v>1112</v>
      </c>
      <c r="P90" s="70" t="s">
        <v>292</v>
      </c>
      <c r="Q90" s="70" t="s">
        <v>412</v>
      </c>
      <c r="R90" s="125">
        <v>28747</v>
      </c>
      <c r="S90" s="125">
        <f>+R90*0.1</f>
        <v>2874.7000000000003</v>
      </c>
      <c r="T90" s="116" t="s">
        <v>1530</v>
      </c>
      <c r="U90" s="119">
        <f t="shared" ref="U90" si="110">R90+S90</f>
        <v>31621.7</v>
      </c>
      <c r="V90" s="119">
        <v>29822</v>
      </c>
      <c r="W90" s="119">
        <f>+U90*0.5</f>
        <v>15810.85</v>
      </c>
      <c r="X90" s="125">
        <f t="shared" si="109"/>
        <v>7905.4250000000002</v>
      </c>
      <c r="Y90" s="118">
        <f t="shared" ref="Y90" si="111">+V90-W90-X90</f>
        <v>6105.7249999999995</v>
      </c>
      <c r="Z90" s="118">
        <f>W90+X90+Y90</f>
        <v>29822</v>
      </c>
      <c r="AA90" s="119">
        <v>30</v>
      </c>
      <c r="AB90" s="115">
        <v>12</v>
      </c>
      <c r="AC90" s="115">
        <v>2</v>
      </c>
      <c r="AD90" s="115">
        <v>1</v>
      </c>
      <c r="AE90" s="115"/>
      <c r="AF90" s="115">
        <f t="shared" si="86"/>
        <v>11</v>
      </c>
      <c r="AG90" s="115">
        <f t="shared" ref="AG90" si="112">+AF90+AA90</f>
        <v>41</v>
      </c>
      <c r="AH90" s="101">
        <f t="shared" si="77"/>
        <v>30</v>
      </c>
      <c r="AI90" s="118">
        <f t="shared" si="82"/>
        <v>31622</v>
      </c>
      <c r="AJ90" s="118">
        <f t="shared" si="60"/>
        <v>29822</v>
      </c>
      <c r="AK90" s="118">
        <f t="shared" si="61"/>
        <v>15811</v>
      </c>
      <c r="AL90" s="118">
        <f t="shared" si="62"/>
        <v>7905</v>
      </c>
      <c r="AM90" s="118">
        <f t="shared" si="94"/>
        <v>6106</v>
      </c>
      <c r="AN90" s="119">
        <f t="shared" si="64"/>
        <v>0</v>
      </c>
      <c r="AO90" s="119">
        <f t="shared" si="92"/>
        <v>1800</v>
      </c>
      <c r="AP90" s="118">
        <f t="shared" si="89"/>
        <v>31622</v>
      </c>
      <c r="AQ90" s="118">
        <v>0</v>
      </c>
      <c r="AR90" s="118">
        <f t="shared" si="66"/>
        <v>0</v>
      </c>
      <c r="AS90" s="118">
        <f t="shared" si="95"/>
        <v>0</v>
      </c>
      <c r="AT90" s="118">
        <f t="shared" si="96"/>
        <v>1800</v>
      </c>
      <c r="AU90" s="118">
        <f t="shared" si="97"/>
        <v>1800</v>
      </c>
      <c r="AV90" s="118">
        <v>50000</v>
      </c>
      <c r="AW90" s="118">
        <v>12500</v>
      </c>
      <c r="AX90" s="118">
        <f t="shared" ref="AX90:AX101" si="113">+AV90-AW90</f>
        <v>37500</v>
      </c>
      <c r="AY90" s="120"/>
      <c r="AZ90" s="120">
        <v>0</v>
      </c>
      <c r="BA90" s="118">
        <f t="shared" si="103"/>
        <v>15522</v>
      </c>
      <c r="BB90" s="131" t="s">
        <v>654</v>
      </c>
      <c r="BC90" s="139" t="s">
        <v>653</v>
      </c>
      <c r="BD90" s="139" t="s">
        <v>652</v>
      </c>
      <c r="BE90" s="102"/>
      <c r="BF90" s="102"/>
      <c r="BG90" s="70" t="s">
        <v>48</v>
      </c>
      <c r="BH90" s="125">
        <v>0</v>
      </c>
      <c r="BI90" s="156"/>
      <c r="BJ90" s="70"/>
    </row>
    <row r="91" spans="1:62" s="13" customFormat="1" x14ac:dyDescent="0.25">
      <c r="A91" s="70">
        <f t="shared" si="76"/>
        <v>89</v>
      </c>
      <c r="B91" s="122">
        <v>2136</v>
      </c>
      <c r="C91" s="108" t="s">
        <v>616</v>
      </c>
      <c r="D91" s="140" t="s">
        <v>603</v>
      </c>
      <c r="E91" s="146" t="s">
        <v>555</v>
      </c>
      <c r="F91" s="114" t="s">
        <v>576</v>
      </c>
      <c r="G91" s="147"/>
      <c r="H91" s="122" t="s">
        <v>43</v>
      </c>
      <c r="I91" s="82">
        <v>45209</v>
      </c>
      <c r="J91" s="137"/>
      <c r="K91" s="82"/>
      <c r="L91" s="102"/>
      <c r="M91" s="128" t="s">
        <v>44</v>
      </c>
      <c r="N91" s="117" t="s">
        <v>959</v>
      </c>
      <c r="O91" s="114" t="s">
        <v>976</v>
      </c>
      <c r="P91" s="70" t="s">
        <v>412</v>
      </c>
      <c r="Q91" s="70" t="s">
        <v>412</v>
      </c>
      <c r="R91" s="125">
        <v>17812</v>
      </c>
      <c r="S91" s="125">
        <f>+R91*0.1</f>
        <v>1781.2</v>
      </c>
      <c r="T91" s="74">
        <v>45778</v>
      </c>
      <c r="U91" s="119">
        <f>R91+S91</f>
        <v>19593.2</v>
      </c>
      <c r="V91" s="119">
        <v>17721</v>
      </c>
      <c r="W91" s="119">
        <v>10800</v>
      </c>
      <c r="X91" s="125">
        <f t="shared" si="109"/>
        <v>5400</v>
      </c>
      <c r="Y91" s="118">
        <f t="shared" ref="Y91:Y94" si="114">+V91-W91-X91</f>
        <v>1521</v>
      </c>
      <c r="Z91" s="118">
        <f>W91+X91+Y91</f>
        <v>17721</v>
      </c>
      <c r="AA91" s="119">
        <v>30</v>
      </c>
      <c r="AB91" s="115">
        <v>18</v>
      </c>
      <c r="AC91" s="115">
        <v>6</v>
      </c>
      <c r="AD91" s="115">
        <v>1</v>
      </c>
      <c r="AE91" s="115"/>
      <c r="AF91" s="115">
        <f t="shared" si="86"/>
        <v>13</v>
      </c>
      <c r="AG91" s="115">
        <f>+AF91+AA91</f>
        <v>43</v>
      </c>
      <c r="AH91" s="101">
        <f t="shared" si="77"/>
        <v>30</v>
      </c>
      <c r="AI91" s="118">
        <f t="shared" si="82"/>
        <v>19593</v>
      </c>
      <c r="AJ91" s="118">
        <f t="shared" si="60"/>
        <v>17721</v>
      </c>
      <c r="AK91" s="118">
        <f t="shared" si="61"/>
        <v>10800</v>
      </c>
      <c r="AL91" s="118">
        <f t="shared" si="62"/>
        <v>5400</v>
      </c>
      <c r="AM91" s="118">
        <f t="shared" si="94"/>
        <v>1521</v>
      </c>
      <c r="AN91" s="119">
        <f t="shared" si="64"/>
        <v>576</v>
      </c>
      <c r="AO91" s="119">
        <f t="shared" si="92"/>
        <v>1296</v>
      </c>
      <c r="AP91" s="118">
        <f t="shared" si="89"/>
        <v>19593</v>
      </c>
      <c r="AQ91" s="118">
        <v>0</v>
      </c>
      <c r="AR91" s="118">
        <f t="shared" si="66"/>
        <v>133</v>
      </c>
      <c r="AS91" s="118">
        <f t="shared" si="95"/>
        <v>576</v>
      </c>
      <c r="AT91" s="118">
        <f t="shared" si="96"/>
        <v>1296</v>
      </c>
      <c r="AU91" s="118">
        <f t="shared" si="97"/>
        <v>1296</v>
      </c>
      <c r="AV91" s="118"/>
      <c r="AW91" s="118">
        <v>0</v>
      </c>
      <c r="AX91" s="118">
        <v>0</v>
      </c>
      <c r="AY91" s="120"/>
      <c r="AZ91" s="120">
        <v>0</v>
      </c>
      <c r="BA91" s="118">
        <f t="shared" si="103"/>
        <v>16292</v>
      </c>
      <c r="BB91" s="131" t="s">
        <v>543</v>
      </c>
      <c r="BC91" s="139" t="s">
        <v>647</v>
      </c>
      <c r="BD91" s="139" t="s">
        <v>648</v>
      </c>
      <c r="BE91" s="102"/>
      <c r="BF91" s="102"/>
      <c r="BG91" s="70" t="s">
        <v>48</v>
      </c>
      <c r="BH91" s="125">
        <v>0</v>
      </c>
      <c r="BI91" s="156"/>
      <c r="BJ91" s="70"/>
    </row>
    <row r="92" spans="1:62" s="13" customFormat="1" x14ac:dyDescent="0.25">
      <c r="A92" s="70">
        <f t="shared" si="76"/>
        <v>90</v>
      </c>
      <c r="B92" s="122">
        <v>2137</v>
      </c>
      <c r="C92" s="108" t="s">
        <v>617</v>
      </c>
      <c r="D92" s="140" t="s">
        <v>604</v>
      </c>
      <c r="E92" s="146" t="s">
        <v>556</v>
      </c>
      <c r="F92" s="114" t="s">
        <v>884</v>
      </c>
      <c r="G92" s="147"/>
      <c r="H92" s="122" t="s">
        <v>43</v>
      </c>
      <c r="I92" s="82">
        <v>45210</v>
      </c>
      <c r="J92" s="137"/>
      <c r="K92" s="82"/>
      <c r="L92" s="102"/>
      <c r="M92" s="128" t="s">
        <v>44</v>
      </c>
      <c r="N92" s="117" t="s">
        <v>959</v>
      </c>
      <c r="O92" s="114" t="s">
        <v>110</v>
      </c>
      <c r="P92" s="70" t="s">
        <v>412</v>
      </c>
      <c r="Q92" s="70" t="s">
        <v>412</v>
      </c>
      <c r="R92" s="125">
        <v>21238</v>
      </c>
      <c r="S92" s="83">
        <f>+R92*0.1</f>
        <v>2123.8000000000002</v>
      </c>
      <c r="T92" s="116">
        <v>45962</v>
      </c>
      <c r="U92" s="119">
        <f t="shared" ref="U92:U106" si="115">R92+S92</f>
        <v>23361.8</v>
      </c>
      <c r="V92" s="119">
        <v>21960</v>
      </c>
      <c r="W92" s="119">
        <f>+U92*0.5</f>
        <v>11680.9</v>
      </c>
      <c r="X92" s="125">
        <f>+W92*0.5</f>
        <v>5840.45</v>
      </c>
      <c r="Y92" s="118">
        <f t="shared" si="114"/>
        <v>4438.6500000000005</v>
      </c>
      <c r="Z92" s="118">
        <f t="shared" ref="Z92:Z94" si="116">+W92+X92+Y92</f>
        <v>21960</v>
      </c>
      <c r="AA92" s="119">
        <v>30</v>
      </c>
      <c r="AB92" s="115">
        <v>11.5</v>
      </c>
      <c r="AC92" s="115">
        <v>0</v>
      </c>
      <c r="AD92" s="115">
        <v>1</v>
      </c>
      <c r="AE92" s="115"/>
      <c r="AF92" s="115">
        <f t="shared" si="86"/>
        <v>12.5</v>
      </c>
      <c r="AG92" s="115">
        <f t="shared" ref="AG92:AG94" si="117">+AF92+AA92</f>
        <v>42.5</v>
      </c>
      <c r="AH92" s="101">
        <f t="shared" si="77"/>
        <v>30</v>
      </c>
      <c r="AI92" s="118">
        <f t="shared" si="82"/>
        <v>23362</v>
      </c>
      <c r="AJ92" s="118">
        <f t="shared" si="60"/>
        <v>21960</v>
      </c>
      <c r="AK92" s="118">
        <f t="shared" si="61"/>
        <v>11681</v>
      </c>
      <c r="AL92" s="118">
        <f t="shared" si="62"/>
        <v>5840</v>
      </c>
      <c r="AM92" s="118">
        <f t="shared" si="94"/>
        <v>4439</v>
      </c>
      <c r="AN92" s="119">
        <f t="shared" si="64"/>
        <v>0</v>
      </c>
      <c r="AO92" s="119">
        <f t="shared" si="92"/>
        <v>1402</v>
      </c>
      <c r="AP92" s="118">
        <f t="shared" si="89"/>
        <v>23362</v>
      </c>
      <c r="AQ92" s="118">
        <v>0</v>
      </c>
      <c r="AR92" s="118">
        <f t="shared" si="66"/>
        <v>0</v>
      </c>
      <c r="AS92" s="118">
        <f t="shared" si="95"/>
        <v>0</v>
      </c>
      <c r="AT92" s="118">
        <f t="shared" si="96"/>
        <v>1402</v>
      </c>
      <c r="AU92" s="118">
        <f t="shared" si="97"/>
        <v>1402</v>
      </c>
      <c r="AV92" s="118"/>
      <c r="AW92" s="118">
        <v>0</v>
      </c>
      <c r="AX92" s="118">
        <f t="shared" si="113"/>
        <v>0</v>
      </c>
      <c r="AY92" s="120"/>
      <c r="AZ92" s="120">
        <v>1000</v>
      </c>
      <c r="BA92" s="118">
        <f t="shared" si="103"/>
        <v>19558</v>
      </c>
      <c r="BB92" s="131" t="s">
        <v>393</v>
      </c>
      <c r="BC92" s="139" t="s">
        <v>202</v>
      </c>
      <c r="BD92" s="139" t="s">
        <v>646</v>
      </c>
      <c r="BE92" s="102"/>
      <c r="BF92" s="102"/>
      <c r="BG92" s="70" t="s">
        <v>48</v>
      </c>
      <c r="BH92" s="125">
        <v>0</v>
      </c>
      <c r="BI92" s="156"/>
      <c r="BJ92" s="70"/>
    </row>
    <row r="93" spans="1:62" s="13" customFormat="1" x14ac:dyDescent="0.25">
      <c r="A93" s="70">
        <f t="shared" si="76"/>
        <v>91</v>
      </c>
      <c r="B93" s="122">
        <v>2138</v>
      </c>
      <c r="C93" s="108" t="s">
        <v>618</v>
      </c>
      <c r="D93" s="140" t="s">
        <v>605</v>
      </c>
      <c r="E93" s="146" t="s">
        <v>557</v>
      </c>
      <c r="F93" s="114" t="s">
        <v>575</v>
      </c>
      <c r="G93" s="147"/>
      <c r="H93" s="122" t="s">
        <v>43</v>
      </c>
      <c r="I93" s="82">
        <v>45210</v>
      </c>
      <c r="J93" s="137"/>
      <c r="K93" s="82"/>
      <c r="L93" s="102"/>
      <c r="M93" s="128" t="s">
        <v>44</v>
      </c>
      <c r="N93" s="117" t="s">
        <v>959</v>
      </c>
      <c r="O93" s="114" t="s">
        <v>110</v>
      </c>
      <c r="P93" s="70" t="s">
        <v>412</v>
      </c>
      <c r="Q93" s="70" t="s">
        <v>412</v>
      </c>
      <c r="R93" s="125">
        <v>21238</v>
      </c>
      <c r="S93" s="83">
        <f>+R93*0.05</f>
        <v>1061.9000000000001</v>
      </c>
      <c r="T93" s="116">
        <v>45962</v>
      </c>
      <c r="U93" s="119">
        <f t="shared" si="115"/>
        <v>22299.9</v>
      </c>
      <c r="V93" s="119">
        <v>20302</v>
      </c>
      <c r="W93" s="119">
        <f>+U93*0.5</f>
        <v>11149.95</v>
      </c>
      <c r="X93" s="125">
        <f>+W93*0.5</f>
        <v>5574.9750000000004</v>
      </c>
      <c r="Y93" s="118">
        <f t="shared" si="114"/>
        <v>3577.0749999999989</v>
      </c>
      <c r="Z93" s="118">
        <f t="shared" si="116"/>
        <v>20302</v>
      </c>
      <c r="AA93" s="119">
        <v>30</v>
      </c>
      <c r="AB93" s="115">
        <v>4.5</v>
      </c>
      <c r="AC93" s="115">
        <v>7</v>
      </c>
      <c r="AD93" s="115">
        <v>1</v>
      </c>
      <c r="AE93" s="115"/>
      <c r="AF93" s="115">
        <f t="shared" si="86"/>
        <v>-1.5</v>
      </c>
      <c r="AG93" s="115">
        <f t="shared" si="117"/>
        <v>28.5</v>
      </c>
      <c r="AH93" s="101">
        <f t="shared" si="77"/>
        <v>28.5</v>
      </c>
      <c r="AI93" s="118">
        <f t="shared" si="82"/>
        <v>21185</v>
      </c>
      <c r="AJ93" s="118">
        <f t="shared" si="60"/>
        <v>19287</v>
      </c>
      <c r="AK93" s="118">
        <f t="shared" si="61"/>
        <v>10592</v>
      </c>
      <c r="AL93" s="118">
        <f t="shared" si="62"/>
        <v>5296</v>
      </c>
      <c r="AM93" s="118">
        <f t="shared" si="94"/>
        <v>3398</v>
      </c>
      <c r="AN93" s="119">
        <f t="shared" si="64"/>
        <v>627</v>
      </c>
      <c r="AO93" s="119">
        <f t="shared" si="92"/>
        <v>1271</v>
      </c>
      <c r="AP93" s="118">
        <f t="shared" si="89"/>
        <v>21184</v>
      </c>
      <c r="AQ93" s="118">
        <v>0</v>
      </c>
      <c r="AR93" s="118">
        <f t="shared" si="66"/>
        <v>145</v>
      </c>
      <c r="AS93" s="118">
        <f t="shared" si="95"/>
        <v>627</v>
      </c>
      <c r="AT93" s="118">
        <f t="shared" si="96"/>
        <v>1271</v>
      </c>
      <c r="AU93" s="118">
        <f t="shared" si="97"/>
        <v>1271</v>
      </c>
      <c r="AV93" s="118"/>
      <c r="AW93" s="118">
        <v>0</v>
      </c>
      <c r="AX93" s="118">
        <v>0</v>
      </c>
      <c r="AY93" s="120"/>
      <c r="AZ93" s="120">
        <v>0</v>
      </c>
      <c r="BA93" s="118">
        <f t="shared" si="103"/>
        <v>17870</v>
      </c>
      <c r="BB93" s="131" t="s">
        <v>446</v>
      </c>
      <c r="BC93" s="139" t="s">
        <v>585</v>
      </c>
      <c r="BD93" s="139" t="s">
        <v>574</v>
      </c>
      <c r="BE93" s="102"/>
      <c r="BF93" s="102"/>
      <c r="BG93" s="70" t="s">
        <v>48</v>
      </c>
      <c r="BH93" s="125">
        <v>0</v>
      </c>
      <c r="BI93" s="156"/>
      <c r="BJ93" s="70"/>
    </row>
    <row r="94" spans="1:62" s="13" customFormat="1" x14ac:dyDescent="0.25">
      <c r="A94" s="70">
        <f t="shared" si="76"/>
        <v>92</v>
      </c>
      <c r="B94" s="122">
        <v>2139</v>
      </c>
      <c r="C94" s="108" t="s">
        <v>619</v>
      </c>
      <c r="D94" s="140" t="s">
        <v>606</v>
      </c>
      <c r="E94" s="146" t="s">
        <v>558</v>
      </c>
      <c r="F94" s="114" t="s">
        <v>571</v>
      </c>
      <c r="G94" s="147"/>
      <c r="H94" s="122" t="s">
        <v>43</v>
      </c>
      <c r="I94" s="82">
        <v>45210</v>
      </c>
      <c r="J94" s="137"/>
      <c r="K94" s="82"/>
      <c r="L94" s="102"/>
      <c r="M94" s="128" t="s">
        <v>44</v>
      </c>
      <c r="N94" s="117" t="s">
        <v>959</v>
      </c>
      <c r="O94" s="114" t="s">
        <v>110</v>
      </c>
      <c r="P94" s="70" t="s">
        <v>412</v>
      </c>
      <c r="Q94" s="70" t="s">
        <v>412</v>
      </c>
      <c r="R94" s="125">
        <v>21238</v>
      </c>
      <c r="S94" s="83">
        <f>+R94*0.05</f>
        <v>1061.9000000000001</v>
      </c>
      <c r="T94" s="116">
        <v>45962</v>
      </c>
      <c r="U94" s="119">
        <f t="shared" si="115"/>
        <v>22299.9</v>
      </c>
      <c r="V94" s="119">
        <v>20302</v>
      </c>
      <c r="W94" s="119">
        <f>+U94*0.5</f>
        <v>11149.95</v>
      </c>
      <c r="X94" s="125">
        <f>+W94*0.5</f>
        <v>5574.9750000000004</v>
      </c>
      <c r="Y94" s="118">
        <f t="shared" si="114"/>
        <v>3577.0749999999989</v>
      </c>
      <c r="Z94" s="118">
        <f t="shared" si="116"/>
        <v>20302</v>
      </c>
      <c r="AA94" s="119">
        <v>30</v>
      </c>
      <c r="AB94" s="115">
        <v>0</v>
      </c>
      <c r="AC94" s="115">
        <v>1</v>
      </c>
      <c r="AD94" s="115">
        <v>1</v>
      </c>
      <c r="AE94" s="115"/>
      <c r="AF94" s="115">
        <f t="shared" si="86"/>
        <v>0</v>
      </c>
      <c r="AG94" s="115">
        <f t="shared" si="117"/>
        <v>30</v>
      </c>
      <c r="AH94" s="101">
        <f t="shared" si="77"/>
        <v>30</v>
      </c>
      <c r="AI94" s="118">
        <f t="shared" si="82"/>
        <v>22300</v>
      </c>
      <c r="AJ94" s="118">
        <f t="shared" si="60"/>
        <v>20302</v>
      </c>
      <c r="AK94" s="118">
        <f t="shared" si="61"/>
        <v>11150</v>
      </c>
      <c r="AL94" s="118">
        <f t="shared" si="62"/>
        <v>5575</v>
      </c>
      <c r="AM94" s="118">
        <f t="shared" si="94"/>
        <v>3577</v>
      </c>
      <c r="AN94" s="119">
        <f t="shared" si="64"/>
        <v>660</v>
      </c>
      <c r="AO94" s="119">
        <f t="shared" si="92"/>
        <v>1338</v>
      </c>
      <c r="AP94" s="118">
        <f t="shared" si="89"/>
        <v>22300</v>
      </c>
      <c r="AQ94" s="118">
        <v>0</v>
      </c>
      <c r="AR94" s="118">
        <f t="shared" si="66"/>
        <v>153</v>
      </c>
      <c r="AS94" s="118">
        <f t="shared" si="95"/>
        <v>660</v>
      </c>
      <c r="AT94" s="118">
        <f t="shared" si="96"/>
        <v>1338</v>
      </c>
      <c r="AU94" s="118">
        <f t="shared" si="97"/>
        <v>1338</v>
      </c>
      <c r="AV94" s="118"/>
      <c r="AW94" s="118">
        <v>0</v>
      </c>
      <c r="AX94" s="118">
        <v>0</v>
      </c>
      <c r="AY94" s="120"/>
      <c r="AZ94" s="120">
        <v>0</v>
      </c>
      <c r="BA94" s="118">
        <f t="shared" si="103"/>
        <v>18811</v>
      </c>
      <c r="BB94" s="131" t="s">
        <v>394</v>
      </c>
      <c r="BC94" s="139" t="s">
        <v>572</v>
      </c>
      <c r="BD94" s="139" t="s">
        <v>573</v>
      </c>
      <c r="BE94" s="102"/>
      <c r="BF94" s="102"/>
      <c r="BG94" s="70" t="s">
        <v>48</v>
      </c>
      <c r="BH94" s="125">
        <v>0</v>
      </c>
      <c r="BI94" s="156"/>
      <c r="BJ94" s="70"/>
    </row>
    <row r="95" spans="1:62" s="196" customFormat="1" x14ac:dyDescent="0.25">
      <c r="A95" s="197">
        <f t="shared" si="76"/>
        <v>93</v>
      </c>
      <c r="B95" s="198">
        <v>2146</v>
      </c>
      <c r="C95" s="199" t="s">
        <v>620</v>
      </c>
      <c r="D95" s="200" t="s">
        <v>607</v>
      </c>
      <c r="E95" s="215" t="s">
        <v>560</v>
      </c>
      <c r="F95" s="201" t="s">
        <v>569</v>
      </c>
      <c r="G95" s="216"/>
      <c r="H95" s="198" t="s">
        <v>43</v>
      </c>
      <c r="I95" s="182">
        <v>45215</v>
      </c>
      <c r="J95" s="137"/>
      <c r="K95" s="182"/>
      <c r="L95" s="102"/>
      <c r="M95" s="204" t="s">
        <v>44</v>
      </c>
      <c r="N95" s="205" t="s">
        <v>959</v>
      </c>
      <c r="O95" s="201" t="s">
        <v>976</v>
      </c>
      <c r="P95" s="197" t="s">
        <v>412</v>
      </c>
      <c r="Q95" s="197" t="s">
        <v>412</v>
      </c>
      <c r="R95" s="206">
        <v>19869</v>
      </c>
      <c r="S95" s="206">
        <f>2000</f>
        <v>2000</v>
      </c>
      <c r="T95" s="208">
        <v>45658</v>
      </c>
      <c r="U95" s="209">
        <f t="shared" si="115"/>
        <v>21869</v>
      </c>
      <c r="V95" s="209">
        <v>19902</v>
      </c>
      <c r="W95" s="209">
        <v>11000</v>
      </c>
      <c r="X95" s="206">
        <f t="shared" ref="X95:X100" si="118">+W95*0.5</f>
        <v>5500</v>
      </c>
      <c r="Y95" s="210">
        <f t="shared" ref="Y95:Y99" si="119">+V95-W95-X95</f>
        <v>3402</v>
      </c>
      <c r="Z95" s="210">
        <f>W95+X95+Y95</f>
        <v>19902</v>
      </c>
      <c r="AA95" s="209">
        <v>30</v>
      </c>
      <c r="AB95" s="202"/>
      <c r="AC95" s="202">
        <f>13+4</f>
        <v>17</v>
      </c>
      <c r="AD95" s="202"/>
      <c r="AE95" s="202"/>
      <c r="AF95" s="202">
        <f t="shared" si="86"/>
        <v>-17</v>
      </c>
      <c r="AG95" s="202">
        <f t="shared" ref="AG95" si="120">+AF95+AA95</f>
        <v>13</v>
      </c>
      <c r="AH95" s="211">
        <f t="shared" si="77"/>
        <v>13</v>
      </c>
      <c r="AI95" s="210">
        <f t="shared" ref="AI95:AI118" si="121">ROUND(U95*AH95/AA95,0)</f>
        <v>9477</v>
      </c>
      <c r="AJ95" s="210">
        <f t="shared" si="60"/>
        <v>8624</v>
      </c>
      <c r="AK95" s="210">
        <f t="shared" si="61"/>
        <v>4767</v>
      </c>
      <c r="AL95" s="210">
        <f t="shared" si="62"/>
        <v>2383</v>
      </c>
      <c r="AM95" s="210">
        <f>+AJ95-AK95-AL95</f>
        <v>1474</v>
      </c>
      <c r="AN95" s="209">
        <f t="shared" si="64"/>
        <v>281</v>
      </c>
      <c r="AO95" s="209">
        <f t="shared" si="92"/>
        <v>572</v>
      </c>
      <c r="AP95" s="210">
        <f t="shared" si="89"/>
        <v>9477</v>
      </c>
      <c r="AQ95" s="210">
        <v>0</v>
      </c>
      <c r="AR95" s="210">
        <f t="shared" si="66"/>
        <v>65</v>
      </c>
      <c r="AS95" s="210">
        <f t="shared" si="95"/>
        <v>281</v>
      </c>
      <c r="AT95" s="210">
        <f t="shared" si="96"/>
        <v>572</v>
      </c>
      <c r="AU95" s="210">
        <f t="shared" si="97"/>
        <v>572</v>
      </c>
      <c r="AV95" s="210"/>
      <c r="AW95" s="210">
        <v>0</v>
      </c>
      <c r="AX95" s="210">
        <f t="shared" si="113"/>
        <v>0</v>
      </c>
      <c r="AY95" s="212"/>
      <c r="AZ95" s="212">
        <v>0</v>
      </c>
      <c r="BA95" s="210">
        <f>AP95-AQ95-AR95-AS95-AT95-AU95-AW95+AY95-AZ95</f>
        <v>7987</v>
      </c>
      <c r="BB95" s="193" t="s">
        <v>138</v>
      </c>
      <c r="BC95" s="194" t="s">
        <v>567</v>
      </c>
      <c r="BD95" s="194" t="s">
        <v>568</v>
      </c>
      <c r="BE95" s="214"/>
      <c r="BF95" s="102"/>
      <c r="BG95" s="197" t="s">
        <v>1480</v>
      </c>
      <c r="BH95" s="206" t="s">
        <v>1485</v>
      </c>
      <c r="BI95" s="156"/>
      <c r="BJ95" s="70"/>
    </row>
    <row r="96" spans="1:62" s="13" customFormat="1" x14ac:dyDescent="0.25">
      <c r="A96" s="70">
        <f t="shared" si="76"/>
        <v>94</v>
      </c>
      <c r="B96" s="122">
        <v>2147</v>
      </c>
      <c r="C96" s="108" t="s">
        <v>41</v>
      </c>
      <c r="D96" s="140" t="s">
        <v>608</v>
      </c>
      <c r="E96" s="146" t="s">
        <v>561</v>
      </c>
      <c r="F96" s="114" t="s">
        <v>566</v>
      </c>
      <c r="G96" s="147"/>
      <c r="H96" s="122" t="s">
        <v>43</v>
      </c>
      <c r="I96" s="82">
        <v>45215</v>
      </c>
      <c r="J96" s="137"/>
      <c r="K96" s="82"/>
      <c r="L96" s="102"/>
      <c r="M96" s="128" t="s">
        <v>44</v>
      </c>
      <c r="N96" s="117" t="s">
        <v>959</v>
      </c>
      <c r="O96" s="114" t="s">
        <v>1001</v>
      </c>
      <c r="P96" s="70" t="s">
        <v>46</v>
      </c>
      <c r="Q96" s="70" t="s">
        <v>412</v>
      </c>
      <c r="R96" s="125">
        <v>24000</v>
      </c>
      <c r="S96" s="119">
        <f>+R96*0.21</f>
        <v>5040</v>
      </c>
      <c r="T96" s="74">
        <v>45778</v>
      </c>
      <c r="U96" s="119">
        <f t="shared" si="115"/>
        <v>29040</v>
      </c>
      <c r="V96" s="119">
        <v>27298</v>
      </c>
      <c r="W96" s="119">
        <f>+U96*0.5</f>
        <v>14520</v>
      </c>
      <c r="X96" s="125">
        <f t="shared" si="118"/>
        <v>7260</v>
      </c>
      <c r="Y96" s="118">
        <f t="shared" si="119"/>
        <v>5518</v>
      </c>
      <c r="Z96" s="118">
        <f>W96+X96+Y96</f>
        <v>27298</v>
      </c>
      <c r="AA96" s="119">
        <v>30</v>
      </c>
      <c r="AB96" s="115">
        <v>30</v>
      </c>
      <c r="AC96" s="115">
        <v>0.5</v>
      </c>
      <c r="AD96" s="115">
        <v>1</v>
      </c>
      <c r="AE96" s="115"/>
      <c r="AF96" s="115">
        <f t="shared" si="86"/>
        <v>30.5</v>
      </c>
      <c r="AG96" s="115">
        <f>+AF96+AA96</f>
        <v>60.5</v>
      </c>
      <c r="AH96" s="101">
        <f t="shared" si="77"/>
        <v>30</v>
      </c>
      <c r="AI96" s="118">
        <f t="shared" si="121"/>
        <v>29040</v>
      </c>
      <c r="AJ96" s="118">
        <f t="shared" si="60"/>
        <v>27298</v>
      </c>
      <c r="AK96" s="118">
        <f t="shared" si="61"/>
        <v>14520</v>
      </c>
      <c r="AL96" s="118">
        <f t="shared" si="62"/>
        <v>7260</v>
      </c>
      <c r="AM96" s="118">
        <f>+AJ96-AK96-AL96</f>
        <v>5518</v>
      </c>
      <c r="AN96" s="119">
        <f t="shared" si="64"/>
        <v>0</v>
      </c>
      <c r="AO96" s="119">
        <f t="shared" si="92"/>
        <v>1742</v>
      </c>
      <c r="AP96" s="118">
        <f t="shared" si="89"/>
        <v>29040</v>
      </c>
      <c r="AQ96" s="118">
        <v>0</v>
      </c>
      <c r="AR96" s="118">
        <f t="shared" si="66"/>
        <v>0</v>
      </c>
      <c r="AS96" s="118">
        <f t="shared" si="95"/>
        <v>0</v>
      </c>
      <c r="AT96" s="118">
        <f t="shared" si="96"/>
        <v>1742</v>
      </c>
      <c r="AU96" s="118">
        <f t="shared" si="97"/>
        <v>1742</v>
      </c>
      <c r="AV96" s="118"/>
      <c r="AW96" s="118">
        <v>0</v>
      </c>
      <c r="AX96" s="118">
        <v>0</v>
      </c>
      <c r="AY96" s="120"/>
      <c r="AZ96" s="120">
        <v>0</v>
      </c>
      <c r="BA96" s="118">
        <f t="shared" si="103"/>
        <v>25556</v>
      </c>
      <c r="BB96" s="131" t="s">
        <v>590</v>
      </c>
      <c r="BC96" s="139" t="s">
        <v>202</v>
      </c>
      <c r="BD96" s="139" t="s">
        <v>591</v>
      </c>
      <c r="BE96" s="102"/>
      <c r="BF96" s="102"/>
      <c r="BG96" s="70" t="s">
        <v>48</v>
      </c>
      <c r="BH96" s="125">
        <v>0</v>
      </c>
      <c r="BI96" s="156"/>
      <c r="BJ96" s="70"/>
    </row>
    <row r="97" spans="1:62" s="13" customFormat="1" x14ac:dyDescent="0.25">
      <c r="A97" s="70">
        <f t="shared" si="76"/>
        <v>95</v>
      </c>
      <c r="B97" s="122">
        <v>2148</v>
      </c>
      <c r="C97" s="108" t="s">
        <v>1447</v>
      </c>
      <c r="D97" s="140" t="s">
        <v>1448</v>
      </c>
      <c r="E97" s="146" t="s">
        <v>1449</v>
      </c>
      <c r="F97" s="114" t="s">
        <v>1450</v>
      </c>
      <c r="G97" s="147"/>
      <c r="H97" s="122" t="s">
        <v>43</v>
      </c>
      <c r="I97" s="82">
        <v>45215</v>
      </c>
      <c r="J97" s="137"/>
      <c r="K97" s="82"/>
      <c r="L97" s="102"/>
      <c r="M97" s="128" t="s">
        <v>44</v>
      </c>
      <c r="N97" s="117" t="s">
        <v>959</v>
      </c>
      <c r="O97" s="114" t="s">
        <v>1001</v>
      </c>
      <c r="P97" s="70" t="s">
        <v>412</v>
      </c>
      <c r="Q97" s="70" t="s">
        <v>412</v>
      </c>
      <c r="R97" s="125">
        <f>17500-33</f>
        <v>17467</v>
      </c>
      <c r="S97" s="119">
        <v>2000</v>
      </c>
      <c r="T97" s="74">
        <v>45658</v>
      </c>
      <c r="U97" s="119">
        <f t="shared" si="115"/>
        <v>19467</v>
      </c>
      <c r="V97" s="119">
        <v>17808</v>
      </c>
      <c r="W97" s="119">
        <v>9000</v>
      </c>
      <c r="X97" s="125">
        <f t="shared" si="118"/>
        <v>4500</v>
      </c>
      <c r="Y97" s="118">
        <f t="shared" si="119"/>
        <v>4308</v>
      </c>
      <c r="Z97" s="118">
        <f t="shared" ref="Z97" si="122">W97+X97+Y97</f>
        <v>17808</v>
      </c>
      <c r="AA97" s="119">
        <v>30</v>
      </c>
      <c r="AB97" s="115">
        <v>6</v>
      </c>
      <c r="AC97" s="115">
        <v>0.5</v>
      </c>
      <c r="AD97" s="115">
        <v>1</v>
      </c>
      <c r="AE97" s="115"/>
      <c r="AF97" s="115">
        <f t="shared" si="86"/>
        <v>6.5</v>
      </c>
      <c r="AG97" s="115">
        <f>+AF97+AA97</f>
        <v>36.5</v>
      </c>
      <c r="AH97" s="101">
        <f t="shared" si="77"/>
        <v>30</v>
      </c>
      <c r="AI97" s="118">
        <f t="shared" si="121"/>
        <v>19467</v>
      </c>
      <c r="AJ97" s="118">
        <f t="shared" si="60"/>
        <v>17808</v>
      </c>
      <c r="AK97" s="118">
        <f t="shared" si="61"/>
        <v>9000</v>
      </c>
      <c r="AL97" s="118">
        <f t="shared" si="62"/>
        <v>4500</v>
      </c>
      <c r="AM97" s="118">
        <f>+AJ97-AK97-AL97</f>
        <v>4308</v>
      </c>
      <c r="AN97" s="119">
        <f t="shared" si="64"/>
        <v>579</v>
      </c>
      <c r="AO97" s="119">
        <f t="shared" si="92"/>
        <v>1080</v>
      </c>
      <c r="AP97" s="118">
        <f t="shared" si="89"/>
        <v>19467</v>
      </c>
      <c r="AQ97" s="118">
        <v>0</v>
      </c>
      <c r="AR97" s="118">
        <f t="shared" si="66"/>
        <v>134</v>
      </c>
      <c r="AS97" s="118">
        <f t="shared" si="95"/>
        <v>579</v>
      </c>
      <c r="AT97" s="118">
        <f t="shared" si="96"/>
        <v>1080</v>
      </c>
      <c r="AU97" s="118">
        <f t="shared" si="97"/>
        <v>1080</v>
      </c>
      <c r="AV97" s="118"/>
      <c r="AW97" s="118">
        <v>0</v>
      </c>
      <c r="AX97" s="118">
        <f t="shared" ref="AX97" si="123">+AV97-AW97</f>
        <v>0</v>
      </c>
      <c r="AY97" s="120"/>
      <c r="AZ97" s="120">
        <v>1000</v>
      </c>
      <c r="BA97" s="118">
        <f t="shared" si="103"/>
        <v>15594</v>
      </c>
      <c r="BB97" s="131" t="s">
        <v>420</v>
      </c>
      <c r="BC97" s="139" t="s">
        <v>565</v>
      </c>
      <c r="BD97" s="139" t="s">
        <v>1451</v>
      </c>
      <c r="BE97" s="102"/>
      <c r="BF97" s="102"/>
      <c r="BG97" s="70" t="s">
        <v>48</v>
      </c>
      <c r="BH97" s="125">
        <v>0</v>
      </c>
      <c r="BI97" s="156"/>
      <c r="BJ97" s="70"/>
    </row>
    <row r="98" spans="1:62" s="13" customFormat="1" x14ac:dyDescent="0.25">
      <c r="A98" s="70">
        <f t="shared" si="76"/>
        <v>96</v>
      </c>
      <c r="B98" s="122">
        <v>2151</v>
      </c>
      <c r="C98" s="108" t="s">
        <v>41</v>
      </c>
      <c r="D98" s="140" t="s">
        <v>609</v>
      </c>
      <c r="E98" s="146" t="s">
        <v>562</v>
      </c>
      <c r="F98" s="114" t="s">
        <v>564</v>
      </c>
      <c r="G98" s="147"/>
      <c r="H98" s="122" t="s">
        <v>43</v>
      </c>
      <c r="I98" s="82">
        <v>45222</v>
      </c>
      <c r="J98" s="137"/>
      <c r="K98" s="82"/>
      <c r="L98" s="102"/>
      <c r="M98" s="128" t="s">
        <v>44</v>
      </c>
      <c r="N98" s="117" t="s">
        <v>962</v>
      </c>
      <c r="O98" s="114" t="s">
        <v>53</v>
      </c>
      <c r="P98" s="70" t="s">
        <v>292</v>
      </c>
      <c r="Q98" s="70" t="s">
        <v>412</v>
      </c>
      <c r="R98" s="125">
        <v>33958</v>
      </c>
      <c r="S98" s="125">
        <f>+R98*0.1</f>
        <v>3395.8</v>
      </c>
      <c r="T98" s="116" t="s">
        <v>1530</v>
      </c>
      <c r="U98" s="119">
        <f>R98+S98</f>
        <v>37353.800000000003</v>
      </c>
      <c r="V98" s="119">
        <v>35554</v>
      </c>
      <c r="W98" s="119">
        <f t="shared" ref="W98:W103" si="124">+U98*0.5</f>
        <v>18676.900000000001</v>
      </c>
      <c r="X98" s="125">
        <f t="shared" si="118"/>
        <v>9338.4500000000007</v>
      </c>
      <c r="Y98" s="118">
        <f t="shared" si="119"/>
        <v>7538.6499999999978</v>
      </c>
      <c r="Z98" s="118">
        <f>W98+X98+Y98</f>
        <v>35554</v>
      </c>
      <c r="AA98" s="119">
        <v>30</v>
      </c>
      <c r="AB98" s="115">
        <v>0.5</v>
      </c>
      <c r="AC98" s="115">
        <v>1</v>
      </c>
      <c r="AD98" s="115">
        <v>1</v>
      </c>
      <c r="AE98" s="115"/>
      <c r="AF98" s="115">
        <f t="shared" si="86"/>
        <v>0.5</v>
      </c>
      <c r="AG98" s="115">
        <f t="shared" ref="AG98" si="125">+AF98+AA98</f>
        <v>30.5</v>
      </c>
      <c r="AH98" s="101">
        <f t="shared" si="77"/>
        <v>30</v>
      </c>
      <c r="AI98" s="118">
        <f t="shared" si="121"/>
        <v>37354</v>
      </c>
      <c r="AJ98" s="118">
        <f t="shared" si="60"/>
        <v>35554</v>
      </c>
      <c r="AK98" s="118">
        <f t="shared" si="61"/>
        <v>18677</v>
      </c>
      <c r="AL98" s="118">
        <f t="shared" si="62"/>
        <v>9338</v>
      </c>
      <c r="AM98" s="118">
        <f t="shared" ref="AM98:AM103" si="126">ROUND(Y98*AH98/AA98,0)</f>
        <v>7539</v>
      </c>
      <c r="AN98" s="119">
        <f t="shared" si="64"/>
        <v>0</v>
      </c>
      <c r="AO98" s="119">
        <f t="shared" si="92"/>
        <v>1800</v>
      </c>
      <c r="AP98" s="118">
        <f t="shared" si="89"/>
        <v>37354</v>
      </c>
      <c r="AQ98" s="118">
        <v>0</v>
      </c>
      <c r="AR98" s="118">
        <f t="shared" si="66"/>
        <v>0</v>
      </c>
      <c r="AS98" s="118">
        <f t="shared" si="95"/>
        <v>0</v>
      </c>
      <c r="AT98" s="118">
        <f t="shared" si="96"/>
        <v>1800</v>
      </c>
      <c r="AU98" s="118">
        <f t="shared" si="97"/>
        <v>1800</v>
      </c>
      <c r="AV98" s="118"/>
      <c r="AW98" s="118">
        <v>0</v>
      </c>
      <c r="AX98" s="118">
        <v>0</v>
      </c>
      <c r="AY98" s="120"/>
      <c r="AZ98" s="120">
        <v>0</v>
      </c>
      <c r="BA98" s="118">
        <f t="shared" si="103"/>
        <v>33754</v>
      </c>
      <c r="BB98" s="131" t="s">
        <v>393</v>
      </c>
      <c r="BC98" s="139" t="s">
        <v>202</v>
      </c>
      <c r="BD98" s="139" t="s">
        <v>588</v>
      </c>
      <c r="BE98" s="102"/>
      <c r="BF98" s="102"/>
      <c r="BG98" s="70" t="s">
        <v>48</v>
      </c>
      <c r="BH98" s="125">
        <v>0</v>
      </c>
      <c r="BI98" s="156"/>
      <c r="BJ98" s="70"/>
    </row>
    <row r="99" spans="1:62" s="13" customFormat="1" x14ac:dyDescent="0.25">
      <c r="A99" s="70">
        <f t="shared" si="76"/>
        <v>97</v>
      </c>
      <c r="B99" s="122">
        <v>2154</v>
      </c>
      <c r="C99" s="108" t="s">
        <v>621</v>
      </c>
      <c r="D99" s="140" t="s">
        <v>610</v>
      </c>
      <c r="E99" s="146" t="s">
        <v>277</v>
      </c>
      <c r="F99" s="114" t="s">
        <v>772</v>
      </c>
      <c r="G99" s="147"/>
      <c r="H99" s="122" t="s">
        <v>43</v>
      </c>
      <c r="I99" s="82">
        <v>45065</v>
      </c>
      <c r="J99" s="137"/>
      <c r="K99" s="103">
        <v>45231</v>
      </c>
      <c r="L99" s="102"/>
      <c r="M99" s="128" t="s">
        <v>44</v>
      </c>
      <c r="N99" s="117" t="s">
        <v>959</v>
      </c>
      <c r="O99" s="114" t="s">
        <v>1000</v>
      </c>
      <c r="P99" s="70" t="s">
        <v>412</v>
      </c>
      <c r="Q99" s="70" t="s">
        <v>412</v>
      </c>
      <c r="R99" s="125">
        <v>22413</v>
      </c>
      <c r="S99" s="83">
        <f>+R99*0.05</f>
        <v>1120.6500000000001</v>
      </c>
      <c r="T99" s="116" t="s">
        <v>1501</v>
      </c>
      <c r="U99" s="119">
        <f t="shared" si="115"/>
        <v>23533.65</v>
      </c>
      <c r="V99" s="119">
        <v>22121</v>
      </c>
      <c r="W99" s="119">
        <f t="shared" si="124"/>
        <v>11766.825000000001</v>
      </c>
      <c r="X99" s="125">
        <f t="shared" si="118"/>
        <v>5883.4125000000004</v>
      </c>
      <c r="Y99" s="118">
        <f t="shared" si="119"/>
        <v>4470.7624999999989</v>
      </c>
      <c r="Z99" s="118">
        <f t="shared" ref="Z99:Z103" si="127">W99+X99+Y99</f>
        <v>22121</v>
      </c>
      <c r="AA99" s="119">
        <v>30</v>
      </c>
      <c r="AB99" s="115">
        <v>3</v>
      </c>
      <c r="AC99" s="115">
        <v>9.5</v>
      </c>
      <c r="AD99" s="115">
        <v>1</v>
      </c>
      <c r="AE99" s="115"/>
      <c r="AF99" s="115">
        <f t="shared" si="86"/>
        <v>-5.5</v>
      </c>
      <c r="AG99" s="115">
        <f t="shared" ref="AG99:AG102" si="128">+AF99+AA99</f>
        <v>24.5</v>
      </c>
      <c r="AH99" s="101">
        <f t="shared" si="77"/>
        <v>24.5</v>
      </c>
      <c r="AI99" s="118">
        <f t="shared" si="121"/>
        <v>19219</v>
      </c>
      <c r="AJ99" s="118">
        <f t="shared" si="60"/>
        <v>18065</v>
      </c>
      <c r="AK99" s="118">
        <f t="shared" si="61"/>
        <v>9610</v>
      </c>
      <c r="AL99" s="118">
        <f t="shared" si="62"/>
        <v>4805</v>
      </c>
      <c r="AM99" s="118">
        <f t="shared" si="126"/>
        <v>3651</v>
      </c>
      <c r="AN99" s="119">
        <f t="shared" si="64"/>
        <v>0</v>
      </c>
      <c r="AO99" s="119">
        <f t="shared" si="92"/>
        <v>1153</v>
      </c>
      <c r="AP99" s="118">
        <f t="shared" si="89"/>
        <v>19219</v>
      </c>
      <c r="AQ99" s="118">
        <v>0</v>
      </c>
      <c r="AR99" s="118">
        <f t="shared" si="66"/>
        <v>0</v>
      </c>
      <c r="AS99" s="118">
        <f t="shared" si="95"/>
        <v>0</v>
      </c>
      <c r="AT99" s="118">
        <f t="shared" si="96"/>
        <v>1153</v>
      </c>
      <c r="AU99" s="118">
        <f t="shared" si="97"/>
        <v>1153</v>
      </c>
      <c r="AV99" s="118">
        <v>0</v>
      </c>
      <c r="AW99" s="118">
        <v>0</v>
      </c>
      <c r="AX99" s="118">
        <f t="shared" si="113"/>
        <v>0</v>
      </c>
      <c r="AY99" s="120"/>
      <c r="AZ99" s="120">
        <v>0</v>
      </c>
      <c r="BA99" s="118">
        <f t="shared" si="103"/>
        <v>16913</v>
      </c>
      <c r="BB99" s="131" t="s">
        <v>54</v>
      </c>
      <c r="BC99" s="139" t="s">
        <v>218</v>
      </c>
      <c r="BD99" s="139" t="s">
        <v>456</v>
      </c>
      <c r="BE99" s="102"/>
      <c r="BF99" s="102"/>
      <c r="BG99" s="70" t="s">
        <v>48</v>
      </c>
      <c r="BH99" s="125">
        <v>0</v>
      </c>
      <c r="BI99" s="156"/>
      <c r="BJ99" s="70"/>
    </row>
    <row r="100" spans="1:62" s="13" customFormat="1" x14ac:dyDescent="0.25">
      <c r="A100" s="70">
        <f t="shared" si="76"/>
        <v>98</v>
      </c>
      <c r="B100" s="122">
        <v>2155</v>
      </c>
      <c r="C100" s="108" t="s">
        <v>622</v>
      </c>
      <c r="D100" s="140" t="s">
        <v>611</v>
      </c>
      <c r="E100" s="146" t="s">
        <v>485</v>
      </c>
      <c r="F100" s="114" t="s">
        <v>773</v>
      </c>
      <c r="G100" s="147"/>
      <c r="H100" s="122" t="s">
        <v>43</v>
      </c>
      <c r="I100" s="82">
        <v>45124</v>
      </c>
      <c r="J100" s="137"/>
      <c r="K100" s="103">
        <v>45231</v>
      </c>
      <c r="L100" s="102"/>
      <c r="M100" s="128" t="s">
        <v>44</v>
      </c>
      <c r="N100" s="117" t="s">
        <v>959</v>
      </c>
      <c r="O100" s="114" t="s">
        <v>975</v>
      </c>
      <c r="P100" s="70" t="s">
        <v>412</v>
      </c>
      <c r="Q100" s="70" t="s">
        <v>412</v>
      </c>
      <c r="R100" s="125">
        <v>19959</v>
      </c>
      <c r="S100" s="125">
        <f>+R100*0.1</f>
        <v>1995.9</v>
      </c>
      <c r="T100" s="116">
        <v>45778</v>
      </c>
      <c r="U100" s="119">
        <f t="shared" si="115"/>
        <v>21954.9</v>
      </c>
      <c r="V100" s="119">
        <v>19988</v>
      </c>
      <c r="W100" s="119">
        <f t="shared" si="124"/>
        <v>10977.45</v>
      </c>
      <c r="X100" s="125">
        <f t="shared" si="118"/>
        <v>5488.7250000000004</v>
      </c>
      <c r="Y100" s="118">
        <f t="shared" ref="Y100:Y102" si="129">+V100-W100-X100</f>
        <v>3521.8249999999989</v>
      </c>
      <c r="Z100" s="118">
        <f t="shared" si="127"/>
        <v>19988</v>
      </c>
      <c r="AA100" s="119">
        <v>30</v>
      </c>
      <c r="AB100" s="115">
        <v>0</v>
      </c>
      <c r="AC100" s="115">
        <v>2.5</v>
      </c>
      <c r="AD100" s="115">
        <v>1</v>
      </c>
      <c r="AE100" s="115"/>
      <c r="AF100" s="115">
        <f t="shared" si="86"/>
        <v>-1.5</v>
      </c>
      <c r="AG100" s="115">
        <f t="shared" si="128"/>
        <v>28.5</v>
      </c>
      <c r="AH100" s="101">
        <f t="shared" si="77"/>
        <v>28.5</v>
      </c>
      <c r="AI100" s="118">
        <f t="shared" si="121"/>
        <v>20857</v>
      </c>
      <c r="AJ100" s="118">
        <f t="shared" si="60"/>
        <v>18989</v>
      </c>
      <c r="AK100" s="118">
        <f t="shared" si="61"/>
        <v>10429</v>
      </c>
      <c r="AL100" s="118">
        <f t="shared" si="62"/>
        <v>5214</v>
      </c>
      <c r="AM100" s="118">
        <f t="shared" si="126"/>
        <v>3346</v>
      </c>
      <c r="AN100" s="119">
        <f t="shared" si="64"/>
        <v>618</v>
      </c>
      <c r="AO100" s="119">
        <f t="shared" si="92"/>
        <v>1251</v>
      </c>
      <c r="AP100" s="118">
        <f t="shared" si="89"/>
        <v>20858</v>
      </c>
      <c r="AQ100" s="118">
        <v>0</v>
      </c>
      <c r="AR100" s="118">
        <f t="shared" si="66"/>
        <v>143</v>
      </c>
      <c r="AS100" s="118">
        <f t="shared" si="95"/>
        <v>618</v>
      </c>
      <c r="AT100" s="118">
        <f t="shared" si="96"/>
        <v>1251</v>
      </c>
      <c r="AU100" s="118">
        <f t="shared" si="97"/>
        <v>1251</v>
      </c>
      <c r="AV100" s="118"/>
      <c r="AW100" s="118">
        <v>0</v>
      </c>
      <c r="AX100" s="118">
        <v>0</v>
      </c>
      <c r="AY100" s="120"/>
      <c r="AZ100" s="120">
        <v>0</v>
      </c>
      <c r="BA100" s="118">
        <f t="shared" si="103"/>
        <v>17595</v>
      </c>
      <c r="BB100" s="131" t="s">
        <v>393</v>
      </c>
      <c r="BC100" s="139" t="s">
        <v>202</v>
      </c>
      <c r="BD100" s="139" t="s">
        <v>887</v>
      </c>
      <c r="BE100" s="102"/>
      <c r="BF100" s="102"/>
      <c r="BG100" s="70" t="s">
        <v>48</v>
      </c>
      <c r="BH100" s="125">
        <v>0</v>
      </c>
      <c r="BI100" s="156"/>
      <c r="BJ100" s="70"/>
    </row>
    <row r="101" spans="1:62" s="13" customFormat="1" x14ac:dyDescent="0.25">
      <c r="A101" s="70">
        <f t="shared" si="76"/>
        <v>99</v>
      </c>
      <c r="B101" s="122">
        <v>2156</v>
      </c>
      <c r="C101" s="108" t="s">
        <v>41</v>
      </c>
      <c r="D101" s="140" t="s">
        <v>636</v>
      </c>
      <c r="E101" s="146" t="s">
        <v>520</v>
      </c>
      <c r="F101" s="114" t="s">
        <v>774</v>
      </c>
      <c r="G101" s="147"/>
      <c r="H101" s="122" t="s">
        <v>43</v>
      </c>
      <c r="I101" s="82">
        <v>45140</v>
      </c>
      <c r="J101" s="137"/>
      <c r="K101" s="103">
        <v>45231</v>
      </c>
      <c r="L101" s="102"/>
      <c r="M101" s="128" t="s">
        <v>44</v>
      </c>
      <c r="N101" s="117" t="s">
        <v>959</v>
      </c>
      <c r="O101" s="114" t="s">
        <v>1000</v>
      </c>
      <c r="P101" s="70" t="s">
        <v>46</v>
      </c>
      <c r="Q101" s="70" t="s">
        <v>412</v>
      </c>
      <c r="R101" s="125">
        <v>23430</v>
      </c>
      <c r="S101" s="125">
        <f>+R101*0.15</f>
        <v>3514.5</v>
      </c>
      <c r="T101" s="116" t="s">
        <v>1501</v>
      </c>
      <c r="U101" s="7">
        <f t="shared" si="115"/>
        <v>26944.5</v>
      </c>
      <c r="V101" s="119">
        <v>25328</v>
      </c>
      <c r="W101" s="119">
        <f t="shared" si="124"/>
        <v>13472.25</v>
      </c>
      <c r="X101" s="125">
        <f t="shared" ref="X101" si="130">+W101*0.5</f>
        <v>6736.125</v>
      </c>
      <c r="Y101" s="118">
        <f t="shared" si="129"/>
        <v>5119.625</v>
      </c>
      <c r="Z101" s="118">
        <f t="shared" si="127"/>
        <v>25328</v>
      </c>
      <c r="AA101" s="119">
        <v>30</v>
      </c>
      <c r="AB101" s="115">
        <v>8</v>
      </c>
      <c r="AC101" s="115">
        <v>0</v>
      </c>
      <c r="AD101" s="115">
        <v>1</v>
      </c>
      <c r="AE101" s="115"/>
      <c r="AF101" s="115">
        <f t="shared" ref="AF101:AF119" si="131">AB101+AD101+AE101-AC101</f>
        <v>9</v>
      </c>
      <c r="AG101" s="115">
        <f t="shared" si="128"/>
        <v>39</v>
      </c>
      <c r="AH101" s="101">
        <f t="shared" si="77"/>
        <v>30</v>
      </c>
      <c r="AI101" s="118">
        <f t="shared" si="121"/>
        <v>26945</v>
      </c>
      <c r="AJ101" s="118">
        <f t="shared" si="60"/>
        <v>25328</v>
      </c>
      <c r="AK101" s="118">
        <f t="shared" si="61"/>
        <v>13472</v>
      </c>
      <c r="AL101" s="118">
        <f t="shared" si="62"/>
        <v>6736</v>
      </c>
      <c r="AM101" s="118">
        <f t="shared" si="126"/>
        <v>5120</v>
      </c>
      <c r="AN101" s="119">
        <f t="shared" si="64"/>
        <v>0</v>
      </c>
      <c r="AO101" s="119">
        <f t="shared" si="92"/>
        <v>1617</v>
      </c>
      <c r="AP101" s="118">
        <f t="shared" si="89"/>
        <v>26945</v>
      </c>
      <c r="AQ101" s="118">
        <v>0</v>
      </c>
      <c r="AR101" s="118">
        <f t="shared" si="66"/>
        <v>0</v>
      </c>
      <c r="AS101" s="118">
        <f t="shared" si="95"/>
        <v>0</v>
      </c>
      <c r="AT101" s="118">
        <f t="shared" si="96"/>
        <v>1617</v>
      </c>
      <c r="AU101" s="118">
        <f t="shared" si="97"/>
        <v>1617</v>
      </c>
      <c r="AV101" s="118">
        <v>5000</v>
      </c>
      <c r="AW101" s="118">
        <v>5000</v>
      </c>
      <c r="AX101" s="118">
        <f t="shared" si="113"/>
        <v>0</v>
      </c>
      <c r="AY101" s="120"/>
      <c r="AZ101" s="120">
        <v>0</v>
      </c>
      <c r="BA101" s="118">
        <f t="shared" si="103"/>
        <v>18711</v>
      </c>
      <c r="BB101" s="131" t="s">
        <v>543</v>
      </c>
      <c r="BC101" s="139" t="s">
        <v>544</v>
      </c>
      <c r="BD101" s="139" t="s">
        <v>545</v>
      </c>
      <c r="BE101" s="102"/>
      <c r="BF101" s="102"/>
      <c r="BG101" s="70" t="s">
        <v>48</v>
      </c>
      <c r="BH101" s="125">
        <v>0</v>
      </c>
      <c r="BI101" s="156"/>
      <c r="BJ101" s="70"/>
    </row>
    <row r="102" spans="1:62" s="13" customFormat="1" x14ac:dyDescent="0.25">
      <c r="A102" s="70">
        <f t="shared" si="76"/>
        <v>100</v>
      </c>
      <c r="B102" s="122">
        <v>2157</v>
      </c>
      <c r="C102" s="108" t="s">
        <v>41</v>
      </c>
      <c r="D102" s="140" t="s">
        <v>649</v>
      </c>
      <c r="E102" s="146" t="s">
        <v>522</v>
      </c>
      <c r="F102" s="114" t="s">
        <v>885</v>
      </c>
      <c r="G102" s="147"/>
      <c r="H102" s="122" t="s">
        <v>43</v>
      </c>
      <c r="I102" s="82">
        <v>45145</v>
      </c>
      <c r="J102" s="137"/>
      <c r="K102" s="103">
        <v>45231</v>
      </c>
      <c r="L102" s="102"/>
      <c r="M102" s="128" t="s">
        <v>44</v>
      </c>
      <c r="N102" s="117" t="s">
        <v>959</v>
      </c>
      <c r="O102" s="114" t="s">
        <v>1000</v>
      </c>
      <c r="P102" s="70" t="s">
        <v>46</v>
      </c>
      <c r="Q102" s="70" t="s">
        <v>412</v>
      </c>
      <c r="R102" s="125">
        <v>23430</v>
      </c>
      <c r="S102" s="125">
        <f>+R102*0.15</f>
        <v>3514.5</v>
      </c>
      <c r="T102" s="116" t="s">
        <v>1501</v>
      </c>
      <c r="U102" s="119">
        <f t="shared" si="115"/>
        <v>26944.5</v>
      </c>
      <c r="V102" s="119">
        <v>25328</v>
      </c>
      <c r="W102" s="119">
        <f t="shared" si="124"/>
        <v>13472.25</v>
      </c>
      <c r="X102" s="125">
        <f t="shared" ref="X102:X105" si="132">+W102*0.5</f>
        <v>6736.125</v>
      </c>
      <c r="Y102" s="118">
        <f t="shared" si="129"/>
        <v>5119.625</v>
      </c>
      <c r="Z102" s="118">
        <f t="shared" si="127"/>
        <v>25328</v>
      </c>
      <c r="AA102" s="119">
        <v>30</v>
      </c>
      <c r="AB102" s="115">
        <v>7.5</v>
      </c>
      <c r="AC102" s="115">
        <v>3</v>
      </c>
      <c r="AD102" s="115">
        <v>1</v>
      </c>
      <c r="AE102" s="115"/>
      <c r="AF102" s="115">
        <f t="shared" si="131"/>
        <v>5.5</v>
      </c>
      <c r="AG102" s="115">
        <f t="shared" si="128"/>
        <v>35.5</v>
      </c>
      <c r="AH102" s="101">
        <f t="shared" si="77"/>
        <v>30</v>
      </c>
      <c r="AI102" s="118">
        <f t="shared" si="121"/>
        <v>26945</v>
      </c>
      <c r="AJ102" s="118">
        <f t="shared" si="60"/>
        <v>25328</v>
      </c>
      <c r="AK102" s="118">
        <f t="shared" si="61"/>
        <v>13472</v>
      </c>
      <c r="AL102" s="118">
        <f t="shared" si="62"/>
        <v>6736</v>
      </c>
      <c r="AM102" s="118">
        <f t="shared" si="126"/>
        <v>5120</v>
      </c>
      <c r="AN102" s="119">
        <f t="shared" si="64"/>
        <v>0</v>
      </c>
      <c r="AO102" s="119">
        <f t="shared" si="92"/>
        <v>1617</v>
      </c>
      <c r="AP102" s="118">
        <f t="shared" si="89"/>
        <v>26945</v>
      </c>
      <c r="AQ102" s="118">
        <v>0</v>
      </c>
      <c r="AR102" s="118">
        <f t="shared" si="66"/>
        <v>0</v>
      </c>
      <c r="AS102" s="118">
        <f t="shared" si="95"/>
        <v>0</v>
      </c>
      <c r="AT102" s="118">
        <f t="shared" si="96"/>
        <v>1617</v>
      </c>
      <c r="AU102" s="118">
        <f t="shared" si="97"/>
        <v>1617</v>
      </c>
      <c r="AV102" s="118"/>
      <c r="AW102" s="118">
        <v>0</v>
      </c>
      <c r="AX102" s="118">
        <v>0</v>
      </c>
      <c r="AY102" s="118"/>
      <c r="AZ102" s="120">
        <v>0</v>
      </c>
      <c r="BA102" s="118">
        <f t="shared" si="103"/>
        <v>23711</v>
      </c>
      <c r="BB102" s="131" t="s">
        <v>445</v>
      </c>
      <c r="BC102" s="139" t="s">
        <v>542</v>
      </c>
      <c r="BD102" s="139" t="s">
        <v>541</v>
      </c>
      <c r="BE102" s="102"/>
      <c r="BF102" s="102"/>
      <c r="BG102" s="70" t="s">
        <v>48</v>
      </c>
      <c r="BH102" s="125">
        <v>0</v>
      </c>
      <c r="BI102" s="156"/>
      <c r="BJ102" s="70"/>
    </row>
    <row r="103" spans="1:62" s="13" customFormat="1" x14ac:dyDescent="0.25">
      <c r="A103" s="70">
        <f t="shared" si="76"/>
        <v>101</v>
      </c>
      <c r="B103" s="122">
        <v>2159</v>
      </c>
      <c r="C103" s="108" t="s">
        <v>41</v>
      </c>
      <c r="D103" s="140" t="s">
        <v>612</v>
      </c>
      <c r="E103" s="146" t="s">
        <v>523</v>
      </c>
      <c r="F103" s="114" t="s">
        <v>594</v>
      </c>
      <c r="G103" s="147"/>
      <c r="H103" s="122" t="s">
        <v>43</v>
      </c>
      <c r="I103" s="82">
        <v>45154</v>
      </c>
      <c r="J103" s="137"/>
      <c r="K103" s="103">
        <v>45231</v>
      </c>
      <c r="L103" s="102"/>
      <c r="M103" s="128" t="s">
        <v>44</v>
      </c>
      <c r="N103" s="117" t="s">
        <v>959</v>
      </c>
      <c r="O103" s="114" t="s">
        <v>998</v>
      </c>
      <c r="P103" s="70" t="s">
        <v>46</v>
      </c>
      <c r="Q103" s="70" t="s">
        <v>412</v>
      </c>
      <c r="R103" s="125">
        <v>18875</v>
      </c>
      <c r="S103" s="125">
        <f>+R103*0.2</f>
        <v>3775</v>
      </c>
      <c r="T103" s="116">
        <v>45778</v>
      </c>
      <c r="U103" s="119">
        <f t="shared" si="115"/>
        <v>22650</v>
      </c>
      <c r="V103" s="119">
        <v>21291</v>
      </c>
      <c r="W103" s="119">
        <f t="shared" si="124"/>
        <v>11325</v>
      </c>
      <c r="X103" s="125">
        <f t="shared" si="132"/>
        <v>5662.5</v>
      </c>
      <c r="Y103" s="118">
        <f>+V103-W103-X103</f>
        <v>4303.5</v>
      </c>
      <c r="Z103" s="118">
        <f t="shared" si="127"/>
        <v>21291</v>
      </c>
      <c r="AA103" s="119">
        <v>30</v>
      </c>
      <c r="AB103" s="115">
        <v>9.5</v>
      </c>
      <c r="AC103" s="115">
        <v>4</v>
      </c>
      <c r="AD103" s="115">
        <v>1</v>
      </c>
      <c r="AE103" s="115"/>
      <c r="AF103" s="115">
        <f t="shared" si="131"/>
        <v>6.5</v>
      </c>
      <c r="AG103" s="115">
        <f>+AF103+AA103</f>
        <v>36.5</v>
      </c>
      <c r="AH103" s="101">
        <f t="shared" si="77"/>
        <v>30</v>
      </c>
      <c r="AI103" s="118">
        <f t="shared" si="121"/>
        <v>22650</v>
      </c>
      <c r="AJ103" s="118">
        <f t="shared" si="60"/>
        <v>21291</v>
      </c>
      <c r="AK103" s="118">
        <f t="shared" si="61"/>
        <v>11325</v>
      </c>
      <c r="AL103" s="118">
        <f t="shared" si="62"/>
        <v>5663</v>
      </c>
      <c r="AM103" s="118">
        <f t="shared" si="126"/>
        <v>4304</v>
      </c>
      <c r="AN103" s="119">
        <f t="shared" si="64"/>
        <v>0</v>
      </c>
      <c r="AO103" s="119">
        <f t="shared" si="92"/>
        <v>1359</v>
      </c>
      <c r="AP103" s="118">
        <f t="shared" si="89"/>
        <v>22651</v>
      </c>
      <c r="AQ103" s="118">
        <v>0</v>
      </c>
      <c r="AR103" s="118">
        <f t="shared" si="66"/>
        <v>0</v>
      </c>
      <c r="AS103" s="118">
        <f t="shared" si="95"/>
        <v>0</v>
      </c>
      <c r="AT103" s="118">
        <f t="shared" si="96"/>
        <v>1359</v>
      </c>
      <c r="AU103" s="118">
        <f t="shared" si="97"/>
        <v>1359</v>
      </c>
      <c r="AV103" s="118"/>
      <c r="AW103" s="118">
        <v>0</v>
      </c>
      <c r="AX103" s="118">
        <v>0</v>
      </c>
      <c r="AY103" s="118"/>
      <c r="AZ103" s="120">
        <v>0</v>
      </c>
      <c r="BA103" s="118">
        <f t="shared" si="103"/>
        <v>19933</v>
      </c>
      <c r="BB103" s="131" t="s">
        <v>1255</v>
      </c>
      <c r="BC103" s="139" t="s">
        <v>1256</v>
      </c>
      <c r="BD103" s="139" t="s">
        <v>1340</v>
      </c>
      <c r="BE103" s="102"/>
      <c r="BF103" s="102"/>
      <c r="BG103" s="70" t="s">
        <v>48</v>
      </c>
      <c r="BH103" s="125">
        <v>0</v>
      </c>
      <c r="BI103" s="156"/>
      <c r="BJ103" s="70"/>
    </row>
    <row r="104" spans="1:62" s="13" customFormat="1" x14ac:dyDescent="0.25">
      <c r="A104" s="70">
        <f t="shared" si="76"/>
        <v>102</v>
      </c>
      <c r="B104" s="122">
        <v>2163</v>
      </c>
      <c r="C104" s="108" t="s">
        <v>623</v>
      </c>
      <c r="D104" s="140" t="s">
        <v>613</v>
      </c>
      <c r="E104" s="146" t="s">
        <v>589</v>
      </c>
      <c r="F104" s="114" t="s">
        <v>595</v>
      </c>
      <c r="G104" s="147"/>
      <c r="H104" s="122" t="s">
        <v>43</v>
      </c>
      <c r="I104" s="82">
        <v>45251</v>
      </c>
      <c r="J104" s="137"/>
      <c r="K104" s="82"/>
      <c r="L104" s="102"/>
      <c r="M104" s="128" t="s">
        <v>44</v>
      </c>
      <c r="N104" s="117" t="s">
        <v>959</v>
      </c>
      <c r="O104" s="114" t="s">
        <v>1001</v>
      </c>
      <c r="P104" s="70" t="s">
        <v>412</v>
      </c>
      <c r="Q104" s="70" t="s">
        <v>412</v>
      </c>
      <c r="R104" s="125">
        <v>18304</v>
      </c>
      <c r="S104" s="125">
        <f>+R104*0.15</f>
        <v>2745.6</v>
      </c>
      <c r="T104" s="116" t="s">
        <v>1530</v>
      </c>
      <c r="U104" s="119">
        <f t="shared" si="115"/>
        <v>21049.599999999999</v>
      </c>
      <c r="V104" s="119">
        <v>19132</v>
      </c>
      <c r="W104" s="119">
        <v>10800</v>
      </c>
      <c r="X104" s="125">
        <f t="shared" si="132"/>
        <v>5400</v>
      </c>
      <c r="Y104" s="118">
        <f t="shared" ref="Y104:Y106" si="133">+V104-W104-X104</f>
        <v>2932</v>
      </c>
      <c r="Z104" s="118">
        <f t="shared" ref="Z104:Z106" si="134">W104+X104+Y104</f>
        <v>19132</v>
      </c>
      <c r="AA104" s="119">
        <v>30</v>
      </c>
      <c r="AB104" s="115">
        <v>4.5</v>
      </c>
      <c r="AC104" s="115">
        <v>6.5</v>
      </c>
      <c r="AD104" s="115">
        <v>1</v>
      </c>
      <c r="AE104" s="115"/>
      <c r="AF104" s="115">
        <f t="shared" si="131"/>
        <v>-1</v>
      </c>
      <c r="AG104" s="115">
        <f>+AF104+AA104</f>
        <v>29</v>
      </c>
      <c r="AH104" s="101">
        <f t="shared" si="77"/>
        <v>29</v>
      </c>
      <c r="AI104" s="118">
        <f t="shared" si="121"/>
        <v>20348</v>
      </c>
      <c r="AJ104" s="118">
        <f t="shared" si="60"/>
        <v>18494</v>
      </c>
      <c r="AK104" s="118">
        <f t="shared" si="61"/>
        <v>10440</v>
      </c>
      <c r="AL104" s="118">
        <f t="shared" si="62"/>
        <v>5220</v>
      </c>
      <c r="AM104" s="118">
        <f>+AJ104-AK104-AL104</f>
        <v>2834</v>
      </c>
      <c r="AN104" s="119">
        <f t="shared" si="64"/>
        <v>602</v>
      </c>
      <c r="AO104" s="119">
        <f t="shared" si="92"/>
        <v>1253</v>
      </c>
      <c r="AP104" s="118">
        <f t="shared" si="89"/>
        <v>20349</v>
      </c>
      <c r="AQ104" s="118">
        <v>0</v>
      </c>
      <c r="AR104" s="118">
        <f t="shared" si="66"/>
        <v>139</v>
      </c>
      <c r="AS104" s="118">
        <f t="shared" si="95"/>
        <v>602</v>
      </c>
      <c r="AT104" s="118">
        <f t="shared" si="96"/>
        <v>1253</v>
      </c>
      <c r="AU104" s="118">
        <f t="shared" si="97"/>
        <v>1253</v>
      </c>
      <c r="AV104" s="118"/>
      <c r="AW104" s="118">
        <v>0</v>
      </c>
      <c r="AX104" s="118">
        <f t="shared" ref="AX104" si="135">+AV104-AW104</f>
        <v>0</v>
      </c>
      <c r="AY104" s="120"/>
      <c r="AZ104" s="120">
        <v>0</v>
      </c>
      <c r="BA104" s="118">
        <f t="shared" si="103"/>
        <v>17102</v>
      </c>
      <c r="BB104" s="131" t="s">
        <v>393</v>
      </c>
      <c r="BC104" s="139" t="s">
        <v>599</v>
      </c>
      <c r="BD104" s="139" t="s">
        <v>600</v>
      </c>
      <c r="BE104" s="102"/>
      <c r="BF104" s="102"/>
      <c r="BG104" s="70" t="s">
        <v>48</v>
      </c>
      <c r="BH104" s="125">
        <v>0</v>
      </c>
      <c r="BI104" s="156"/>
      <c r="BJ104" s="70"/>
    </row>
    <row r="105" spans="1:62" s="196" customFormat="1" x14ac:dyDescent="0.25">
      <c r="A105" s="197">
        <f t="shared" si="76"/>
        <v>103</v>
      </c>
      <c r="B105" s="198">
        <v>2164</v>
      </c>
      <c r="C105" s="199" t="s">
        <v>645</v>
      </c>
      <c r="D105" s="200" t="s">
        <v>614</v>
      </c>
      <c r="E105" s="215" t="s">
        <v>592</v>
      </c>
      <c r="F105" s="201" t="s">
        <v>598</v>
      </c>
      <c r="G105" s="216"/>
      <c r="H105" s="198" t="s">
        <v>43</v>
      </c>
      <c r="I105" s="182">
        <v>45251</v>
      </c>
      <c r="J105" s="137"/>
      <c r="K105" s="182"/>
      <c r="L105" s="102"/>
      <c r="M105" s="204" t="s">
        <v>44</v>
      </c>
      <c r="N105" s="205" t="s">
        <v>959</v>
      </c>
      <c r="O105" s="201" t="s">
        <v>976</v>
      </c>
      <c r="P105" s="197" t="s">
        <v>412</v>
      </c>
      <c r="Q105" s="197" t="s">
        <v>412</v>
      </c>
      <c r="R105" s="206">
        <f>15000-131</f>
        <v>14869</v>
      </c>
      <c r="S105" s="206">
        <v>2500</v>
      </c>
      <c r="T105" s="208">
        <v>45658</v>
      </c>
      <c r="U105" s="209">
        <f t="shared" si="115"/>
        <v>17369</v>
      </c>
      <c r="V105" s="209">
        <v>15776</v>
      </c>
      <c r="W105" s="209">
        <v>9000</v>
      </c>
      <c r="X105" s="206">
        <f t="shared" si="132"/>
        <v>4500</v>
      </c>
      <c r="Y105" s="210">
        <f t="shared" si="133"/>
        <v>2276</v>
      </c>
      <c r="Z105" s="210">
        <f t="shared" si="134"/>
        <v>15776</v>
      </c>
      <c r="AA105" s="209">
        <v>30</v>
      </c>
      <c r="AB105" s="202"/>
      <c r="AC105" s="202">
        <v>25.5</v>
      </c>
      <c r="AD105" s="202">
        <v>0</v>
      </c>
      <c r="AE105" s="202"/>
      <c r="AF105" s="202">
        <f t="shared" si="131"/>
        <v>-25.5</v>
      </c>
      <c r="AG105" s="202">
        <f>+AF105+AA105</f>
        <v>4.5</v>
      </c>
      <c r="AH105" s="211">
        <f t="shared" si="77"/>
        <v>4.5</v>
      </c>
      <c r="AI105" s="210">
        <f t="shared" si="121"/>
        <v>2605</v>
      </c>
      <c r="AJ105" s="210">
        <f t="shared" si="60"/>
        <v>2366</v>
      </c>
      <c r="AK105" s="210">
        <f t="shared" si="61"/>
        <v>1350</v>
      </c>
      <c r="AL105" s="210">
        <f t="shared" si="62"/>
        <v>675</v>
      </c>
      <c r="AM105" s="210">
        <f>+AJ105-AK105-AL105</f>
        <v>341</v>
      </c>
      <c r="AN105" s="209">
        <f t="shared" si="64"/>
        <v>77</v>
      </c>
      <c r="AO105" s="209">
        <f t="shared" si="92"/>
        <v>162</v>
      </c>
      <c r="AP105" s="210">
        <f t="shared" si="89"/>
        <v>2605</v>
      </c>
      <c r="AQ105" s="210">
        <v>0</v>
      </c>
      <c r="AR105" s="210">
        <f t="shared" si="66"/>
        <v>18</v>
      </c>
      <c r="AS105" s="210">
        <f t="shared" si="95"/>
        <v>77</v>
      </c>
      <c r="AT105" s="210">
        <f t="shared" si="96"/>
        <v>162</v>
      </c>
      <c r="AU105" s="210">
        <f t="shared" si="97"/>
        <v>162</v>
      </c>
      <c r="AV105" s="210"/>
      <c r="AW105" s="210">
        <v>0</v>
      </c>
      <c r="AX105" s="210">
        <v>0</v>
      </c>
      <c r="AY105" s="212"/>
      <c r="AZ105" s="212">
        <v>0</v>
      </c>
      <c r="BA105" s="210">
        <f t="shared" si="103"/>
        <v>2186</v>
      </c>
      <c r="BB105" s="193" t="s">
        <v>517</v>
      </c>
      <c r="BC105" s="194" t="s">
        <v>596</v>
      </c>
      <c r="BD105" s="194" t="s">
        <v>597</v>
      </c>
      <c r="BE105" s="214"/>
      <c r="BF105" s="102"/>
      <c r="BG105" s="197" t="s">
        <v>1480</v>
      </c>
      <c r="BH105" s="206" t="s">
        <v>1484</v>
      </c>
      <c r="BI105" s="156"/>
      <c r="BJ105" s="70"/>
    </row>
    <row r="106" spans="1:62" s="13" customFormat="1" x14ac:dyDescent="0.25">
      <c r="A106" s="70">
        <f t="shared" si="76"/>
        <v>104</v>
      </c>
      <c r="B106" s="122">
        <v>2165</v>
      </c>
      <c r="C106" s="108" t="s">
        <v>41</v>
      </c>
      <c r="D106" s="140" t="s">
        <v>615</v>
      </c>
      <c r="E106" s="146" t="s">
        <v>593</v>
      </c>
      <c r="F106" s="114" t="s">
        <v>601</v>
      </c>
      <c r="G106" s="147"/>
      <c r="H106" s="122" t="s">
        <v>43</v>
      </c>
      <c r="I106" s="82">
        <v>45251</v>
      </c>
      <c r="J106" s="137"/>
      <c r="K106" s="82"/>
      <c r="L106" s="102"/>
      <c r="M106" s="128" t="s">
        <v>44</v>
      </c>
      <c r="N106" s="117" t="s">
        <v>959</v>
      </c>
      <c r="O106" s="114" t="s">
        <v>53</v>
      </c>
      <c r="P106" s="70" t="s">
        <v>46</v>
      </c>
      <c r="Q106" s="70" t="s">
        <v>412</v>
      </c>
      <c r="R106" s="125">
        <v>25950</v>
      </c>
      <c r="S106" s="125">
        <f>+R106*0.05</f>
        <v>1297.5</v>
      </c>
      <c r="T106" s="116" t="s">
        <v>1501</v>
      </c>
      <c r="U106" s="119">
        <f t="shared" si="115"/>
        <v>27247.5</v>
      </c>
      <c r="V106" s="119">
        <v>25613</v>
      </c>
      <c r="W106" s="119">
        <f>+U106*0.5</f>
        <v>13623.75</v>
      </c>
      <c r="X106" s="125">
        <f>+W106*0.5</f>
        <v>6811.875</v>
      </c>
      <c r="Y106" s="118">
        <f t="shared" si="133"/>
        <v>5177.375</v>
      </c>
      <c r="Z106" s="118">
        <f t="shared" si="134"/>
        <v>25613</v>
      </c>
      <c r="AA106" s="119">
        <v>30</v>
      </c>
      <c r="AB106" s="115">
        <v>6.5</v>
      </c>
      <c r="AC106" s="115">
        <v>3</v>
      </c>
      <c r="AD106" s="115">
        <v>1</v>
      </c>
      <c r="AE106" s="115"/>
      <c r="AF106" s="115">
        <f t="shared" si="131"/>
        <v>4.5</v>
      </c>
      <c r="AG106" s="115">
        <f>+AF106+AA106</f>
        <v>34.5</v>
      </c>
      <c r="AH106" s="101">
        <f t="shared" si="77"/>
        <v>30</v>
      </c>
      <c r="AI106" s="118">
        <f t="shared" si="121"/>
        <v>27248</v>
      </c>
      <c r="AJ106" s="118">
        <f t="shared" si="60"/>
        <v>25613</v>
      </c>
      <c r="AK106" s="118">
        <f t="shared" si="61"/>
        <v>13624</v>
      </c>
      <c r="AL106" s="118">
        <f t="shared" si="62"/>
        <v>6812</v>
      </c>
      <c r="AM106" s="118">
        <f>+AJ106-AK106-AL106</f>
        <v>5177</v>
      </c>
      <c r="AN106" s="119">
        <f t="shared" si="64"/>
        <v>0</v>
      </c>
      <c r="AO106" s="119">
        <f t="shared" si="92"/>
        <v>1635</v>
      </c>
      <c r="AP106" s="118">
        <f t="shared" si="89"/>
        <v>27248</v>
      </c>
      <c r="AQ106" s="118">
        <v>0</v>
      </c>
      <c r="AR106" s="118">
        <f t="shared" si="66"/>
        <v>0</v>
      </c>
      <c r="AS106" s="118">
        <f t="shared" si="95"/>
        <v>0</v>
      </c>
      <c r="AT106" s="118">
        <f t="shared" si="96"/>
        <v>1635</v>
      </c>
      <c r="AU106" s="118">
        <f t="shared" si="97"/>
        <v>1635</v>
      </c>
      <c r="AV106" s="118"/>
      <c r="AW106" s="118">
        <v>0</v>
      </c>
      <c r="AX106" s="118">
        <v>0</v>
      </c>
      <c r="AY106" s="120"/>
      <c r="AZ106" s="120">
        <v>0</v>
      </c>
      <c r="BA106" s="118">
        <f t="shared" si="103"/>
        <v>23978</v>
      </c>
      <c r="BB106" s="131" t="s">
        <v>552</v>
      </c>
      <c r="BC106" s="139" t="s">
        <v>351</v>
      </c>
      <c r="BD106" s="139" t="s">
        <v>602</v>
      </c>
      <c r="BE106" s="102"/>
      <c r="BF106" s="102"/>
      <c r="BG106" s="70" t="s">
        <v>48</v>
      </c>
      <c r="BH106" s="125">
        <v>0</v>
      </c>
      <c r="BI106" s="156"/>
      <c r="BJ106" s="70"/>
    </row>
    <row r="107" spans="1:62" s="13" customFormat="1" x14ac:dyDescent="0.25">
      <c r="A107" s="70">
        <f t="shared" si="76"/>
        <v>105</v>
      </c>
      <c r="B107" s="122">
        <v>2174</v>
      </c>
      <c r="C107" s="108" t="s">
        <v>644</v>
      </c>
      <c r="D107" s="140" t="s">
        <v>634</v>
      </c>
      <c r="E107" s="146" t="s">
        <v>626</v>
      </c>
      <c r="F107" s="114" t="s">
        <v>775</v>
      </c>
      <c r="G107" s="147"/>
      <c r="H107" s="122" t="s">
        <v>43</v>
      </c>
      <c r="I107" s="82">
        <v>45267</v>
      </c>
      <c r="J107" s="137"/>
      <c r="K107" s="82"/>
      <c r="L107" s="102"/>
      <c r="M107" s="128" t="s">
        <v>44</v>
      </c>
      <c r="N107" s="117" t="s">
        <v>959</v>
      </c>
      <c r="O107" s="114" t="s">
        <v>976</v>
      </c>
      <c r="P107" s="70" t="s">
        <v>412</v>
      </c>
      <c r="Q107" s="70" t="s">
        <v>412</v>
      </c>
      <c r="R107" s="125">
        <v>21000</v>
      </c>
      <c r="S107" s="83">
        <f>+R107*0.07</f>
        <v>1470.0000000000002</v>
      </c>
      <c r="T107" s="116">
        <v>45778</v>
      </c>
      <c r="U107" s="119">
        <f t="shared" ref="U107:U108" si="136">R107+S107</f>
        <v>22470</v>
      </c>
      <c r="V107" s="119">
        <v>20457</v>
      </c>
      <c r="W107" s="119">
        <f>+U107*0.5</f>
        <v>11235</v>
      </c>
      <c r="X107" s="125">
        <f>+W107*0.5</f>
        <v>5617.5</v>
      </c>
      <c r="Y107" s="118">
        <f t="shared" ref="Y107" si="137">+V107-W107-X107</f>
        <v>3604.5</v>
      </c>
      <c r="Z107" s="118">
        <f t="shared" ref="Z107" si="138">+W107+X107+Y107</f>
        <v>20457</v>
      </c>
      <c r="AA107" s="119">
        <v>30</v>
      </c>
      <c r="AB107" s="115">
        <v>9.5</v>
      </c>
      <c r="AC107" s="115">
        <v>2</v>
      </c>
      <c r="AD107" s="115">
        <v>1</v>
      </c>
      <c r="AE107" s="115"/>
      <c r="AF107" s="115">
        <f t="shared" si="131"/>
        <v>8.5</v>
      </c>
      <c r="AG107" s="115">
        <f t="shared" ref="AG107" si="139">+AF107+AA107</f>
        <v>38.5</v>
      </c>
      <c r="AH107" s="101">
        <f t="shared" si="77"/>
        <v>30</v>
      </c>
      <c r="AI107" s="118">
        <f t="shared" si="121"/>
        <v>22470</v>
      </c>
      <c r="AJ107" s="118">
        <f t="shared" si="60"/>
        <v>20457</v>
      </c>
      <c r="AK107" s="118">
        <f t="shared" si="61"/>
        <v>11235</v>
      </c>
      <c r="AL107" s="118">
        <f t="shared" si="62"/>
        <v>5618</v>
      </c>
      <c r="AM107" s="118">
        <f t="shared" ref="AM107:AM128" si="140">ROUND(Y107*AH107/AA107,0)</f>
        <v>3605</v>
      </c>
      <c r="AN107" s="119">
        <f t="shared" si="64"/>
        <v>665</v>
      </c>
      <c r="AO107" s="119">
        <f t="shared" ref="AO107:AO118" si="141">ROUND(IF(AK107&lt;15001,AK107*12%,1800),0)</f>
        <v>1348</v>
      </c>
      <c r="AP107" s="118">
        <f t="shared" ref="AP107:AP128" si="142">SUM(AK107:AO107)</f>
        <v>22471</v>
      </c>
      <c r="AQ107" s="118">
        <v>0</v>
      </c>
      <c r="AR107" s="118">
        <f t="shared" si="66"/>
        <v>154</v>
      </c>
      <c r="AS107" s="118">
        <f t="shared" si="95"/>
        <v>665</v>
      </c>
      <c r="AT107" s="118">
        <f t="shared" si="96"/>
        <v>1348</v>
      </c>
      <c r="AU107" s="118">
        <f t="shared" si="97"/>
        <v>1348</v>
      </c>
      <c r="AV107" s="118"/>
      <c r="AW107" s="118">
        <v>0</v>
      </c>
      <c r="AX107" s="118">
        <v>0</v>
      </c>
      <c r="AY107" s="120"/>
      <c r="AZ107" s="120">
        <v>0</v>
      </c>
      <c r="BA107" s="118">
        <f t="shared" si="103"/>
        <v>18956</v>
      </c>
      <c r="BB107" s="131" t="s">
        <v>446</v>
      </c>
      <c r="BC107" s="139" t="s">
        <v>632</v>
      </c>
      <c r="BD107" s="139" t="s">
        <v>633</v>
      </c>
      <c r="BE107" s="102"/>
      <c r="BF107" s="102"/>
      <c r="BG107" s="70" t="s">
        <v>48</v>
      </c>
      <c r="BH107" s="125">
        <v>0</v>
      </c>
      <c r="BI107" s="156"/>
      <c r="BJ107" s="70"/>
    </row>
    <row r="108" spans="1:62" s="13" customFormat="1" x14ac:dyDescent="0.25">
      <c r="A108" s="70">
        <f t="shared" si="76"/>
        <v>106</v>
      </c>
      <c r="B108" s="122">
        <v>2175</v>
      </c>
      <c r="C108" s="108" t="s">
        <v>643</v>
      </c>
      <c r="D108" s="140" t="s">
        <v>629</v>
      </c>
      <c r="E108" s="146" t="s">
        <v>627</v>
      </c>
      <c r="F108" s="114" t="s">
        <v>628</v>
      </c>
      <c r="G108" s="147"/>
      <c r="H108" s="122" t="s">
        <v>43</v>
      </c>
      <c r="I108" s="82">
        <v>45272</v>
      </c>
      <c r="J108" s="137"/>
      <c r="K108" s="103">
        <v>45273</v>
      </c>
      <c r="L108" s="102"/>
      <c r="M108" s="128" t="s">
        <v>44</v>
      </c>
      <c r="N108" s="117" t="s">
        <v>959</v>
      </c>
      <c r="O108" s="114" t="s">
        <v>998</v>
      </c>
      <c r="P108" s="70" t="s">
        <v>412</v>
      </c>
      <c r="Q108" s="70" t="s">
        <v>412</v>
      </c>
      <c r="R108" s="125">
        <v>17843</v>
      </c>
      <c r="S108" s="125">
        <f>+R108*0.2</f>
        <v>3568.6000000000004</v>
      </c>
      <c r="T108" s="116" t="s">
        <v>1530</v>
      </c>
      <c r="U108" s="119">
        <f t="shared" si="136"/>
        <v>21411.599999999999</v>
      </c>
      <c r="V108" s="119">
        <v>19483</v>
      </c>
      <c r="W108" s="119">
        <v>10800</v>
      </c>
      <c r="X108" s="125">
        <v>5226</v>
      </c>
      <c r="Y108" s="118">
        <f t="shared" ref="Y108:Y110" si="143">+V108-W108-X108</f>
        <v>3457</v>
      </c>
      <c r="Z108" s="118">
        <f t="shared" ref="Z108:Z110" si="144">W108+X108+Y108</f>
        <v>19483</v>
      </c>
      <c r="AA108" s="119">
        <v>30</v>
      </c>
      <c r="AB108" s="115">
        <v>15.5</v>
      </c>
      <c r="AC108" s="115">
        <v>7</v>
      </c>
      <c r="AD108" s="115">
        <v>1</v>
      </c>
      <c r="AE108" s="115"/>
      <c r="AF108" s="115">
        <f t="shared" si="131"/>
        <v>9.5</v>
      </c>
      <c r="AG108" s="115">
        <f>+AF108+AA108</f>
        <v>39.5</v>
      </c>
      <c r="AH108" s="101">
        <f t="shared" si="77"/>
        <v>30</v>
      </c>
      <c r="AI108" s="118">
        <f t="shared" si="121"/>
        <v>21412</v>
      </c>
      <c r="AJ108" s="118">
        <f t="shared" si="60"/>
        <v>19483</v>
      </c>
      <c r="AK108" s="118">
        <f t="shared" si="61"/>
        <v>10800</v>
      </c>
      <c r="AL108" s="118">
        <f t="shared" si="62"/>
        <v>5226</v>
      </c>
      <c r="AM108" s="118">
        <f t="shared" si="140"/>
        <v>3457</v>
      </c>
      <c r="AN108" s="119">
        <f t="shared" si="64"/>
        <v>634</v>
      </c>
      <c r="AO108" s="119">
        <f t="shared" si="141"/>
        <v>1296</v>
      </c>
      <c r="AP108" s="118">
        <f t="shared" si="142"/>
        <v>21413</v>
      </c>
      <c r="AQ108" s="118">
        <v>0</v>
      </c>
      <c r="AR108" s="118">
        <f t="shared" si="66"/>
        <v>147</v>
      </c>
      <c r="AS108" s="118">
        <f t="shared" si="95"/>
        <v>634</v>
      </c>
      <c r="AT108" s="118">
        <f t="shared" si="96"/>
        <v>1296</v>
      </c>
      <c r="AU108" s="118">
        <f t="shared" si="97"/>
        <v>1296</v>
      </c>
      <c r="AV108" s="118">
        <v>0</v>
      </c>
      <c r="AW108" s="118">
        <v>0</v>
      </c>
      <c r="AX108" s="118">
        <v>0</v>
      </c>
      <c r="AY108" s="120"/>
      <c r="AZ108" s="120">
        <v>0</v>
      </c>
      <c r="BA108" s="118">
        <f t="shared" si="103"/>
        <v>18040</v>
      </c>
      <c r="BB108" s="131" t="s">
        <v>139</v>
      </c>
      <c r="BC108" s="139" t="s">
        <v>630</v>
      </c>
      <c r="BD108" s="139" t="s">
        <v>631</v>
      </c>
      <c r="BE108" s="102"/>
      <c r="BF108" s="102"/>
      <c r="BG108" s="70" t="s">
        <v>48</v>
      </c>
      <c r="BH108" s="125">
        <v>0</v>
      </c>
      <c r="BI108" s="156"/>
      <c r="BJ108" s="70"/>
    </row>
    <row r="109" spans="1:62" s="13" customFormat="1" x14ac:dyDescent="0.25">
      <c r="A109" s="70">
        <f t="shared" si="76"/>
        <v>107</v>
      </c>
      <c r="B109" s="122">
        <v>2184</v>
      </c>
      <c r="C109" s="108" t="s">
        <v>41</v>
      </c>
      <c r="D109" s="126" t="s">
        <v>650</v>
      </c>
      <c r="E109" s="146" t="s">
        <v>637</v>
      </c>
      <c r="F109" s="114" t="s">
        <v>641</v>
      </c>
      <c r="G109" s="147"/>
      <c r="H109" s="122" t="s">
        <v>43</v>
      </c>
      <c r="I109" s="82">
        <v>45293</v>
      </c>
      <c r="J109" s="137"/>
      <c r="K109" s="82"/>
      <c r="L109" s="102"/>
      <c r="M109" s="128" t="s">
        <v>44</v>
      </c>
      <c r="N109" s="117" t="s">
        <v>959</v>
      </c>
      <c r="O109" s="114" t="s">
        <v>975</v>
      </c>
      <c r="P109" s="70" t="s">
        <v>46</v>
      </c>
      <c r="Q109" s="70" t="s">
        <v>412</v>
      </c>
      <c r="R109" s="125">
        <v>25000</v>
      </c>
      <c r="S109" s="83">
        <f>+R109*0.15</f>
        <v>3750</v>
      </c>
      <c r="T109" s="74">
        <v>45778</v>
      </c>
      <c r="U109" s="119">
        <f t="shared" ref="U109:U114" si="145">R109+S109</f>
        <v>28750</v>
      </c>
      <c r="V109" s="119">
        <v>27025</v>
      </c>
      <c r="W109" s="119">
        <f>+U109*0.5</f>
        <v>14375</v>
      </c>
      <c r="X109" s="125">
        <f>+W109*0.5</f>
        <v>7187.5</v>
      </c>
      <c r="Y109" s="118">
        <f t="shared" si="143"/>
        <v>5462.5</v>
      </c>
      <c r="Z109" s="118">
        <v>22500</v>
      </c>
      <c r="AA109" s="119">
        <v>30</v>
      </c>
      <c r="AB109" s="115">
        <v>34.5</v>
      </c>
      <c r="AC109" s="115">
        <v>0</v>
      </c>
      <c r="AD109" s="115">
        <v>1</v>
      </c>
      <c r="AE109" s="115"/>
      <c r="AF109" s="115">
        <f t="shared" si="131"/>
        <v>35.5</v>
      </c>
      <c r="AG109" s="115">
        <f t="shared" ref="AG109:AG114" si="146">+AF109+AA109</f>
        <v>65.5</v>
      </c>
      <c r="AH109" s="101">
        <f t="shared" si="77"/>
        <v>30</v>
      </c>
      <c r="AI109" s="118">
        <f t="shared" si="121"/>
        <v>28750</v>
      </c>
      <c r="AJ109" s="118">
        <f t="shared" ref="AJ109:AJ154" si="147">ROUND(Z109*AH109/AA109,0)</f>
        <v>22500</v>
      </c>
      <c r="AK109" s="118">
        <f t="shared" ref="AK109:AK154" si="148">ROUND(W109*AH109/AA109,0)</f>
        <v>14375</v>
      </c>
      <c r="AL109" s="118">
        <f t="shared" ref="AL109:AL154" si="149">ROUND(X109*AH109/AA109,0)</f>
        <v>7188</v>
      </c>
      <c r="AM109" s="118">
        <f t="shared" si="140"/>
        <v>5463</v>
      </c>
      <c r="AN109" s="119">
        <f t="shared" ref="AN109:AN154" si="150">ROUNDUP(IF(V109&gt;=21000,0,AJ109*3.25%),0)</f>
        <v>0</v>
      </c>
      <c r="AO109" s="119">
        <f t="shared" si="141"/>
        <v>1725</v>
      </c>
      <c r="AP109" s="118">
        <f t="shared" si="142"/>
        <v>28751</v>
      </c>
      <c r="AQ109" s="118">
        <v>0</v>
      </c>
      <c r="AR109" s="118">
        <f t="shared" ref="AR109:AR154" si="151">ROUNDUP(IF(V109&gt;=21000,0,AJ109*0.75%),0)</f>
        <v>0</v>
      </c>
      <c r="AS109" s="118">
        <f t="shared" ref="AS109:AS132" si="152">AN109</f>
        <v>0</v>
      </c>
      <c r="AT109" s="118">
        <f t="shared" ref="AT109:AT132" si="153">AO109</f>
        <v>1725</v>
      </c>
      <c r="AU109" s="118">
        <f t="shared" ref="AU109:AU132" si="154">AO109</f>
        <v>1725</v>
      </c>
      <c r="AV109" s="118"/>
      <c r="AW109" s="118">
        <v>0</v>
      </c>
      <c r="AX109" s="118">
        <v>0</v>
      </c>
      <c r="AY109" s="120"/>
      <c r="AZ109" s="120">
        <v>1000</v>
      </c>
      <c r="BA109" s="118">
        <f t="shared" si="103"/>
        <v>24301</v>
      </c>
      <c r="BB109" s="131" t="s">
        <v>552</v>
      </c>
      <c r="BC109" s="139" t="s">
        <v>351</v>
      </c>
      <c r="BD109" s="139" t="s">
        <v>640</v>
      </c>
      <c r="BE109" s="102"/>
      <c r="BF109" s="102"/>
      <c r="BG109" s="70" t="s">
        <v>48</v>
      </c>
      <c r="BH109" s="125">
        <v>0</v>
      </c>
      <c r="BI109" s="156"/>
      <c r="BJ109" s="70"/>
    </row>
    <row r="110" spans="1:62" s="13" customFormat="1" x14ac:dyDescent="0.25">
      <c r="A110" s="70">
        <f t="shared" si="76"/>
        <v>108</v>
      </c>
      <c r="B110" s="122">
        <v>2186</v>
      </c>
      <c r="C110" s="108" t="s">
        <v>41</v>
      </c>
      <c r="D110" s="126" t="s">
        <v>651</v>
      </c>
      <c r="E110" s="146" t="s">
        <v>638</v>
      </c>
      <c r="F110" s="114" t="s">
        <v>776</v>
      </c>
      <c r="G110" s="147"/>
      <c r="H110" s="122" t="s">
        <v>43</v>
      </c>
      <c r="I110" s="82">
        <v>45293</v>
      </c>
      <c r="J110" s="137"/>
      <c r="K110" s="82"/>
      <c r="L110" s="102"/>
      <c r="M110" s="128" t="s">
        <v>44</v>
      </c>
      <c r="N110" s="117" t="s">
        <v>945</v>
      </c>
      <c r="O110" s="114" t="s">
        <v>1112</v>
      </c>
      <c r="P110" s="70" t="s">
        <v>292</v>
      </c>
      <c r="Q110" s="70" t="s">
        <v>412</v>
      </c>
      <c r="R110" s="125">
        <v>53600</v>
      </c>
      <c r="S110" s="83"/>
      <c r="T110" s="116"/>
      <c r="U110" s="119">
        <f t="shared" si="145"/>
        <v>53600</v>
      </c>
      <c r="V110" s="119">
        <v>51800</v>
      </c>
      <c r="W110" s="119">
        <f t="shared" ref="W110" si="155">+U110*0.5</f>
        <v>26800</v>
      </c>
      <c r="X110" s="125">
        <f t="shared" ref="X110" si="156">+W110*0.5</f>
        <v>13400</v>
      </c>
      <c r="Y110" s="118">
        <f t="shared" si="143"/>
        <v>11600</v>
      </c>
      <c r="Z110" s="118">
        <f t="shared" si="144"/>
        <v>51800</v>
      </c>
      <c r="AA110" s="119">
        <v>30</v>
      </c>
      <c r="AB110" s="115">
        <v>10.5</v>
      </c>
      <c r="AC110" s="115">
        <v>4</v>
      </c>
      <c r="AD110" s="115">
        <v>1</v>
      </c>
      <c r="AE110" s="115"/>
      <c r="AF110" s="115">
        <f t="shared" si="131"/>
        <v>7.5</v>
      </c>
      <c r="AG110" s="115">
        <f t="shared" si="146"/>
        <v>37.5</v>
      </c>
      <c r="AH110" s="101">
        <f t="shared" si="77"/>
        <v>30</v>
      </c>
      <c r="AI110" s="118">
        <f t="shared" si="121"/>
        <v>53600</v>
      </c>
      <c r="AJ110" s="118">
        <f t="shared" si="147"/>
        <v>51800</v>
      </c>
      <c r="AK110" s="118">
        <f t="shared" si="148"/>
        <v>26800</v>
      </c>
      <c r="AL110" s="118">
        <f t="shared" si="149"/>
        <v>13400</v>
      </c>
      <c r="AM110" s="118">
        <f t="shared" si="140"/>
        <v>11600</v>
      </c>
      <c r="AN110" s="119">
        <f t="shared" si="150"/>
        <v>0</v>
      </c>
      <c r="AO110" s="119">
        <f t="shared" si="141"/>
        <v>1800</v>
      </c>
      <c r="AP110" s="118">
        <f t="shared" si="142"/>
        <v>53600</v>
      </c>
      <c r="AQ110" s="118">
        <v>0</v>
      </c>
      <c r="AR110" s="118">
        <f t="shared" si="151"/>
        <v>0</v>
      </c>
      <c r="AS110" s="118">
        <f t="shared" si="152"/>
        <v>0</v>
      </c>
      <c r="AT110" s="118">
        <f t="shared" si="153"/>
        <v>1800</v>
      </c>
      <c r="AU110" s="118">
        <f t="shared" si="154"/>
        <v>1800</v>
      </c>
      <c r="AV110" s="118">
        <v>0</v>
      </c>
      <c r="AW110" s="118">
        <v>0</v>
      </c>
      <c r="AX110" s="118">
        <f>+AV110-AW110</f>
        <v>0</v>
      </c>
      <c r="AY110" s="120"/>
      <c r="AZ110" s="120">
        <v>0</v>
      </c>
      <c r="BA110" s="118">
        <f t="shared" si="103"/>
        <v>50000</v>
      </c>
      <c r="BB110" s="131" t="s">
        <v>455</v>
      </c>
      <c r="BC110" s="139" t="s">
        <v>642</v>
      </c>
      <c r="BD110" s="139" t="s">
        <v>1414</v>
      </c>
      <c r="BE110" s="102"/>
      <c r="BF110" s="102"/>
      <c r="BG110" s="70" t="s">
        <v>48</v>
      </c>
      <c r="BH110" s="125">
        <v>0</v>
      </c>
      <c r="BI110" s="156"/>
      <c r="BJ110" s="70"/>
    </row>
    <row r="111" spans="1:62" s="13" customFormat="1" x14ac:dyDescent="0.25">
      <c r="A111" s="70">
        <f t="shared" si="76"/>
        <v>109</v>
      </c>
      <c r="B111" s="122">
        <v>2198</v>
      </c>
      <c r="C111" s="108" t="s">
        <v>41</v>
      </c>
      <c r="D111" s="126" t="s">
        <v>683</v>
      </c>
      <c r="E111" s="146" t="s">
        <v>655</v>
      </c>
      <c r="F111" s="114" t="s">
        <v>886</v>
      </c>
      <c r="G111" s="147"/>
      <c r="H111" s="122" t="s">
        <v>43</v>
      </c>
      <c r="I111" s="82">
        <v>45369</v>
      </c>
      <c r="J111" s="137"/>
      <c r="K111" s="82"/>
      <c r="L111" s="102"/>
      <c r="M111" s="128" t="s">
        <v>44</v>
      </c>
      <c r="N111" s="117" t="s">
        <v>959</v>
      </c>
      <c r="O111" s="114" t="s">
        <v>656</v>
      </c>
      <c r="P111" s="70" t="s">
        <v>46</v>
      </c>
      <c r="Q111" s="70" t="s">
        <v>412</v>
      </c>
      <c r="R111" s="125">
        <v>21593</v>
      </c>
      <c r="S111" s="83">
        <f>+R111*0.12</f>
        <v>2591.16</v>
      </c>
      <c r="T111" s="116">
        <v>45778</v>
      </c>
      <c r="U111" s="119">
        <f t="shared" si="145"/>
        <v>24184.16</v>
      </c>
      <c r="V111" s="119">
        <v>22733</v>
      </c>
      <c r="W111" s="119">
        <f t="shared" ref="W111:W115" si="157">+U111*0.5</f>
        <v>12092.08</v>
      </c>
      <c r="X111" s="125">
        <f t="shared" ref="X111:X113" si="158">+W111*0.5</f>
        <v>6046.04</v>
      </c>
      <c r="Y111" s="118">
        <f t="shared" ref="Y111:Y114" si="159">+V111-W111-X111</f>
        <v>4594.88</v>
      </c>
      <c r="Z111" s="118">
        <f t="shared" ref="Z111:Z114" si="160">W111+X111+Y111</f>
        <v>22733</v>
      </c>
      <c r="AA111" s="119">
        <v>30</v>
      </c>
      <c r="AB111" s="115">
        <v>7</v>
      </c>
      <c r="AC111" s="115">
        <v>1</v>
      </c>
      <c r="AD111" s="115">
        <v>1</v>
      </c>
      <c r="AE111" s="115"/>
      <c r="AF111" s="115">
        <f t="shared" si="131"/>
        <v>7</v>
      </c>
      <c r="AG111" s="115">
        <f t="shared" si="146"/>
        <v>37</v>
      </c>
      <c r="AH111" s="101">
        <f t="shared" si="77"/>
        <v>30</v>
      </c>
      <c r="AI111" s="118">
        <f t="shared" si="121"/>
        <v>24184</v>
      </c>
      <c r="AJ111" s="118">
        <f t="shared" si="147"/>
        <v>22733</v>
      </c>
      <c r="AK111" s="118">
        <f t="shared" si="148"/>
        <v>12092</v>
      </c>
      <c r="AL111" s="118">
        <f t="shared" si="149"/>
        <v>6046</v>
      </c>
      <c r="AM111" s="118">
        <f t="shared" si="140"/>
        <v>4595</v>
      </c>
      <c r="AN111" s="119">
        <f t="shared" si="150"/>
        <v>0</v>
      </c>
      <c r="AO111" s="119">
        <f t="shared" si="141"/>
        <v>1451</v>
      </c>
      <c r="AP111" s="118">
        <f t="shared" si="142"/>
        <v>24184</v>
      </c>
      <c r="AQ111" s="118">
        <v>0</v>
      </c>
      <c r="AR111" s="118">
        <f t="shared" si="151"/>
        <v>0</v>
      </c>
      <c r="AS111" s="118">
        <f t="shared" si="152"/>
        <v>0</v>
      </c>
      <c r="AT111" s="118">
        <f t="shared" si="153"/>
        <v>1451</v>
      </c>
      <c r="AU111" s="118">
        <f t="shared" si="154"/>
        <v>1451</v>
      </c>
      <c r="AV111" s="118"/>
      <c r="AW111" s="118">
        <v>0</v>
      </c>
      <c r="AX111" s="118">
        <f t="shared" ref="AX111:AX114" si="161">+AV111-AW111</f>
        <v>0</v>
      </c>
      <c r="AY111" s="120"/>
      <c r="AZ111" s="120">
        <v>0</v>
      </c>
      <c r="BA111" s="118">
        <f t="shared" si="103"/>
        <v>21282</v>
      </c>
      <c r="BB111" s="131" t="s">
        <v>659</v>
      </c>
      <c r="BC111" s="139" t="s">
        <v>565</v>
      </c>
      <c r="BD111" s="139" t="s">
        <v>660</v>
      </c>
      <c r="BE111" s="102"/>
      <c r="BF111" s="102"/>
      <c r="BG111" s="70" t="s">
        <v>48</v>
      </c>
      <c r="BH111" s="125">
        <v>0</v>
      </c>
      <c r="BI111" s="156"/>
      <c r="BJ111" s="70"/>
    </row>
    <row r="112" spans="1:62" s="13" customFormat="1" x14ac:dyDescent="0.25">
      <c r="A112" s="70">
        <f t="shared" si="76"/>
        <v>110</v>
      </c>
      <c r="B112" s="122">
        <v>2203</v>
      </c>
      <c r="C112" s="108" t="s">
        <v>41</v>
      </c>
      <c r="D112" s="126" t="s">
        <v>684</v>
      </c>
      <c r="E112" s="146" t="s">
        <v>489</v>
      </c>
      <c r="F112" s="114" t="s">
        <v>777</v>
      </c>
      <c r="G112" s="147"/>
      <c r="H112" s="122" t="s">
        <v>43</v>
      </c>
      <c r="I112" s="82">
        <v>45127</v>
      </c>
      <c r="J112" s="137"/>
      <c r="K112" s="82">
        <v>45355</v>
      </c>
      <c r="L112" s="102"/>
      <c r="M112" s="128" t="s">
        <v>44</v>
      </c>
      <c r="N112" s="117" t="s">
        <v>959</v>
      </c>
      <c r="O112" s="114" t="s">
        <v>977</v>
      </c>
      <c r="P112" s="70" t="s">
        <v>46</v>
      </c>
      <c r="Q112" s="70" t="s">
        <v>412</v>
      </c>
      <c r="R112" s="125">
        <v>20000</v>
      </c>
      <c r="S112" s="83">
        <f>+R112*0.25</f>
        <v>5000</v>
      </c>
      <c r="T112" s="116" t="s">
        <v>1160</v>
      </c>
      <c r="U112" s="119">
        <f t="shared" si="145"/>
        <v>25000</v>
      </c>
      <c r="V112" s="119">
        <v>23500</v>
      </c>
      <c r="W112" s="119">
        <f t="shared" si="157"/>
        <v>12500</v>
      </c>
      <c r="X112" s="125">
        <f t="shared" si="158"/>
        <v>6250</v>
      </c>
      <c r="Y112" s="118">
        <f t="shared" si="159"/>
        <v>4750</v>
      </c>
      <c r="Z112" s="118">
        <f t="shared" si="160"/>
        <v>23500</v>
      </c>
      <c r="AA112" s="119">
        <v>30</v>
      </c>
      <c r="AB112" s="115">
        <v>13.5</v>
      </c>
      <c r="AC112" s="115">
        <v>3.5</v>
      </c>
      <c r="AD112" s="115">
        <v>1</v>
      </c>
      <c r="AE112" s="115"/>
      <c r="AF112" s="115">
        <f t="shared" si="131"/>
        <v>11</v>
      </c>
      <c r="AG112" s="115">
        <f t="shared" si="146"/>
        <v>41</v>
      </c>
      <c r="AH112" s="101">
        <f t="shared" si="77"/>
        <v>30</v>
      </c>
      <c r="AI112" s="118">
        <f t="shared" si="121"/>
        <v>25000</v>
      </c>
      <c r="AJ112" s="118">
        <f t="shared" si="147"/>
        <v>23500</v>
      </c>
      <c r="AK112" s="118">
        <f t="shared" si="148"/>
        <v>12500</v>
      </c>
      <c r="AL112" s="118">
        <f t="shared" si="149"/>
        <v>6250</v>
      </c>
      <c r="AM112" s="118">
        <f t="shared" si="140"/>
        <v>4750</v>
      </c>
      <c r="AN112" s="119">
        <f t="shared" si="150"/>
        <v>0</v>
      </c>
      <c r="AO112" s="119">
        <f t="shared" si="141"/>
        <v>1500</v>
      </c>
      <c r="AP112" s="118">
        <f t="shared" si="142"/>
        <v>25000</v>
      </c>
      <c r="AQ112" s="118">
        <v>0</v>
      </c>
      <c r="AR112" s="118">
        <f t="shared" si="151"/>
        <v>0</v>
      </c>
      <c r="AS112" s="118">
        <f t="shared" si="152"/>
        <v>0</v>
      </c>
      <c r="AT112" s="118">
        <f t="shared" si="153"/>
        <v>1500</v>
      </c>
      <c r="AU112" s="118">
        <f t="shared" si="154"/>
        <v>1500</v>
      </c>
      <c r="AV112" s="118">
        <v>17000</v>
      </c>
      <c r="AW112" s="118">
        <f>2500+4500</f>
        <v>7000</v>
      </c>
      <c r="AX112" s="118">
        <f>+AV112-AW112+4500</f>
        <v>14500</v>
      </c>
      <c r="AY112" s="120"/>
      <c r="AZ112" s="120">
        <v>0</v>
      </c>
      <c r="BA112" s="118">
        <f t="shared" si="103"/>
        <v>15000</v>
      </c>
      <c r="BB112" s="131" t="s">
        <v>107</v>
      </c>
      <c r="BC112" s="139" t="s">
        <v>510</v>
      </c>
      <c r="BD112" s="139" t="s">
        <v>511</v>
      </c>
      <c r="BE112" s="102"/>
      <c r="BF112" s="102"/>
      <c r="BG112" s="70" t="s">
        <v>48</v>
      </c>
      <c r="BH112" s="125">
        <v>0</v>
      </c>
      <c r="BI112" s="156"/>
      <c r="BJ112" s="70"/>
    </row>
    <row r="113" spans="1:62" s="13" customFormat="1" x14ac:dyDescent="0.25">
      <c r="A113" s="70">
        <f t="shared" si="76"/>
        <v>111</v>
      </c>
      <c r="B113" s="122">
        <v>2205</v>
      </c>
      <c r="C113" s="108" t="s">
        <v>41</v>
      </c>
      <c r="D113" s="126" t="s">
        <v>712</v>
      </c>
      <c r="E113" s="146" t="s">
        <v>665</v>
      </c>
      <c r="F113" s="114" t="s">
        <v>670</v>
      </c>
      <c r="G113" s="147"/>
      <c r="H113" s="122" t="s">
        <v>43</v>
      </c>
      <c r="I113" s="82">
        <v>45390</v>
      </c>
      <c r="J113" s="137"/>
      <c r="K113" s="82"/>
      <c r="L113" s="102"/>
      <c r="M113" s="128" t="s">
        <v>44</v>
      </c>
      <c r="N113" s="117" t="s">
        <v>947</v>
      </c>
      <c r="O113" s="114" t="s">
        <v>976</v>
      </c>
      <c r="P113" s="70" t="s">
        <v>292</v>
      </c>
      <c r="Q113" s="70" t="s">
        <v>412</v>
      </c>
      <c r="R113" s="125">
        <v>27000</v>
      </c>
      <c r="S113" s="83">
        <f>+R113*0.07</f>
        <v>1890.0000000000002</v>
      </c>
      <c r="T113" s="116">
        <v>45778</v>
      </c>
      <c r="U113" s="119">
        <f t="shared" si="145"/>
        <v>28890</v>
      </c>
      <c r="V113" s="119">
        <v>27157</v>
      </c>
      <c r="W113" s="119">
        <f t="shared" si="157"/>
        <v>14445</v>
      </c>
      <c r="X113" s="125">
        <f t="shared" si="158"/>
        <v>7222.5</v>
      </c>
      <c r="Y113" s="118">
        <f t="shared" si="159"/>
        <v>5489.5</v>
      </c>
      <c r="Z113" s="118">
        <f t="shared" si="160"/>
        <v>27157</v>
      </c>
      <c r="AA113" s="119">
        <v>30</v>
      </c>
      <c r="AB113" s="115">
        <v>6</v>
      </c>
      <c r="AC113" s="115">
        <v>0</v>
      </c>
      <c r="AD113" s="115">
        <v>1</v>
      </c>
      <c r="AE113" s="115"/>
      <c r="AF113" s="115">
        <f t="shared" si="131"/>
        <v>7</v>
      </c>
      <c r="AG113" s="115">
        <f t="shared" si="146"/>
        <v>37</v>
      </c>
      <c r="AH113" s="101">
        <f t="shared" si="77"/>
        <v>30</v>
      </c>
      <c r="AI113" s="118">
        <f t="shared" si="121"/>
        <v>28890</v>
      </c>
      <c r="AJ113" s="118">
        <f t="shared" si="147"/>
        <v>27157</v>
      </c>
      <c r="AK113" s="118">
        <f t="shared" si="148"/>
        <v>14445</v>
      </c>
      <c r="AL113" s="118">
        <f t="shared" si="149"/>
        <v>7223</v>
      </c>
      <c r="AM113" s="118">
        <f t="shared" si="140"/>
        <v>5490</v>
      </c>
      <c r="AN113" s="119">
        <f t="shared" si="150"/>
        <v>0</v>
      </c>
      <c r="AO113" s="119">
        <f t="shared" si="141"/>
        <v>1733</v>
      </c>
      <c r="AP113" s="118">
        <f t="shared" si="142"/>
        <v>28891</v>
      </c>
      <c r="AQ113" s="118">
        <v>0</v>
      </c>
      <c r="AR113" s="118">
        <f t="shared" si="151"/>
        <v>0</v>
      </c>
      <c r="AS113" s="118">
        <f t="shared" si="152"/>
        <v>0</v>
      </c>
      <c r="AT113" s="118">
        <f t="shared" si="153"/>
        <v>1733</v>
      </c>
      <c r="AU113" s="118">
        <f t="shared" si="154"/>
        <v>1733</v>
      </c>
      <c r="AV113" s="118"/>
      <c r="AW113" s="118">
        <v>0</v>
      </c>
      <c r="AX113" s="118">
        <f t="shared" si="161"/>
        <v>0</v>
      </c>
      <c r="AY113" s="120"/>
      <c r="AZ113" s="120">
        <v>0</v>
      </c>
      <c r="BA113" s="118">
        <f t="shared" si="103"/>
        <v>25425</v>
      </c>
      <c r="BB113" s="131" t="s">
        <v>393</v>
      </c>
      <c r="BC113" s="139" t="s">
        <v>64</v>
      </c>
      <c r="BD113" s="139" t="s">
        <v>669</v>
      </c>
      <c r="BE113" s="102"/>
      <c r="BF113" s="102"/>
      <c r="BG113" s="70" t="s">
        <v>48</v>
      </c>
      <c r="BH113" s="125">
        <v>0</v>
      </c>
      <c r="BI113" s="156"/>
      <c r="BJ113" s="70"/>
    </row>
    <row r="114" spans="1:62" s="13" customFormat="1" x14ac:dyDescent="0.25">
      <c r="A114" s="70">
        <f t="shared" si="76"/>
        <v>112</v>
      </c>
      <c r="B114" s="122">
        <v>2206</v>
      </c>
      <c r="C114" s="108" t="s">
        <v>41</v>
      </c>
      <c r="D114" s="126" t="s">
        <v>713</v>
      </c>
      <c r="E114" s="146" t="s">
        <v>667</v>
      </c>
      <c r="F114" s="114" t="s">
        <v>671</v>
      </c>
      <c r="G114" s="147"/>
      <c r="H114" s="122" t="s">
        <v>43</v>
      </c>
      <c r="I114" s="82">
        <v>45391</v>
      </c>
      <c r="J114" s="137"/>
      <c r="K114" s="82"/>
      <c r="L114" s="102"/>
      <c r="M114" s="128" t="s">
        <v>44</v>
      </c>
      <c r="N114" s="117" t="s">
        <v>964</v>
      </c>
      <c r="O114" s="114" t="s">
        <v>998</v>
      </c>
      <c r="P114" s="70" t="s">
        <v>292</v>
      </c>
      <c r="Q114" s="70" t="s">
        <v>412</v>
      </c>
      <c r="R114" s="125">
        <v>21203</v>
      </c>
      <c r="S114" s="83">
        <f>+R114*0.22</f>
        <v>4664.66</v>
      </c>
      <c r="T114" s="116">
        <v>45778</v>
      </c>
      <c r="U114" s="119">
        <f t="shared" si="145"/>
        <v>25867.66</v>
      </c>
      <c r="V114" s="119">
        <v>24316</v>
      </c>
      <c r="W114" s="119">
        <f t="shared" si="157"/>
        <v>12933.83</v>
      </c>
      <c r="X114" s="125">
        <f>+W114*0.5</f>
        <v>6466.915</v>
      </c>
      <c r="Y114" s="118">
        <f t="shared" si="159"/>
        <v>4915.2550000000001</v>
      </c>
      <c r="Z114" s="118">
        <f t="shared" si="160"/>
        <v>24316</v>
      </c>
      <c r="AA114" s="119">
        <v>30</v>
      </c>
      <c r="AB114" s="115">
        <v>10.5</v>
      </c>
      <c r="AC114" s="115">
        <v>0</v>
      </c>
      <c r="AD114" s="115">
        <v>2</v>
      </c>
      <c r="AE114" s="115"/>
      <c r="AF114" s="115">
        <f t="shared" si="131"/>
        <v>12.5</v>
      </c>
      <c r="AG114" s="115">
        <f t="shared" si="146"/>
        <v>42.5</v>
      </c>
      <c r="AH114" s="101">
        <f t="shared" si="77"/>
        <v>30</v>
      </c>
      <c r="AI114" s="118">
        <f t="shared" si="121"/>
        <v>25868</v>
      </c>
      <c r="AJ114" s="118">
        <f t="shared" si="147"/>
        <v>24316</v>
      </c>
      <c r="AK114" s="118">
        <f t="shared" si="148"/>
        <v>12934</v>
      </c>
      <c r="AL114" s="118">
        <f t="shared" si="149"/>
        <v>6467</v>
      </c>
      <c r="AM114" s="118">
        <f t="shared" si="140"/>
        <v>4915</v>
      </c>
      <c r="AN114" s="119">
        <f t="shared" si="150"/>
        <v>0</v>
      </c>
      <c r="AO114" s="119">
        <f t="shared" si="141"/>
        <v>1552</v>
      </c>
      <c r="AP114" s="118">
        <f t="shared" si="142"/>
        <v>25868</v>
      </c>
      <c r="AQ114" s="118">
        <v>0</v>
      </c>
      <c r="AR114" s="118">
        <f t="shared" si="151"/>
        <v>0</v>
      </c>
      <c r="AS114" s="118">
        <f t="shared" si="152"/>
        <v>0</v>
      </c>
      <c r="AT114" s="118">
        <f t="shared" si="153"/>
        <v>1552</v>
      </c>
      <c r="AU114" s="118">
        <f t="shared" si="154"/>
        <v>1552</v>
      </c>
      <c r="AV114" s="118"/>
      <c r="AW114" s="118">
        <v>0</v>
      </c>
      <c r="AX114" s="118">
        <f t="shared" si="161"/>
        <v>0</v>
      </c>
      <c r="AY114" s="120">
        <v>1000</v>
      </c>
      <c r="AZ114" s="120">
        <v>0</v>
      </c>
      <c r="BA114" s="118">
        <f t="shared" si="103"/>
        <v>23764</v>
      </c>
      <c r="BB114" s="131" t="s">
        <v>446</v>
      </c>
      <c r="BC114" s="139" t="s">
        <v>570</v>
      </c>
      <c r="BD114" s="139" t="s">
        <v>672</v>
      </c>
      <c r="BE114" s="102"/>
      <c r="BF114" s="102"/>
      <c r="BG114" s="70" t="s">
        <v>48</v>
      </c>
      <c r="BH114" s="125" t="s">
        <v>1486</v>
      </c>
      <c r="BI114" s="156"/>
      <c r="BJ114" s="70"/>
    </row>
    <row r="115" spans="1:62" s="13" customFormat="1" x14ac:dyDescent="0.25">
      <c r="A115" s="70">
        <f t="shared" si="76"/>
        <v>113</v>
      </c>
      <c r="B115" s="122">
        <v>2210</v>
      </c>
      <c r="C115" s="108" t="s">
        <v>41</v>
      </c>
      <c r="D115" s="126" t="s">
        <v>723</v>
      </c>
      <c r="E115" s="146" t="s">
        <v>668</v>
      </c>
      <c r="F115" s="114" t="s">
        <v>673</v>
      </c>
      <c r="G115" s="147"/>
      <c r="H115" s="122" t="s">
        <v>43</v>
      </c>
      <c r="I115" s="82">
        <v>45398</v>
      </c>
      <c r="J115" s="137"/>
      <c r="K115" s="82"/>
      <c r="L115" s="102"/>
      <c r="M115" s="128" t="s">
        <v>44</v>
      </c>
      <c r="N115" s="117" t="s">
        <v>959</v>
      </c>
      <c r="O115" s="114" t="s">
        <v>976</v>
      </c>
      <c r="P115" s="70" t="s">
        <v>46</v>
      </c>
      <c r="Q115" s="70" t="s">
        <v>412</v>
      </c>
      <c r="R115" s="125">
        <v>24434</v>
      </c>
      <c r="S115" s="83">
        <f>+R115*0.05</f>
        <v>1221.7</v>
      </c>
      <c r="T115" s="116" t="s">
        <v>1501</v>
      </c>
      <c r="U115" s="119">
        <f t="shared" ref="U115" si="162">R115+S115</f>
        <v>25655.7</v>
      </c>
      <c r="V115" s="119">
        <v>24117</v>
      </c>
      <c r="W115" s="119">
        <f t="shared" si="157"/>
        <v>12827.85</v>
      </c>
      <c r="X115" s="125">
        <f t="shared" ref="X115" si="163">+W115*0.5</f>
        <v>6413.9250000000002</v>
      </c>
      <c r="Y115" s="118">
        <f t="shared" ref="Y115" si="164">+V115-W115-X115</f>
        <v>4875.2249999999995</v>
      </c>
      <c r="Z115" s="118">
        <f t="shared" ref="Z115" si="165">W115+X115+Y115</f>
        <v>24117</v>
      </c>
      <c r="AA115" s="119">
        <v>30</v>
      </c>
      <c r="AB115" s="115">
        <v>18</v>
      </c>
      <c r="AC115" s="115">
        <v>1</v>
      </c>
      <c r="AD115" s="115">
        <v>1</v>
      </c>
      <c r="AE115" s="115"/>
      <c r="AF115" s="115">
        <f t="shared" si="131"/>
        <v>18</v>
      </c>
      <c r="AG115" s="115">
        <f t="shared" ref="AG115" si="166">+AF115+AA115</f>
        <v>48</v>
      </c>
      <c r="AH115" s="101">
        <f t="shared" si="77"/>
        <v>30</v>
      </c>
      <c r="AI115" s="118">
        <f t="shared" si="121"/>
        <v>25656</v>
      </c>
      <c r="AJ115" s="118">
        <f t="shared" si="147"/>
        <v>24117</v>
      </c>
      <c r="AK115" s="118">
        <f t="shared" si="148"/>
        <v>12828</v>
      </c>
      <c r="AL115" s="118">
        <f t="shared" si="149"/>
        <v>6414</v>
      </c>
      <c r="AM115" s="118">
        <f t="shared" si="140"/>
        <v>4875</v>
      </c>
      <c r="AN115" s="119">
        <f t="shared" si="150"/>
        <v>0</v>
      </c>
      <c r="AO115" s="119">
        <f t="shared" si="141"/>
        <v>1539</v>
      </c>
      <c r="AP115" s="118">
        <f t="shared" si="142"/>
        <v>25656</v>
      </c>
      <c r="AQ115" s="118">
        <v>0</v>
      </c>
      <c r="AR115" s="118">
        <f t="shared" si="151"/>
        <v>0</v>
      </c>
      <c r="AS115" s="118">
        <f t="shared" si="152"/>
        <v>0</v>
      </c>
      <c r="AT115" s="118">
        <f t="shared" si="153"/>
        <v>1539</v>
      </c>
      <c r="AU115" s="118">
        <f t="shared" si="154"/>
        <v>1539</v>
      </c>
      <c r="AV115" s="118"/>
      <c r="AW115" s="118">
        <v>0</v>
      </c>
      <c r="AX115" s="118">
        <f t="shared" ref="AX115" si="167">+AV115-AW115</f>
        <v>0</v>
      </c>
      <c r="AY115" s="120"/>
      <c r="AZ115" s="120">
        <v>0</v>
      </c>
      <c r="BA115" s="118">
        <f t="shared" si="103"/>
        <v>22578</v>
      </c>
      <c r="BB115" s="131" t="s">
        <v>393</v>
      </c>
      <c r="BC115" s="139" t="s">
        <v>109</v>
      </c>
      <c r="BD115" s="139" t="s">
        <v>674</v>
      </c>
      <c r="BE115" s="102"/>
      <c r="BF115" s="102"/>
      <c r="BG115" s="70" t="s">
        <v>48</v>
      </c>
      <c r="BH115" s="125">
        <v>0</v>
      </c>
      <c r="BI115" s="156"/>
      <c r="BJ115" s="70"/>
    </row>
    <row r="116" spans="1:62" s="196" customFormat="1" x14ac:dyDescent="0.25">
      <c r="A116" s="197">
        <f t="shared" si="76"/>
        <v>114</v>
      </c>
      <c r="B116" s="198">
        <v>2213</v>
      </c>
      <c r="C116" s="199" t="s">
        <v>676</v>
      </c>
      <c r="D116" s="217" t="s">
        <v>724</v>
      </c>
      <c r="E116" s="215" t="s">
        <v>547</v>
      </c>
      <c r="F116" s="201" t="s">
        <v>778</v>
      </c>
      <c r="G116" s="216"/>
      <c r="H116" s="198" t="s">
        <v>43</v>
      </c>
      <c r="I116" s="182">
        <v>45184</v>
      </c>
      <c r="J116" s="137"/>
      <c r="K116" s="182">
        <v>45393</v>
      </c>
      <c r="L116" s="102"/>
      <c r="M116" s="204" t="s">
        <v>44</v>
      </c>
      <c r="N116" s="205" t="s">
        <v>959</v>
      </c>
      <c r="O116" s="201" t="s">
        <v>975</v>
      </c>
      <c r="P116" s="197" t="s">
        <v>412</v>
      </c>
      <c r="Q116" s="197" t="s">
        <v>412</v>
      </c>
      <c r="R116" s="206">
        <v>16389</v>
      </c>
      <c r="S116" s="209">
        <f>+R116*0.12</f>
        <v>1966.6799999999998</v>
      </c>
      <c r="T116" s="208">
        <v>45778</v>
      </c>
      <c r="U116" s="209">
        <f t="shared" ref="U116" si="168">R116+S116</f>
        <v>18355.68</v>
      </c>
      <c r="V116" s="209">
        <v>16523</v>
      </c>
      <c r="W116" s="209">
        <v>10800</v>
      </c>
      <c r="X116" s="206">
        <f>+W116*0.5</f>
        <v>5400</v>
      </c>
      <c r="Y116" s="210">
        <f>+V116-W116-X116</f>
        <v>323</v>
      </c>
      <c r="Z116" s="210">
        <f t="shared" ref="Z116" si="169">W116+X116+Y116</f>
        <v>16523</v>
      </c>
      <c r="AA116" s="209">
        <v>30</v>
      </c>
      <c r="AB116" s="202">
        <v>1</v>
      </c>
      <c r="AC116" s="202">
        <f>11.5-0.5</f>
        <v>11</v>
      </c>
      <c r="AD116" s="202">
        <v>1</v>
      </c>
      <c r="AE116" s="202"/>
      <c r="AF116" s="202">
        <f t="shared" si="131"/>
        <v>-9</v>
      </c>
      <c r="AG116" s="202">
        <f t="shared" ref="AG116" si="170">+AF116+AA116</f>
        <v>21</v>
      </c>
      <c r="AH116" s="211">
        <f t="shared" si="77"/>
        <v>21</v>
      </c>
      <c r="AI116" s="210">
        <f t="shared" si="121"/>
        <v>12849</v>
      </c>
      <c r="AJ116" s="210">
        <f t="shared" si="147"/>
        <v>11566</v>
      </c>
      <c r="AK116" s="210">
        <f t="shared" si="148"/>
        <v>7560</v>
      </c>
      <c r="AL116" s="210">
        <f t="shared" si="149"/>
        <v>3780</v>
      </c>
      <c r="AM116" s="210">
        <f t="shared" si="140"/>
        <v>226</v>
      </c>
      <c r="AN116" s="209">
        <f t="shared" si="150"/>
        <v>376</v>
      </c>
      <c r="AO116" s="209">
        <f t="shared" si="141"/>
        <v>907</v>
      </c>
      <c r="AP116" s="210">
        <f t="shared" si="142"/>
        <v>12849</v>
      </c>
      <c r="AQ116" s="210">
        <v>0</v>
      </c>
      <c r="AR116" s="210">
        <f t="shared" si="151"/>
        <v>87</v>
      </c>
      <c r="AS116" s="210">
        <f t="shared" si="152"/>
        <v>376</v>
      </c>
      <c r="AT116" s="210">
        <f t="shared" si="153"/>
        <v>907</v>
      </c>
      <c r="AU116" s="210">
        <f t="shared" si="154"/>
        <v>907</v>
      </c>
      <c r="AV116" s="210"/>
      <c r="AW116" s="210">
        <v>0</v>
      </c>
      <c r="AX116" s="210">
        <v>0</v>
      </c>
      <c r="AY116" s="212"/>
      <c r="AZ116" s="212">
        <v>0</v>
      </c>
      <c r="BA116" s="210">
        <f t="shared" si="103"/>
        <v>10572</v>
      </c>
      <c r="BB116" s="193" t="s">
        <v>543</v>
      </c>
      <c r="BC116" s="194" t="s">
        <v>548</v>
      </c>
      <c r="BD116" s="194" t="s">
        <v>549</v>
      </c>
      <c r="BE116" s="214"/>
      <c r="BF116" s="102"/>
      <c r="BG116" s="197" t="s">
        <v>1480</v>
      </c>
      <c r="BH116" s="206" t="s">
        <v>1484</v>
      </c>
      <c r="BI116" s="156"/>
      <c r="BJ116" s="70"/>
    </row>
    <row r="117" spans="1:62" s="13" customFormat="1" x14ac:dyDescent="0.25">
      <c r="A117" s="70">
        <f t="shared" si="76"/>
        <v>115</v>
      </c>
      <c r="B117" s="122">
        <v>2219</v>
      </c>
      <c r="C117" s="108" t="s">
        <v>677</v>
      </c>
      <c r="D117" s="126" t="s">
        <v>725</v>
      </c>
      <c r="E117" s="146" t="s">
        <v>657</v>
      </c>
      <c r="F117" s="114" t="s">
        <v>779</v>
      </c>
      <c r="G117" s="147"/>
      <c r="H117" s="122" t="s">
        <v>43</v>
      </c>
      <c r="I117" s="82">
        <v>45378</v>
      </c>
      <c r="J117" s="137"/>
      <c r="K117" s="82">
        <v>45409</v>
      </c>
      <c r="L117" s="102"/>
      <c r="M117" s="128" t="s">
        <v>44</v>
      </c>
      <c r="N117" s="117" t="s">
        <v>959</v>
      </c>
      <c r="O117" s="114" t="s">
        <v>976</v>
      </c>
      <c r="P117" s="70" t="s">
        <v>412</v>
      </c>
      <c r="Q117" s="70" t="s">
        <v>412</v>
      </c>
      <c r="R117" s="125">
        <v>15000</v>
      </c>
      <c r="S117" s="125">
        <f>+R117*0.2</f>
        <v>3000</v>
      </c>
      <c r="T117" s="116">
        <v>45778</v>
      </c>
      <c r="U117" s="119">
        <f t="shared" ref="U117:U119" si="171">R117+S117</f>
        <v>18000</v>
      </c>
      <c r="V117" s="119">
        <v>16178</v>
      </c>
      <c r="W117" s="119">
        <v>10800</v>
      </c>
      <c r="X117" s="125">
        <f>+V117-W117</f>
        <v>5378</v>
      </c>
      <c r="Y117" s="118">
        <f t="shared" ref="Y117:Y118" si="172">+V117-W117-X117</f>
        <v>0</v>
      </c>
      <c r="Z117" s="118">
        <f t="shared" ref="Z117:Z119" si="173">W117+X117+Y117</f>
        <v>16178</v>
      </c>
      <c r="AA117" s="119">
        <v>30</v>
      </c>
      <c r="AB117" s="115">
        <v>2.5</v>
      </c>
      <c r="AC117" s="115">
        <v>1.5</v>
      </c>
      <c r="AD117" s="115">
        <v>1</v>
      </c>
      <c r="AE117" s="115"/>
      <c r="AF117" s="115">
        <f t="shared" si="131"/>
        <v>2</v>
      </c>
      <c r="AG117" s="115">
        <f t="shared" ref="AG117:AG119" si="174">+AF117+AA117</f>
        <v>32</v>
      </c>
      <c r="AH117" s="101">
        <f t="shared" si="77"/>
        <v>30</v>
      </c>
      <c r="AI117" s="118">
        <f t="shared" si="121"/>
        <v>18000</v>
      </c>
      <c r="AJ117" s="118">
        <f t="shared" si="147"/>
        <v>16178</v>
      </c>
      <c r="AK117" s="118">
        <f t="shared" si="148"/>
        <v>10800</v>
      </c>
      <c r="AL117" s="118">
        <f t="shared" si="149"/>
        <v>5378</v>
      </c>
      <c r="AM117" s="118">
        <f t="shared" si="140"/>
        <v>0</v>
      </c>
      <c r="AN117" s="119">
        <f t="shared" si="150"/>
        <v>526</v>
      </c>
      <c r="AO117" s="119">
        <f t="shared" si="141"/>
        <v>1296</v>
      </c>
      <c r="AP117" s="118">
        <f t="shared" si="142"/>
        <v>18000</v>
      </c>
      <c r="AQ117" s="118">
        <v>0</v>
      </c>
      <c r="AR117" s="118">
        <f t="shared" si="151"/>
        <v>122</v>
      </c>
      <c r="AS117" s="118">
        <f t="shared" si="152"/>
        <v>526</v>
      </c>
      <c r="AT117" s="118">
        <f t="shared" si="153"/>
        <v>1296</v>
      </c>
      <c r="AU117" s="118">
        <f t="shared" si="154"/>
        <v>1296</v>
      </c>
      <c r="AV117" s="118"/>
      <c r="AW117" s="118">
        <v>0</v>
      </c>
      <c r="AX117" s="118">
        <v>0</v>
      </c>
      <c r="AY117" s="120"/>
      <c r="AZ117" s="120">
        <v>0</v>
      </c>
      <c r="BA117" s="118">
        <f t="shared" si="103"/>
        <v>14760</v>
      </c>
      <c r="BB117" s="131" t="s">
        <v>445</v>
      </c>
      <c r="BC117" s="139" t="s">
        <v>663</v>
      </c>
      <c r="BD117" s="139" t="s">
        <v>664</v>
      </c>
      <c r="BE117" s="102"/>
      <c r="BF117" s="102"/>
      <c r="BG117" s="70" t="s">
        <v>48</v>
      </c>
      <c r="BH117" s="125">
        <v>0</v>
      </c>
      <c r="BI117" s="156"/>
      <c r="BJ117" s="70"/>
    </row>
    <row r="118" spans="1:62" s="196" customFormat="1" x14ac:dyDescent="0.25">
      <c r="A118" s="197">
        <f t="shared" ref="A118:A176" si="175">+A117+1</f>
        <v>116</v>
      </c>
      <c r="B118" s="198">
        <v>2220</v>
      </c>
      <c r="C118" s="199" t="s">
        <v>678</v>
      </c>
      <c r="D118" s="217" t="s">
        <v>726</v>
      </c>
      <c r="E118" s="215" t="s">
        <v>658</v>
      </c>
      <c r="F118" s="201" t="s">
        <v>780</v>
      </c>
      <c r="G118" s="216"/>
      <c r="H118" s="198" t="s">
        <v>43</v>
      </c>
      <c r="I118" s="182">
        <v>45378</v>
      </c>
      <c r="J118" s="137"/>
      <c r="K118" s="182">
        <v>45409</v>
      </c>
      <c r="L118" s="102"/>
      <c r="M118" s="204" t="s">
        <v>44</v>
      </c>
      <c r="N118" s="205" t="s">
        <v>959</v>
      </c>
      <c r="O118" s="201" t="s">
        <v>976</v>
      </c>
      <c r="P118" s="197" t="s">
        <v>412</v>
      </c>
      <c r="Q118" s="197" t="s">
        <v>412</v>
      </c>
      <c r="R118" s="206">
        <v>15000</v>
      </c>
      <c r="S118" s="206">
        <f>+R118*0.2</f>
        <v>3000</v>
      </c>
      <c r="T118" s="208">
        <v>45778</v>
      </c>
      <c r="U118" s="209">
        <f t="shared" si="171"/>
        <v>18000</v>
      </c>
      <c r="V118" s="209">
        <v>16178</v>
      </c>
      <c r="W118" s="209">
        <v>10800</v>
      </c>
      <c r="X118" s="206">
        <f>+V118-W118</f>
        <v>5378</v>
      </c>
      <c r="Y118" s="210">
        <f t="shared" si="172"/>
        <v>0</v>
      </c>
      <c r="Z118" s="210">
        <f t="shared" si="173"/>
        <v>16178</v>
      </c>
      <c r="AA118" s="209">
        <v>30</v>
      </c>
      <c r="AB118" s="202"/>
      <c r="AC118" s="202">
        <v>30</v>
      </c>
      <c r="AD118" s="202">
        <v>0</v>
      </c>
      <c r="AE118" s="202"/>
      <c r="AF118" s="202">
        <f t="shared" si="131"/>
        <v>-30</v>
      </c>
      <c r="AG118" s="202">
        <f t="shared" si="174"/>
        <v>0</v>
      </c>
      <c r="AH118" s="211">
        <f t="shared" si="77"/>
        <v>0</v>
      </c>
      <c r="AI118" s="210">
        <f t="shared" si="121"/>
        <v>0</v>
      </c>
      <c r="AJ118" s="210">
        <f t="shared" si="147"/>
        <v>0</v>
      </c>
      <c r="AK118" s="210">
        <f t="shared" si="148"/>
        <v>0</v>
      </c>
      <c r="AL118" s="210">
        <f t="shared" si="149"/>
        <v>0</v>
      </c>
      <c r="AM118" s="210">
        <f t="shared" si="140"/>
        <v>0</v>
      </c>
      <c r="AN118" s="209">
        <f t="shared" si="150"/>
        <v>0</v>
      </c>
      <c r="AO118" s="209">
        <f t="shared" si="141"/>
        <v>0</v>
      </c>
      <c r="AP118" s="210">
        <f t="shared" si="142"/>
        <v>0</v>
      </c>
      <c r="AQ118" s="210">
        <v>0</v>
      </c>
      <c r="AR118" s="210">
        <f t="shared" si="151"/>
        <v>0</v>
      </c>
      <c r="AS118" s="210">
        <f t="shared" si="152"/>
        <v>0</v>
      </c>
      <c r="AT118" s="210">
        <f t="shared" si="153"/>
        <v>0</v>
      </c>
      <c r="AU118" s="210">
        <f t="shared" si="154"/>
        <v>0</v>
      </c>
      <c r="AV118" s="210"/>
      <c r="AW118" s="210">
        <v>0</v>
      </c>
      <c r="AX118" s="210">
        <v>0</v>
      </c>
      <c r="AY118" s="212"/>
      <c r="AZ118" s="212">
        <v>0</v>
      </c>
      <c r="BA118" s="210">
        <f t="shared" si="103"/>
        <v>0</v>
      </c>
      <c r="BB118" s="193" t="s">
        <v>445</v>
      </c>
      <c r="BC118" s="194" t="s">
        <v>661</v>
      </c>
      <c r="BD118" s="194" t="s">
        <v>662</v>
      </c>
      <c r="BE118" s="214"/>
      <c r="BF118" s="102"/>
      <c r="BG118" s="197" t="s">
        <v>1480</v>
      </c>
      <c r="BH118" s="206" t="s">
        <v>1487</v>
      </c>
      <c r="BI118" s="156"/>
      <c r="BJ118" s="70"/>
    </row>
    <row r="119" spans="1:62" s="13" customFormat="1" x14ac:dyDescent="0.25">
      <c r="A119" s="70">
        <f t="shared" si="175"/>
        <v>117</v>
      </c>
      <c r="B119" s="122">
        <v>2222</v>
      </c>
      <c r="C119" s="108" t="s">
        <v>679</v>
      </c>
      <c r="D119" s="126" t="s">
        <v>727</v>
      </c>
      <c r="E119" s="146" t="s">
        <v>675</v>
      </c>
      <c r="F119" s="114" t="s">
        <v>781</v>
      </c>
      <c r="G119" s="147"/>
      <c r="H119" s="122" t="s">
        <v>43</v>
      </c>
      <c r="I119" s="82">
        <v>45186</v>
      </c>
      <c r="J119" s="137"/>
      <c r="K119" s="82">
        <v>45404</v>
      </c>
      <c r="L119" s="102"/>
      <c r="M119" s="128" t="s">
        <v>44</v>
      </c>
      <c r="N119" s="117" t="s">
        <v>959</v>
      </c>
      <c r="O119" s="114" t="s">
        <v>110</v>
      </c>
      <c r="P119" s="70" t="s">
        <v>412</v>
      </c>
      <c r="Q119" s="70" t="s">
        <v>412</v>
      </c>
      <c r="R119" s="125">
        <v>16523</v>
      </c>
      <c r="S119" s="83">
        <f>+R119*0.15</f>
        <v>2478.4499999999998</v>
      </c>
      <c r="T119" s="116">
        <v>45778</v>
      </c>
      <c r="U119" s="119">
        <f t="shared" si="171"/>
        <v>19001.45</v>
      </c>
      <c r="V119" s="119">
        <v>17148</v>
      </c>
      <c r="W119" s="119">
        <v>10800</v>
      </c>
      <c r="X119" s="125">
        <f t="shared" ref="X119" si="176">+W119*0.5</f>
        <v>5400</v>
      </c>
      <c r="Y119" s="118">
        <f t="shared" ref="Y119" si="177">+V119-W119-X119</f>
        <v>948</v>
      </c>
      <c r="Z119" s="118">
        <f t="shared" si="173"/>
        <v>17148</v>
      </c>
      <c r="AA119" s="119">
        <v>30</v>
      </c>
      <c r="AB119" s="115">
        <v>2.5</v>
      </c>
      <c r="AC119" s="115">
        <v>0</v>
      </c>
      <c r="AD119" s="115">
        <v>1</v>
      </c>
      <c r="AE119" s="115"/>
      <c r="AF119" s="115">
        <f t="shared" si="131"/>
        <v>3.5</v>
      </c>
      <c r="AG119" s="115">
        <f t="shared" si="174"/>
        <v>33.5</v>
      </c>
      <c r="AH119" s="101">
        <f t="shared" si="77"/>
        <v>30</v>
      </c>
      <c r="AI119" s="118">
        <f t="shared" ref="AI119" si="178">ROUND(U119*AH119/AA119,0)</f>
        <v>19001</v>
      </c>
      <c r="AJ119" s="118">
        <f t="shared" si="147"/>
        <v>17148</v>
      </c>
      <c r="AK119" s="118">
        <f t="shared" si="148"/>
        <v>10800</v>
      </c>
      <c r="AL119" s="118">
        <f t="shared" si="149"/>
        <v>5400</v>
      </c>
      <c r="AM119" s="118">
        <f t="shared" si="140"/>
        <v>948</v>
      </c>
      <c r="AN119" s="119">
        <f t="shared" si="150"/>
        <v>558</v>
      </c>
      <c r="AO119" s="119">
        <f t="shared" ref="AO119" si="179">ROUND(IF(AK119&lt;15001,AK119*12%,1800),0)</f>
        <v>1296</v>
      </c>
      <c r="AP119" s="118">
        <f t="shared" si="142"/>
        <v>19002</v>
      </c>
      <c r="AQ119" s="118">
        <v>0</v>
      </c>
      <c r="AR119" s="118">
        <f t="shared" si="151"/>
        <v>129</v>
      </c>
      <c r="AS119" s="118">
        <f t="shared" si="152"/>
        <v>558</v>
      </c>
      <c r="AT119" s="118">
        <f t="shared" si="153"/>
        <v>1296</v>
      </c>
      <c r="AU119" s="118">
        <f t="shared" si="154"/>
        <v>1296</v>
      </c>
      <c r="AV119" s="118"/>
      <c r="AW119" s="118">
        <v>0</v>
      </c>
      <c r="AX119" s="118">
        <v>0</v>
      </c>
      <c r="AY119" s="120"/>
      <c r="AZ119" s="120">
        <v>0</v>
      </c>
      <c r="BA119" s="118">
        <f t="shared" si="103"/>
        <v>15723</v>
      </c>
      <c r="BB119" s="131" t="s">
        <v>543</v>
      </c>
      <c r="BC119" s="139" t="s">
        <v>550</v>
      </c>
      <c r="BD119" s="139" t="s">
        <v>551</v>
      </c>
      <c r="BE119" s="102"/>
      <c r="BF119" s="102"/>
      <c r="BG119" s="70" t="s">
        <v>48</v>
      </c>
      <c r="BH119" s="125">
        <v>0</v>
      </c>
      <c r="BI119" s="156"/>
      <c r="BJ119" s="70"/>
    </row>
    <row r="120" spans="1:62" s="13" customFormat="1" x14ac:dyDescent="0.25">
      <c r="A120" s="70">
        <f t="shared" si="175"/>
        <v>118</v>
      </c>
      <c r="B120" s="122">
        <v>2225</v>
      </c>
      <c r="C120" s="108" t="s">
        <v>41</v>
      </c>
      <c r="D120" s="126" t="s">
        <v>728</v>
      </c>
      <c r="E120" s="146" t="s">
        <v>135</v>
      </c>
      <c r="F120" s="114" t="s">
        <v>707</v>
      </c>
      <c r="G120" s="147"/>
      <c r="H120" s="122" t="s">
        <v>43</v>
      </c>
      <c r="I120" s="82">
        <v>45420</v>
      </c>
      <c r="J120" s="137"/>
      <c r="K120" s="82"/>
      <c r="L120" s="102"/>
      <c r="M120" s="128" t="s">
        <v>44</v>
      </c>
      <c r="N120" s="117" t="s">
        <v>959</v>
      </c>
      <c r="O120" s="114" t="s">
        <v>975</v>
      </c>
      <c r="P120" s="70" t="s">
        <v>46</v>
      </c>
      <c r="Q120" s="70" t="s">
        <v>412</v>
      </c>
      <c r="R120" s="125">
        <v>21860</v>
      </c>
      <c r="S120" s="83">
        <f>+R120*0.1</f>
        <v>2186</v>
      </c>
      <c r="T120" s="116">
        <v>45778</v>
      </c>
      <c r="U120" s="119">
        <f t="shared" ref="U120:U126" si="180">R120+S120</f>
        <v>24046</v>
      </c>
      <c r="V120" s="119">
        <v>22603</v>
      </c>
      <c r="W120" s="119">
        <f>+U120*0.5</f>
        <v>12023</v>
      </c>
      <c r="X120" s="125">
        <f t="shared" ref="X120:X126" si="181">+W120*0.5</f>
        <v>6011.5</v>
      </c>
      <c r="Y120" s="118">
        <f t="shared" ref="Y120" si="182">+V120-W120-X120</f>
        <v>4568.5</v>
      </c>
      <c r="Z120" s="118">
        <f t="shared" ref="Z120:Z126" si="183">W120+X120+Y120</f>
        <v>22603</v>
      </c>
      <c r="AA120" s="119">
        <v>30</v>
      </c>
      <c r="AB120" s="115">
        <v>0</v>
      </c>
      <c r="AC120" s="115">
        <v>3.5</v>
      </c>
      <c r="AD120" s="115">
        <v>1</v>
      </c>
      <c r="AE120" s="115"/>
      <c r="AF120" s="115">
        <f t="shared" ref="AF120" si="184">AB120+AD120+AE120-AC120</f>
        <v>-2.5</v>
      </c>
      <c r="AG120" s="115">
        <f t="shared" ref="AG120" si="185">+AF120+AA120</f>
        <v>27.5</v>
      </c>
      <c r="AH120" s="101">
        <f t="shared" si="77"/>
        <v>27.5</v>
      </c>
      <c r="AI120" s="118">
        <f t="shared" ref="AI120" si="186">ROUND(U120*AH120/AA120,0)</f>
        <v>22042</v>
      </c>
      <c r="AJ120" s="118">
        <f t="shared" si="147"/>
        <v>20719</v>
      </c>
      <c r="AK120" s="118">
        <f t="shared" si="148"/>
        <v>11021</v>
      </c>
      <c r="AL120" s="118">
        <f t="shared" si="149"/>
        <v>5511</v>
      </c>
      <c r="AM120" s="118">
        <f t="shared" si="140"/>
        <v>4188</v>
      </c>
      <c r="AN120" s="119">
        <f t="shared" si="150"/>
        <v>0</v>
      </c>
      <c r="AO120" s="119">
        <f t="shared" ref="AO120" si="187">ROUND(IF(AK120&lt;15001,AK120*12%,1800),0)</f>
        <v>1323</v>
      </c>
      <c r="AP120" s="118">
        <f t="shared" si="142"/>
        <v>22043</v>
      </c>
      <c r="AQ120" s="118">
        <v>0</v>
      </c>
      <c r="AR120" s="118">
        <f t="shared" si="151"/>
        <v>0</v>
      </c>
      <c r="AS120" s="118">
        <f t="shared" si="152"/>
        <v>0</v>
      </c>
      <c r="AT120" s="118">
        <f t="shared" si="153"/>
        <v>1323</v>
      </c>
      <c r="AU120" s="118">
        <f t="shared" si="154"/>
        <v>1323</v>
      </c>
      <c r="AV120" s="118"/>
      <c r="AW120" s="118">
        <v>0</v>
      </c>
      <c r="AX120" s="118">
        <v>0</v>
      </c>
      <c r="AY120" s="120"/>
      <c r="AZ120" s="120">
        <v>0</v>
      </c>
      <c r="BA120" s="118">
        <f t="shared" si="103"/>
        <v>19397</v>
      </c>
      <c r="BB120" s="131" t="s">
        <v>471</v>
      </c>
      <c r="BC120" s="139" t="s">
        <v>696</v>
      </c>
      <c r="BD120" s="139" t="s">
        <v>697</v>
      </c>
      <c r="BE120" s="102"/>
      <c r="BF120" s="102"/>
      <c r="BG120" s="70" t="s">
        <v>48</v>
      </c>
      <c r="BH120" s="125">
        <v>0</v>
      </c>
      <c r="BI120" s="156"/>
      <c r="BJ120" s="70"/>
    </row>
    <row r="121" spans="1:62" s="13" customFormat="1" x14ac:dyDescent="0.25">
      <c r="A121" s="70">
        <f t="shared" si="175"/>
        <v>119</v>
      </c>
      <c r="B121" s="122">
        <v>2226</v>
      </c>
      <c r="C121" s="108" t="s">
        <v>41</v>
      </c>
      <c r="D121" s="126" t="s">
        <v>729</v>
      </c>
      <c r="E121" s="146" t="s">
        <v>685</v>
      </c>
      <c r="F121" s="114" t="s">
        <v>705</v>
      </c>
      <c r="G121" s="147"/>
      <c r="H121" s="122" t="s">
        <v>43</v>
      </c>
      <c r="I121" s="82">
        <v>45420</v>
      </c>
      <c r="J121" s="137"/>
      <c r="K121" s="82"/>
      <c r="L121" s="102"/>
      <c r="M121" s="128" t="s">
        <v>44</v>
      </c>
      <c r="N121" s="117" t="s">
        <v>959</v>
      </c>
      <c r="O121" s="114" t="s">
        <v>976</v>
      </c>
      <c r="P121" s="70" t="s">
        <v>46</v>
      </c>
      <c r="Q121" s="70" t="s">
        <v>412</v>
      </c>
      <c r="R121" s="125">
        <v>20381</v>
      </c>
      <c r="S121" s="83">
        <f>+R121*0.2</f>
        <v>4076.2000000000003</v>
      </c>
      <c r="T121" s="116">
        <v>45778</v>
      </c>
      <c r="U121" s="119">
        <f t="shared" si="180"/>
        <v>24457.200000000001</v>
      </c>
      <c r="V121" s="119">
        <v>22990</v>
      </c>
      <c r="W121" s="119">
        <f>+U121*0.5</f>
        <v>12228.6</v>
      </c>
      <c r="X121" s="125">
        <f t="shared" si="181"/>
        <v>6114.3</v>
      </c>
      <c r="Y121" s="118">
        <f t="shared" ref="Y121:Y124" si="188">+V121-W121-X121</f>
        <v>4647.0999999999995</v>
      </c>
      <c r="Z121" s="118">
        <f t="shared" si="183"/>
        <v>22990</v>
      </c>
      <c r="AA121" s="119">
        <v>30</v>
      </c>
      <c r="AB121" s="115">
        <v>8.5</v>
      </c>
      <c r="AC121" s="115">
        <v>1</v>
      </c>
      <c r="AD121" s="115">
        <v>1</v>
      </c>
      <c r="AE121" s="115"/>
      <c r="AF121" s="115">
        <f t="shared" ref="AF121:AF124" si="189">AB121+AD121+AE121-AC121</f>
        <v>8.5</v>
      </c>
      <c r="AG121" s="115">
        <f t="shared" ref="AG121:AG124" si="190">+AF121+AA121</f>
        <v>38.5</v>
      </c>
      <c r="AH121" s="101">
        <f t="shared" si="77"/>
        <v>30</v>
      </c>
      <c r="AI121" s="118">
        <f t="shared" ref="AI121:AI124" si="191">ROUND(U121*AH121/AA121,0)</f>
        <v>24457</v>
      </c>
      <c r="AJ121" s="118">
        <f t="shared" si="147"/>
        <v>22990</v>
      </c>
      <c r="AK121" s="118">
        <f t="shared" si="148"/>
        <v>12229</v>
      </c>
      <c r="AL121" s="118">
        <f t="shared" si="149"/>
        <v>6114</v>
      </c>
      <c r="AM121" s="118">
        <f t="shared" si="140"/>
        <v>4647</v>
      </c>
      <c r="AN121" s="119">
        <f t="shared" si="150"/>
        <v>0</v>
      </c>
      <c r="AO121" s="119">
        <f t="shared" ref="AO121:AO124" si="192">ROUND(IF(AK121&lt;15001,AK121*12%,1800),0)</f>
        <v>1467</v>
      </c>
      <c r="AP121" s="118">
        <f t="shared" si="142"/>
        <v>24457</v>
      </c>
      <c r="AQ121" s="118">
        <v>0</v>
      </c>
      <c r="AR121" s="118">
        <f t="shared" si="151"/>
        <v>0</v>
      </c>
      <c r="AS121" s="118">
        <f t="shared" si="152"/>
        <v>0</v>
      </c>
      <c r="AT121" s="118">
        <f t="shared" si="153"/>
        <v>1467</v>
      </c>
      <c r="AU121" s="118">
        <f t="shared" si="154"/>
        <v>1467</v>
      </c>
      <c r="AV121" s="118"/>
      <c r="AW121" s="118">
        <v>0</v>
      </c>
      <c r="AX121" s="118">
        <f t="shared" ref="AX121:AX126" si="193">+AV121-AW121</f>
        <v>0</v>
      </c>
      <c r="AY121" s="120"/>
      <c r="AZ121" s="120">
        <v>0</v>
      </c>
      <c r="BA121" s="118">
        <f t="shared" ref="BA121:BA152" si="194">AP121-AQ121-AR121-AS121-AT121-AU121-AW121+AY121-AZ121</f>
        <v>21523</v>
      </c>
      <c r="BB121" s="131" t="s">
        <v>417</v>
      </c>
      <c r="BC121" s="139" t="s">
        <v>691</v>
      </c>
      <c r="BD121" s="139" t="s">
        <v>692</v>
      </c>
      <c r="BE121" s="102"/>
      <c r="BF121" s="102"/>
      <c r="BG121" s="70" t="s">
        <v>48</v>
      </c>
      <c r="BH121" s="125">
        <v>0</v>
      </c>
      <c r="BI121" s="156"/>
      <c r="BJ121" s="70"/>
    </row>
    <row r="122" spans="1:62" s="13" customFormat="1" x14ac:dyDescent="0.25">
      <c r="A122" s="70">
        <f t="shared" si="175"/>
        <v>120</v>
      </c>
      <c r="B122" s="122">
        <v>2227</v>
      </c>
      <c r="C122" s="108" t="s">
        <v>41</v>
      </c>
      <c r="D122" s="126" t="s">
        <v>730</v>
      </c>
      <c r="E122" s="146" t="s">
        <v>700</v>
      </c>
      <c r="F122" s="114" t="s">
        <v>701</v>
      </c>
      <c r="G122" s="147"/>
      <c r="H122" s="122" t="s">
        <v>43</v>
      </c>
      <c r="I122" s="82">
        <v>44893</v>
      </c>
      <c r="J122" s="137"/>
      <c r="K122" s="82" t="s">
        <v>711</v>
      </c>
      <c r="L122" s="102"/>
      <c r="M122" s="128" t="s">
        <v>44</v>
      </c>
      <c r="N122" s="117" t="s">
        <v>965</v>
      </c>
      <c r="O122" s="114" t="s">
        <v>53</v>
      </c>
      <c r="P122" s="70" t="s">
        <v>46</v>
      </c>
      <c r="Q122" s="70" t="s">
        <v>412</v>
      </c>
      <c r="R122" s="125">
        <v>25168</v>
      </c>
      <c r="S122" s="83">
        <f>+R122*0.4</f>
        <v>10067.200000000001</v>
      </c>
      <c r="T122" s="116" t="s">
        <v>1501</v>
      </c>
      <c r="U122" s="119">
        <f t="shared" si="180"/>
        <v>35235.199999999997</v>
      </c>
      <c r="V122" s="119">
        <v>33435</v>
      </c>
      <c r="W122" s="119">
        <f>+U122*0.5</f>
        <v>17617.599999999999</v>
      </c>
      <c r="X122" s="125">
        <f t="shared" si="181"/>
        <v>8808.7999999999993</v>
      </c>
      <c r="Y122" s="118">
        <f t="shared" si="188"/>
        <v>7008.6000000000022</v>
      </c>
      <c r="Z122" s="118">
        <f t="shared" si="183"/>
        <v>33435</v>
      </c>
      <c r="AA122" s="119">
        <v>30</v>
      </c>
      <c r="AB122" s="115">
        <v>7</v>
      </c>
      <c r="AC122" s="115">
        <v>1</v>
      </c>
      <c r="AD122" s="115">
        <v>2</v>
      </c>
      <c r="AE122" s="115"/>
      <c r="AF122" s="115">
        <f t="shared" si="189"/>
        <v>8</v>
      </c>
      <c r="AG122" s="115">
        <f t="shared" si="190"/>
        <v>38</v>
      </c>
      <c r="AH122" s="101">
        <f t="shared" si="77"/>
        <v>30</v>
      </c>
      <c r="AI122" s="118">
        <f t="shared" si="191"/>
        <v>35235</v>
      </c>
      <c r="AJ122" s="118">
        <f t="shared" si="147"/>
        <v>33435</v>
      </c>
      <c r="AK122" s="118">
        <f t="shared" si="148"/>
        <v>17618</v>
      </c>
      <c r="AL122" s="118">
        <f t="shared" si="149"/>
        <v>8809</v>
      </c>
      <c r="AM122" s="118">
        <f t="shared" si="140"/>
        <v>7009</v>
      </c>
      <c r="AN122" s="119">
        <f t="shared" si="150"/>
        <v>0</v>
      </c>
      <c r="AO122" s="119">
        <f t="shared" si="192"/>
        <v>1800</v>
      </c>
      <c r="AP122" s="118">
        <f t="shared" si="142"/>
        <v>35236</v>
      </c>
      <c r="AQ122" s="118">
        <v>0</v>
      </c>
      <c r="AR122" s="118">
        <f t="shared" si="151"/>
        <v>0</v>
      </c>
      <c r="AS122" s="118">
        <f t="shared" si="152"/>
        <v>0</v>
      </c>
      <c r="AT122" s="118">
        <f t="shared" si="153"/>
        <v>1800</v>
      </c>
      <c r="AU122" s="118">
        <f t="shared" si="154"/>
        <v>1800</v>
      </c>
      <c r="AV122" s="118"/>
      <c r="AW122" s="118">
        <v>0</v>
      </c>
      <c r="AX122" s="118">
        <v>0</v>
      </c>
      <c r="AY122" s="120"/>
      <c r="AZ122" s="120">
        <v>0</v>
      </c>
      <c r="BA122" s="118">
        <f t="shared" si="194"/>
        <v>31636</v>
      </c>
      <c r="BB122" s="131" t="s">
        <v>446</v>
      </c>
      <c r="BC122" s="139" t="s">
        <v>698</v>
      </c>
      <c r="BD122" s="139" t="s">
        <v>702</v>
      </c>
      <c r="BE122" s="102"/>
      <c r="BF122" s="102"/>
      <c r="BG122" s="70" t="s">
        <v>48</v>
      </c>
      <c r="BH122" s="125">
        <v>0</v>
      </c>
      <c r="BI122" s="156"/>
      <c r="BJ122" s="70"/>
    </row>
    <row r="123" spans="1:62" s="13" customFormat="1" x14ac:dyDescent="0.25">
      <c r="A123" s="70">
        <f t="shared" si="175"/>
        <v>121</v>
      </c>
      <c r="B123" s="122">
        <v>2228</v>
      </c>
      <c r="C123" s="108" t="s">
        <v>41</v>
      </c>
      <c r="D123" s="126" t="s">
        <v>731</v>
      </c>
      <c r="E123" s="146" t="s">
        <v>553</v>
      </c>
      <c r="F123" s="114" t="s">
        <v>703</v>
      </c>
      <c r="G123" s="147"/>
      <c r="H123" s="122" t="s">
        <v>43</v>
      </c>
      <c r="I123" s="82">
        <v>45202</v>
      </c>
      <c r="J123" s="137"/>
      <c r="K123" s="82" t="s">
        <v>711</v>
      </c>
      <c r="L123" s="102"/>
      <c r="M123" s="128" t="s">
        <v>44</v>
      </c>
      <c r="N123" s="117" t="s">
        <v>959</v>
      </c>
      <c r="O123" s="114" t="s">
        <v>1001</v>
      </c>
      <c r="P123" s="70" t="s">
        <v>46</v>
      </c>
      <c r="Q123" s="70" t="s">
        <v>412</v>
      </c>
      <c r="R123" s="125">
        <v>20134</v>
      </c>
      <c r="S123" s="83">
        <f>+R123*0.4</f>
        <v>8053.6</v>
      </c>
      <c r="T123" s="116">
        <v>45778</v>
      </c>
      <c r="U123" s="119">
        <f t="shared" si="180"/>
        <v>28187.599999999999</v>
      </c>
      <c r="V123" s="119">
        <v>26497</v>
      </c>
      <c r="W123" s="119">
        <f>+U123*0.5</f>
        <v>14093.8</v>
      </c>
      <c r="X123" s="125">
        <f t="shared" si="181"/>
        <v>7046.9</v>
      </c>
      <c r="Y123" s="118">
        <f t="shared" si="188"/>
        <v>5356.3000000000011</v>
      </c>
      <c r="Z123" s="118">
        <f t="shared" si="183"/>
        <v>26497</v>
      </c>
      <c r="AA123" s="119">
        <v>30</v>
      </c>
      <c r="AB123" s="115">
        <v>17.5</v>
      </c>
      <c r="AC123" s="115">
        <v>2</v>
      </c>
      <c r="AD123" s="115">
        <v>1</v>
      </c>
      <c r="AE123" s="115"/>
      <c r="AF123" s="115">
        <f t="shared" si="189"/>
        <v>16.5</v>
      </c>
      <c r="AG123" s="115">
        <f t="shared" si="190"/>
        <v>46.5</v>
      </c>
      <c r="AH123" s="101">
        <f t="shared" si="77"/>
        <v>30</v>
      </c>
      <c r="AI123" s="118">
        <f t="shared" si="191"/>
        <v>28188</v>
      </c>
      <c r="AJ123" s="118">
        <f t="shared" si="147"/>
        <v>26497</v>
      </c>
      <c r="AK123" s="118">
        <f t="shared" si="148"/>
        <v>14094</v>
      </c>
      <c r="AL123" s="118">
        <f t="shared" si="149"/>
        <v>7047</v>
      </c>
      <c r="AM123" s="118">
        <f t="shared" si="140"/>
        <v>5356</v>
      </c>
      <c r="AN123" s="119">
        <f t="shared" si="150"/>
        <v>0</v>
      </c>
      <c r="AO123" s="119">
        <f t="shared" si="192"/>
        <v>1691</v>
      </c>
      <c r="AP123" s="118">
        <f t="shared" si="142"/>
        <v>28188</v>
      </c>
      <c r="AQ123" s="118">
        <v>0</v>
      </c>
      <c r="AR123" s="118">
        <f t="shared" si="151"/>
        <v>0</v>
      </c>
      <c r="AS123" s="118">
        <f t="shared" si="152"/>
        <v>0</v>
      </c>
      <c r="AT123" s="118">
        <f t="shared" si="153"/>
        <v>1691</v>
      </c>
      <c r="AU123" s="118">
        <f t="shared" si="154"/>
        <v>1691</v>
      </c>
      <c r="AV123" s="118"/>
      <c r="AW123" s="118">
        <v>0</v>
      </c>
      <c r="AX123" s="118">
        <v>0</v>
      </c>
      <c r="AY123" s="120"/>
      <c r="AZ123" s="120">
        <v>0</v>
      </c>
      <c r="BA123" s="118">
        <f t="shared" si="194"/>
        <v>24806</v>
      </c>
      <c r="BB123" s="131" t="s">
        <v>532</v>
      </c>
      <c r="BC123" s="139" t="s">
        <v>421</v>
      </c>
      <c r="BD123" s="139" t="s">
        <v>581</v>
      </c>
      <c r="BE123" s="102"/>
      <c r="BF123" s="102"/>
      <c r="BG123" s="70" t="s">
        <v>48</v>
      </c>
      <c r="BH123" s="125">
        <v>0</v>
      </c>
      <c r="BI123" s="156"/>
      <c r="BJ123" s="70"/>
    </row>
    <row r="124" spans="1:62" s="13" customFormat="1" x14ac:dyDescent="0.25">
      <c r="A124" s="70">
        <f t="shared" si="175"/>
        <v>122</v>
      </c>
      <c r="B124" s="122">
        <v>2229</v>
      </c>
      <c r="C124" s="108" t="s">
        <v>762</v>
      </c>
      <c r="D124" s="126" t="s">
        <v>783</v>
      </c>
      <c r="E124" s="146" t="s">
        <v>666</v>
      </c>
      <c r="F124" s="114" t="s">
        <v>717</v>
      </c>
      <c r="G124" s="147"/>
      <c r="H124" s="122" t="s">
        <v>43</v>
      </c>
      <c r="I124" s="82">
        <v>45390</v>
      </c>
      <c r="J124" s="137"/>
      <c r="K124" s="82">
        <v>45444</v>
      </c>
      <c r="L124" s="102"/>
      <c r="M124" s="128" t="s">
        <v>44</v>
      </c>
      <c r="N124" s="117" t="s">
        <v>959</v>
      </c>
      <c r="O124" s="114" t="s">
        <v>1001</v>
      </c>
      <c r="P124" s="70" t="s">
        <v>412</v>
      </c>
      <c r="Q124" s="70" t="s">
        <v>412</v>
      </c>
      <c r="R124" s="125">
        <v>20000</v>
      </c>
      <c r="S124" s="83">
        <f>+R124*0.12</f>
        <v>2400</v>
      </c>
      <c r="T124" s="116">
        <v>45778</v>
      </c>
      <c r="U124" s="119">
        <f t="shared" si="180"/>
        <v>22400</v>
      </c>
      <c r="V124" s="119">
        <v>20393</v>
      </c>
      <c r="W124" s="119">
        <f>+U124*0.5</f>
        <v>11200</v>
      </c>
      <c r="X124" s="125">
        <f t="shared" si="181"/>
        <v>5600</v>
      </c>
      <c r="Y124" s="118">
        <f t="shared" si="188"/>
        <v>3593</v>
      </c>
      <c r="Z124" s="118">
        <f t="shared" si="183"/>
        <v>20393</v>
      </c>
      <c r="AA124" s="119">
        <v>30</v>
      </c>
      <c r="AB124" s="115">
        <v>9</v>
      </c>
      <c r="AC124" s="115">
        <v>0</v>
      </c>
      <c r="AD124" s="115">
        <v>1</v>
      </c>
      <c r="AE124" s="115"/>
      <c r="AF124" s="115">
        <f t="shared" si="189"/>
        <v>10</v>
      </c>
      <c r="AG124" s="115">
        <f t="shared" si="190"/>
        <v>40</v>
      </c>
      <c r="AH124" s="101">
        <f t="shared" si="77"/>
        <v>30</v>
      </c>
      <c r="AI124" s="118">
        <f t="shared" si="191"/>
        <v>22400</v>
      </c>
      <c r="AJ124" s="118">
        <f t="shared" si="147"/>
        <v>20393</v>
      </c>
      <c r="AK124" s="118">
        <f t="shared" si="148"/>
        <v>11200</v>
      </c>
      <c r="AL124" s="118">
        <f t="shared" si="149"/>
        <v>5600</v>
      </c>
      <c r="AM124" s="118">
        <f t="shared" si="140"/>
        <v>3593</v>
      </c>
      <c r="AN124" s="119">
        <f t="shared" si="150"/>
        <v>663</v>
      </c>
      <c r="AO124" s="119">
        <f t="shared" si="192"/>
        <v>1344</v>
      </c>
      <c r="AP124" s="118">
        <f t="shared" si="142"/>
        <v>22400</v>
      </c>
      <c r="AQ124" s="118">
        <v>0</v>
      </c>
      <c r="AR124" s="118">
        <f t="shared" si="151"/>
        <v>153</v>
      </c>
      <c r="AS124" s="118">
        <f t="shared" si="152"/>
        <v>663</v>
      </c>
      <c r="AT124" s="118">
        <f t="shared" si="153"/>
        <v>1344</v>
      </c>
      <c r="AU124" s="118">
        <f t="shared" si="154"/>
        <v>1344</v>
      </c>
      <c r="AV124" s="118"/>
      <c r="AW124" s="118">
        <v>0</v>
      </c>
      <c r="AX124" s="118">
        <v>0</v>
      </c>
      <c r="AY124" s="120"/>
      <c r="AZ124" s="120">
        <v>0</v>
      </c>
      <c r="BA124" s="118">
        <f t="shared" si="194"/>
        <v>18896</v>
      </c>
      <c r="BB124" s="131" t="s">
        <v>543</v>
      </c>
      <c r="BC124" s="139" t="s">
        <v>217</v>
      </c>
      <c r="BD124" s="139" t="s">
        <v>680</v>
      </c>
      <c r="BE124" s="102"/>
      <c r="BF124" s="102"/>
      <c r="BG124" s="70" t="s">
        <v>48</v>
      </c>
      <c r="BH124" s="125">
        <v>0</v>
      </c>
      <c r="BI124" s="156"/>
      <c r="BJ124" s="70"/>
    </row>
    <row r="125" spans="1:62" s="13" customFormat="1" x14ac:dyDescent="0.25">
      <c r="A125" s="70">
        <f t="shared" si="175"/>
        <v>123</v>
      </c>
      <c r="B125" s="122">
        <v>2230</v>
      </c>
      <c r="C125" s="108" t="s">
        <v>732</v>
      </c>
      <c r="D125" s="126" t="s">
        <v>733</v>
      </c>
      <c r="E125" s="146" t="s">
        <v>686</v>
      </c>
      <c r="F125" s="114" t="s">
        <v>704</v>
      </c>
      <c r="G125" s="147"/>
      <c r="H125" s="122" t="s">
        <v>43</v>
      </c>
      <c r="I125" s="82">
        <v>45425</v>
      </c>
      <c r="J125" s="137"/>
      <c r="K125" s="82"/>
      <c r="L125" s="102"/>
      <c r="M125" s="128" t="s">
        <v>44</v>
      </c>
      <c r="N125" s="117" t="s">
        <v>959</v>
      </c>
      <c r="O125" s="114" t="s">
        <v>976</v>
      </c>
      <c r="P125" s="70" t="s">
        <v>412</v>
      </c>
      <c r="Q125" s="70" t="s">
        <v>412</v>
      </c>
      <c r="R125" s="125">
        <v>17667</v>
      </c>
      <c r="S125" s="83">
        <f>+R125*0.12</f>
        <v>2120.04</v>
      </c>
      <c r="T125" s="116">
        <v>45778</v>
      </c>
      <c r="U125" s="119">
        <f t="shared" si="180"/>
        <v>19787.04</v>
      </c>
      <c r="V125" s="119">
        <v>17909</v>
      </c>
      <c r="W125" s="119">
        <v>10800</v>
      </c>
      <c r="X125" s="125">
        <f t="shared" si="181"/>
        <v>5400</v>
      </c>
      <c r="Y125" s="118">
        <f t="shared" ref="Y125" si="195">+V125-W125-X125</f>
        <v>1709</v>
      </c>
      <c r="Z125" s="118">
        <f t="shared" si="183"/>
        <v>17909</v>
      </c>
      <c r="AA125" s="119">
        <v>30</v>
      </c>
      <c r="AB125" s="115">
        <v>1.5</v>
      </c>
      <c r="AC125" s="115">
        <v>0</v>
      </c>
      <c r="AD125" s="115">
        <v>1</v>
      </c>
      <c r="AE125" s="115"/>
      <c r="AF125" s="115">
        <f t="shared" ref="AF125" si="196">AB125+AD125+AE125-AC125</f>
        <v>2.5</v>
      </c>
      <c r="AG125" s="115">
        <f t="shared" ref="AG125" si="197">+AF125+AA125</f>
        <v>32.5</v>
      </c>
      <c r="AH125" s="101">
        <f t="shared" si="77"/>
        <v>30</v>
      </c>
      <c r="AI125" s="118">
        <f t="shared" ref="AI125" si="198">ROUND(U125*AH125/AA125,0)</f>
        <v>19787</v>
      </c>
      <c r="AJ125" s="118">
        <f t="shared" si="147"/>
        <v>17909</v>
      </c>
      <c r="AK125" s="118">
        <f t="shared" si="148"/>
        <v>10800</v>
      </c>
      <c r="AL125" s="118">
        <f t="shared" si="149"/>
        <v>5400</v>
      </c>
      <c r="AM125" s="118">
        <f t="shared" si="140"/>
        <v>1709</v>
      </c>
      <c r="AN125" s="119">
        <f t="shared" si="150"/>
        <v>583</v>
      </c>
      <c r="AO125" s="119">
        <f t="shared" ref="AO125" si="199">ROUND(IF(AK125&lt;15001,AK125*12%,1800),0)</f>
        <v>1296</v>
      </c>
      <c r="AP125" s="118">
        <f t="shared" si="142"/>
        <v>19788</v>
      </c>
      <c r="AQ125" s="118">
        <v>0</v>
      </c>
      <c r="AR125" s="118">
        <f t="shared" si="151"/>
        <v>135</v>
      </c>
      <c r="AS125" s="118">
        <f t="shared" si="152"/>
        <v>583</v>
      </c>
      <c r="AT125" s="118">
        <f t="shared" si="153"/>
        <v>1296</v>
      </c>
      <c r="AU125" s="118">
        <f t="shared" si="154"/>
        <v>1296</v>
      </c>
      <c r="AV125" s="118">
        <v>0</v>
      </c>
      <c r="AW125" s="118">
        <v>0</v>
      </c>
      <c r="AX125" s="118">
        <f t="shared" si="193"/>
        <v>0</v>
      </c>
      <c r="AY125" s="120"/>
      <c r="AZ125" s="120">
        <v>0</v>
      </c>
      <c r="BA125" s="118">
        <f t="shared" si="194"/>
        <v>16478</v>
      </c>
      <c r="BB125" s="131" t="s">
        <v>446</v>
      </c>
      <c r="BC125" s="139" t="s">
        <v>698</v>
      </c>
      <c r="BD125" s="139" t="s">
        <v>699</v>
      </c>
      <c r="BE125" s="102"/>
      <c r="BF125" s="102"/>
      <c r="BG125" s="70" t="s">
        <v>48</v>
      </c>
      <c r="BH125" s="125">
        <v>0</v>
      </c>
      <c r="BI125" s="156"/>
      <c r="BJ125" s="70"/>
    </row>
    <row r="126" spans="1:62" s="13" customFormat="1" x14ac:dyDescent="0.25">
      <c r="A126" s="70">
        <f t="shared" si="175"/>
        <v>124</v>
      </c>
      <c r="B126" s="122">
        <v>2231</v>
      </c>
      <c r="C126" s="108" t="s">
        <v>41</v>
      </c>
      <c r="D126" s="126" t="s">
        <v>734</v>
      </c>
      <c r="E126" s="146" t="s">
        <v>693</v>
      </c>
      <c r="F126" s="114" t="s">
        <v>706</v>
      </c>
      <c r="G126" s="147"/>
      <c r="H126" s="122" t="s">
        <v>43</v>
      </c>
      <c r="I126" s="82">
        <v>45432</v>
      </c>
      <c r="J126" s="137"/>
      <c r="K126" s="82"/>
      <c r="L126" s="102"/>
      <c r="M126" s="128" t="s">
        <v>44</v>
      </c>
      <c r="N126" s="117" t="s">
        <v>959</v>
      </c>
      <c r="O126" s="114" t="s">
        <v>1001</v>
      </c>
      <c r="P126" s="70" t="s">
        <v>46</v>
      </c>
      <c r="Q126" s="70" t="s">
        <v>412</v>
      </c>
      <c r="R126" s="125">
        <v>43600</v>
      </c>
      <c r="S126" s="83"/>
      <c r="T126" s="116"/>
      <c r="U126" s="119">
        <f t="shared" si="180"/>
        <v>43600</v>
      </c>
      <c r="V126" s="119">
        <v>41799</v>
      </c>
      <c r="W126" s="119">
        <v>20669</v>
      </c>
      <c r="X126" s="125">
        <f t="shared" si="181"/>
        <v>10334.5</v>
      </c>
      <c r="Y126" s="118">
        <f t="shared" ref="Y126" si="200">+V126-W126-X126</f>
        <v>10795.5</v>
      </c>
      <c r="Z126" s="118">
        <f t="shared" si="183"/>
        <v>41799</v>
      </c>
      <c r="AA126" s="119">
        <v>30</v>
      </c>
      <c r="AB126" s="115">
        <v>20.5</v>
      </c>
      <c r="AC126" s="115">
        <v>0</v>
      </c>
      <c r="AD126" s="115">
        <v>1</v>
      </c>
      <c r="AE126" s="115"/>
      <c r="AF126" s="115">
        <f t="shared" ref="AF126" si="201">AB126+AD126+AE126-AC126</f>
        <v>21.5</v>
      </c>
      <c r="AG126" s="115">
        <f t="shared" ref="AG126" si="202">+AF126+AA126</f>
        <v>51.5</v>
      </c>
      <c r="AH126" s="101">
        <f t="shared" si="77"/>
        <v>30</v>
      </c>
      <c r="AI126" s="118">
        <f t="shared" ref="AI126" si="203">ROUND(U126*AH126/AA126,0)</f>
        <v>43600</v>
      </c>
      <c r="AJ126" s="118">
        <f t="shared" si="147"/>
        <v>41799</v>
      </c>
      <c r="AK126" s="118">
        <f t="shared" si="148"/>
        <v>20669</v>
      </c>
      <c r="AL126" s="118">
        <f t="shared" si="149"/>
        <v>10335</v>
      </c>
      <c r="AM126" s="118">
        <f t="shared" si="140"/>
        <v>10796</v>
      </c>
      <c r="AN126" s="119">
        <f t="shared" si="150"/>
        <v>0</v>
      </c>
      <c r="AO126" s="119">
        <f t="shared" ref="AO126" si="204">ROUND(IF(AK126&lt;15001,AK126*12%,1800),0)</f>
        <v>1800</v>
      </c>
      <c r="AP126" s="118">
        <f t="shared" si="142"/>
        <v>43600</v>
      </c>
      <c r="AQ126" s="118">
        <v>0</v>
      </c>
      <c r="AR126" s="118">
        <f t="shared" si="151"/>
        <v>0</v>
      </c>
      <c r="AS126" s="118">
        <f t="shared" si="152"/>
        <v>0</v>
      </c>
      <c r="AT126" s="118">
        <f t="shared" si="153"/>
        <v>1800</v>
      </c>
      <c r="AU126" s="118">
        <f t="shared" si="154"/>
        <v>1800</v>
      </c>
      <c r="AV126" s="118"/>
      <c r="AW126" s="118">
        <v>0</v>
      </c>
      <c r="AX126" s="118">
        <f t="shared" si="193"/>
        <v>0</v>
      </c>
      <c r="AY126" s="120"/>
      <c r="AZ126" s="120">
        <v>0</v>
      </c>
      <c r="BA126" s="118">
        <f t="shared" si="194"/>
        <v>40000</v>
      </c>
      <c r="BB126" s="131" t="s">
        <v>543</v>
      </c>
      <c r="BC126" s="139" t="s">
        <v>694</v>
      </c>
      <c r="BD126" s="139" t="s">
        <v>695</v>
      </c>
      <c r="BE126" s="102"/>
      <c r="BF126" s="102"/>
      <c r="BG126" s="70" t="s">
        <v>48</v>
      </c>
      <c r="BH126" s="125">
        <v>0</v>
      </c>
      <c r="BI126" s="156"/>
      <c r="BJ126" s="70"/>
    </row>
    <row r="127" spans="1:62" s="13" customFormat="1" x14ac:dyDescent="0.25">
      <c r="A127" s="70">
        <f t="shared" si="175"/>
        <v>125</v>
      </c>
      <c r="B127" s="122">
        <v>2233</v>
      </c>
      <c r="C127" s="108" t="s">
        <v>735</v>
      </c>
      <c r="D127" s="126" t="s">
        <v>736</v>
      </c>
      <c r="E127" s="146" t="s">
        <v>559</v>
      </c>
      <c r="F127" s="114" t="s">
        <v>782</v>
      </c>
      <c r="G127" s="147"/>
      <c r="H127" s="122" t="s">
        <v>43</v>
      </c>
      <c r="I127" s="82">
        <v>45432</v>
      </c>
      <c r="J127" s="137"/>
      <c r="K127" s="82"/>
      <c r="L127" s="102"/>
      <c r="M127" s="128" t="s">
        <v>44</v>
      </c>
      <c r="N127" s="117" t="s">
        <v>959</v>
      </c>
      <c r="O127" s="114" t="s">
        <v>977</v>
      </c>
      <c r="P127" s="70" t="s">
        <v>412</v>
      </c>
      <c r="Q127" s="70" t="s">
        <v>412</v>
      </c>
      <c r="R127" s="125">
        <v>13402</v>
      </c>
      <c r="S127" s="83">
        <f>+R127*0.15</f>
        <v>2010.3</v>
      </c>
      <c r="T127" s="116">
        <v>45778</v>
      </c>
      <c r="U127" s="119">
        <f t="shared" ref="U127:U132" si="205">R127+S127</f>
        <v>15412.3</v>
      </c>
      <c r="V127" s="119">
        <v>13672</v>
      </c>
      <c r="W127" s="119">
        <v>10800</v>
      </c>
      <c r="X127" s="125">
        <f>+V127-W127</f>
        <v>2872</v>
      </c>
      <c r="Y127" s="118">
        <f t="shared" ref="Y127:Y132" si="206">+V127-W127-X127</f>
        <v>0</v>
      </c>
      <c r="Z127" s="118">
        <f>W127+X127+Y127</f>
        <v>13672</v>
      </c>
      <c r="AA127" s="119">
        <v>30</v>
      </c>
      <c r="AB127" s="115">
        <v>5.5</v>
      </c>
      <c r="AC127" s="115">
        <v>0</v>
      </c>
      <c r="AD127" s="115">
        <v>1</v>
      </c>
      <c r="AE127" s="115"/>
      <c r="AF127" s="115">
        <f>AB127+AD127+AE127-AC127</f>
        <v>6.5</v>
      </c>
      <c r="AG127" s="115">
        <f>+AF127+AA127</f>
        <v>36.5</v>
      </c>
      <c r="AH127" s="101">
        <f t="shared" si="77"/>
        <v>30</v>
      </c>
      <c r="AI127" s="118">
        <f>ROUND(U127*AH127/AA127,0)</f>
        <v>15412</v>
      </c>
      <c r="AJ127" s="118">
        <f t="shared" si="147"/>
        <v>13672</v>
      </c>
      <c r="AK127" s="118">
        <f t="shared" si="148"/>
        <v>10800</v>
      </c>
      <c r="AL127" s="118">
        <f t="shared" si="149"/>
        <v>2872</v>
      </c>
      <c r="AM127" s="118">
        <f t="shared" si="140"/>
        <v>0</v>
      </c>
      <c r="AN127" s="119">
        <f t="shared" si="150"/>
        <v>445</v>
      </c>
      <c r="AO127" s="119">
        <f>ROUND(IF(AK127&lt;15001,AK127*12%,1800),0)</f>
        <v>1296</v>
      </c>
      <c r="AP127" s="118">
        <f t="shared" si="142"/>
        <v>15413</v>
      </c>
      <c r="AQ127" s="118">
        <v>0</v>
      </c>
      <c r="AR127" s="118">
        <f t="shared" si="151"/>
        <v>103</v>
      </c>
      <c r="AS127" s="118">
        <f t="shared" si="152"/>
        <v>445</v>
      </c>
      <c r="AT127" s="118">
        <f t="shared" si="153"/>
        <v>1296</v>
      </c>
      <c r="AU127" s="118">
        <f t="shared" si="154"/>
        <v>1296</v>
      </c>
      <c r="AV127" s="118"/>
      <c r="AW127" s="118">
        <v>0</v>
      </c>
      <c r="AX127" s="118">
        <f>+AV127-AW127</f>
        <v>0</v>
      </c>
      <c r="AY127" s="120"/>
      <c r="AZ127" s="120">
        <v>1000</v>
      </c>
      <c r="BA127" s="118">
        <f t="shared" si="194"/>
        <v>11273</v>
      </c>
      <c r="BB127" s="131" t="s">
        <v>580</v>
      </c>
      <c r="BC127" s="139" t="s">
        <v>582</v>
      </c>
      <c r="BD127" s="139" t="s">
        <v>583</v>
      </c>
      <c r="BE127" s="102"/>
      <c r="BF127" s="102"/>
      <c r="BG127" s="70" t="s">
        <v>48</v>
      </c>
      <c r="BH127" s="125">
        <v>0</v>
      </c>
      <c r="BI127" s="156"/>
      <c r="BJ127" s="70"/>
    </row>
    <row r="128" spans="1:62" s="13" customFormat="1" x14ac:dyDescent="0.25">
      <c r="A128" s="70">
        <f t="shared" si="175"/>
        <v>126</v>
      </c>
      <c r="B128" s="122">
        <v>2236</v>
      </c>
      <c r="C128" s="108" t="s">
        <v>763</v>
      </c>
      <c r="D128" s="126" t="s">
        <v>767</v>
      </c>
      <c r="E128" s="146" t="s">
        <v>738</v>
      </c>
      <c r="F128" s="114" t="s">
        <v>755</v>
      </c>
      <c r="G128" s="147"/>
      <c r="H128" s="122" t="s">
        <v>43</v>
      </c>
      <c r="I128" s="82">
        <v>45474</v>
      </c>
      <c r="J128" s="137"/>
      <c r="K128" s="82"/>
      <c r="L128" s="102"/>
      <c r="M128" s="128" t="s">
        <v>44</v>
      </c>
      <c r="N128" s="117" t="s">
        <v>959</v>
      </c>
      <c r="O128" s="114" t="s">
        <v>977</v>
      </c>
      <c r="P128" s="70" t="s">
        <v>412</v>
      </c>
      <c r="Q128" s="70" t="s">
        <v>412</v>
      </c>
      <c r="R128" s="125">
        <v>16043</v>
      </c>
      <c r="S128" s="83">
        <f>+R128*0.25</f>
        <v>4010.75</v>
      </c>
      <c r="T128" s="116">
        <v>45778</v>
      </c>
      <c r="U128" s="119">
        <f t="shared" si="205"/>
        <v>20053.75</v>
      </c>
      <c r="V128" s="119">
        <v>18168</v>
      </c>
      <c r="W128" s="119">
        <v>10800</v>
      </c>
      <c r="X128" s="125">
        <f t="shared" ref="X128:X132" si="207">+W128*0.5</f>
        <v>5400</v>
      </c>
      <c r="Y128" s="118">
        <f t="shared" si="206"/>
        <v>1968</v>
      </c>
      <c r="Z128" s="118">
        <f t="shared" ref="Z128:Z132" si="208">W128+X128+Y128</f>
        <v>18168</v>
      </c>
      <c r="AA128" s="119">
        <v>30</v>
      </c>
      <c r="AB128" s="115">
        <v>9.5</v>
      </c>
      <c r="AC128" s="115">
        <v>9</v>
      </c>
      <c r="AD128" s="115">
        <v>2</v>
      </c>
      <c r="AE128" s="115"/>
      <c r="AF128" s="115">
        <f t="shared" ref="AF128:AF132" si="209">AB128+AD128+AE128-AC128</f>
        <v>2.5</v>
      </c>
      <c r="AG128" s="115">
        <f t="shared" ref="AG128:AG132" si="210">+AF128+AA128</f>
        <v>32.5</v>
      </c>
      <c r="AH128" s="101">
        <f t="shared" si="77"/>
        <v>30</v>
      </c>
      <c r="AI128" s="118">
        <f t="shared" ref="AI128:AI132" si="211">ROUND(U128*AH128/AA128,0)</f>
        <v>20054</v>
      </c>
      <c r="AJ128" s="118">
        <f t="shared" si="147"/>
        <v>18168</v>
      </c>
      <c r="AK128" s="118">
        <f t="shared" si="148"/>
        <v>10800</v>
      </c>
      <c r="AL128" s="118">
        <f t="shared" si="149"/>
        <v>5400</v>
      </c>
      <c r="AM128" s="118">
        <f t="shared" si="140"/>
        <v>1968</v>
      </c>
      <c r="AN128" s="119">
        <f t="shared" si="150"/>
        <v>591</v>
      </c>
      <c r="AO128" s="119">
        <f t="shared" ref="AO128:AO132" si="212">ROUND(IF(AK128&lt;15001,AK128*12%,1800),0)</f>
        <v>1296</v>
      </c>
      <c r="AP128" s="118">
        <f t="shared" si="142"/>
        <v>20055</v>
      </c>
      <c r="AQ128" s="118">
        <v>0</v>
      </c>
      <c r="AR128" s="118">
        <f t="shared" si="151"/>
        <v>137</v>
      </c>
      <c r="AS128" s="118">
        <f t="shared" si="152"/>
        <v>591</v>
      </c>
      <c r="AT128" s="118">
        <f t="shared" si="153"/>
        <v>1296</v>
      </c>
      <c r="AU128" s="118">
        <f t="shared" si="154"/>
        <v>1296</v>
      </c>
      <c r="AV128" s="118"/>
      <c r="AW128" s="118">
        <v>0</v>
      </c>
      <c r="AX128" s="118">
        <f t="shared" ref="AX128:AX131" si="213">+AV128-AW128</f>
        <v>0</v>
      </c>
      <c r="AY128" s="120"/>
      <c r="AZ128" s="120">
        <v>0</v>
      </c>
      <c r="BA128" s="118">
        <f t="shared" si="194"/>
        <v>16735</v>
      </c>
      <c r="BB128" s="131" t="s">
        <v>393</v>
      </c>
      <c r="BC128" s="139" t="s">
        <v>51</v>
      </c>
      <c r="BD128" s="139" t="s">
        <v>754</v>
      </c>
      <c r="BE128" s="102"/>
      <c r="BF128" s="102"/>
      <c r="BG128" s="70" t="s">
        <v>48</v>
      </c>
      <c r="BH128" s="125">
        <v>0</v>
      </c>
      <c r="BI128" s="156"/>
      <c r="BJ128" s="70"/>
    </row>
    <row r="129" spans="1:63" s="13" customFormat="1" x14ac:dyDescent="0.25">
      <c r="A129" s="70">
        <f t="shared" si="175"/>
        <v>127</v>
      </c>
      <c r="B129" s="122">
        <v>2239</v>
      </c>
      <c r="C129" s="108" t="s">
        <v>764</v>
      </c>
      <c r="D129" s="126" t="s">
        <v>768</v>
      </c>
      <c r="E129" s="146" t="s">
        <v>741</v>
      </c>
      <c r="F129" s="114" t="s">
        <v>750</v>
      </c>
      <c r="G129" s="147"/>
      <c r="H129" s="122" t="s">
        <v>43</v>
      </c>
      <c r="I129" s="82">
        <v>45482</v>
      </c>
      <c r="J129" s="137"/>
      <c r="K129" s="82"/>
      <c r="L129" s="102"/>
      <c r="M129" s="128" t="s">
        <v>44</v>
      </c>
      <c r="N129" s="117" t="s">
        <v>959</v>
      </c>
      <c r="O129" s="114" t="s">
        <v>1000</v>
      </c>
      <c r="P129" s="70" t="s">
        <v>412</v>
      </c>
      <c r="Q129" s="70" t="s">
        <v>412</v>
      </c>
      <c r="R129" s="125">
        <v>16491</v>
      </c>
      <c r="S129" s="83">
        <f>+R129*0.15</f>
        <v>2473.65</v>
      </c>
      <c r="T129" s="116">
        <v>45778</v>
      </c>
      <c r="U129" s="119">
        <f t="shared" si="205"/>
        <v>18964.650000000001</v>
      </c>
      <c r="V129" s="119">
        <v>17113</v>
      </c>
      <c r="W129" s="119">
        <v>10800</v>
      </c>
      <c r="X129" s="125">
        <f t="shared" si="207"/>
        <v>5400</v>
      </c>
      <c r="Y129" s="118">
        <f t="shared" si="206"/>
        <v>913</v>
      </c>
      <c r="Z129" s="118">
        <f t="shared" si="208"/>
        <v>17113</v>
      </c>
      <c r="AA129" s="119">
        <v>30</v>
      </c>
      <c r="AB129" s="115">
        <v>12.5</v>
      </c>
      <c r="AC129" s="115">
        <v>2</v>
      </c>
      <c r="AD129" s="115">
        <v>1</v>
      </c>
      <c r="AE129" s="115"/>
      <c r="AF129" s="115">
        <f t="shared" si="209"/>
        <v>11.5</v>
      </c>
      <c r="AG129" s="115">
        <f t="shared" si="210"/>
        <v>41.5</v>
      </c>
      <c r="AH129" s="101">
        <f t="shared" si="77"/>
        <v>30</v>
      </c>
      <c r="AI129" s="118">
        <f t="shared" si="211"/>
        <v>18965</v>
      </c>
      <c r="AJ129" s="118">
        <f t="shared" si="147"/>
        <v>17113</v>
      </c>
      <c r="AK129" s="118">
        <f t="shared" si="148"/>
        <v>10800</v>
      </c>
      <c r="AL129" s="118">
        <f t="shared" si="149"/>
        <v>5400</v>
      </c>
      <c r="AM129" s="118">
        <f t="shared" ref="AM129:AM150" si="214">ROUND(Y129*AH129/AA129,0)</f>
        <v>913</v>
      </c>
      <c r="AN129" s="119">
        <f t="shared" si="150"/>
        <v>557</v>
      </c>
      <c r="AO129" s="119">
        <f t="shared" si="212"/>
        <v>1296</v>
      </c>
      <c r="AP129" s="118">
        <f t="shared" ref="AP129:AP150" si="215">SUM(AK129:AO129)</f>
        <v>18966</v>
      </c>
      <c r="AQ129" s="118">
        <v>0</v>
      </c>
      <c r="AR129" s="118">
        <f t="shared" si="151"/>
        <v>129</v>
      </c>
      <c r="AS129" s="118">
        <f t="shared" si="152"/>
        <v>557</v>
      </c>
      <c r="AT129" s="118">
        <f t="shared" si="153"/>
        <v>1296</v>
      </c>
      <c r="AU129" s="118">
        <f t="shared" si="154"/>
        <v>1296</v>
      </c>
      <c r="AV129" s="118"/>
      <c r="AW129" s="118">
        <v>0</v>
      </c>
      <c r="AX129" s="118">
        <f t="shared" si="213"/>
        <v>0</v>
      </c>
      <c r="AY129" s="120"/>
      <c r="AZ129" s="120">
        <v>0</v>
      </c>
      <c r="BA129" s="118">
        <f t="shared" si="194"/>
        <v>15688</v>
      </c>
      <c r="BB129" s="131" t="s">
        <v>525</v>
      </c>
      <c r="BC129" s="139" t="s">
        <v>368</v>
      </c>
      <c r="BD129" s="139" t="s">
        <v>753</v>
      </c>
      <c r="BE129" s="102"/>
      <c r="BF129" s="102"/>
      <c r="BG129" s="70" t="s">
        <v>48</v>
      </c>
      <c r="BH129" s="125">
        <v>0</v>
      </c>
      <c r="BI129" s="156"/>
      <c r="BJ129" s="70"/>
    </row>
    <row r="130" spans="1:63" s="13" customFormat="1" x14ac:dyDescent="0.25">
      <c r="A130" s="70">
        <f t="shared" si="175"/>
        <v>128</v>
      </c>
      <c r="B130" s="122">
        <v>2240</v>
      </c>
      <c r="C130" s="108" t="s">
        <v>41</v>
      </c>
      <c r="D130" s="126" t="s">
        <v>769</v>
      </c>
      <c r="E130" s="146" t="s">
        <v>687</v>
      </c>
      <c r="F130" s="114" t="s">
        <v>748</v>
      </c>
      <c r="G130" s="147"/>
      <c r="H130" s="122" t="s">
        <v>43</v>
      </c>
      <c r="I130" s="82">
        <v>45427</v>
      </c>
      <c r="J130" s="137"/>
      <c r="K130" s="82">
        <v>45474</v>
      </c>
      <c r="L130" s="102"/>
      <c r="M130" s="128" t="s">
        <v>44</v>
      </c>
      <c r="N130" s="117" t="s">
        <v>959</v>
      </c>
      <c r="O130" s="114" t="s">
        <v>307</v>
      </c>
      <c r="P130" s="70" t="s">
        <v>46</v>
      </c>
      <c r="Q130" s="70" t="s">
        <v>412</v>
      </c>
      <c r="R130" s="125">
        <v>20000</v>
      </c>
      <c r="S130" s="83">
        <f>+R130*0.12+4546</f>
        <v>6946</v>
      </c>
      <c r="T130" s="116" t="s">
        <v>1193</v>
      </c>
      <c r="U130" s="119">
        <f t="shared" si="205"/>
        <v>26946</v>
      </c>
      <c r="V130" s="119">
        <v>25329</v>
      </c>
      <c r="W130" s="119">
        <f>+U130*0.5</f>
        <v>13473</v>
      </c>
      <c r="X130" s="125">
        <f t="shared" si="207"/>
        <v>6736.5</v>
      </c>
      <c r="Y130" s="118">
        <f>+V130-W130-X130-1</f>
        <v>5118.5</v>
      </c>
      <c r="Z130" s="118">
        <f t="shared" si="208"/>
        <v>25328</v>
      </c>
      <c r="AA130" s="119">
        <v>30</v>
      </c>
      <c r="AB130" s="115">
        <v>4</v>
      </c>
      <c r="AC130" s="115">
        <v>1.5</v>
      </c>
      <c r="AD130" s="115">
        <v>1</v>
      </c>
      <c r="AE130" s="115"/>
      <c r="AF130" s="115">
        <f t="shared" si="209"/>
        <v>3.5</v>
      </c>
      <c r="AG130" s="115">
        <f t="shared" si="210"/>
        <v>33.5</v>
      </c>
      <c r="AH130" s="101">
        <f t="shared" si="77"/>
        <v>30</v>
      </c>
      <c r="AI130" s="118">
        <f t="shared" si="211"/>
        <v>26946</v>
      </c>
      <c r="AJ130" s="118">
        <f t="shared" si="147"/>
        <v>25328</v>
      </c>
      <c r="AK130" s="118">
        <f t="shared" si="148"/>
        <v>13473</v>
      </c>
      <c r="AL130" s="118">
        <f t="shared" si="149"/>
        <v>6737</v>
      </c>
      <c r="AM130" s="118">
        <f t="shared" si="214"/>
        <v>5119</v>
      </c>
      <c r="AN130" s="119">
        <f t="shared" si="150"/>
        <v>0</v>
      </c>
      <c r="AO130" s="119">
        <f t="shared" si="212"/>
        <v>1617</v>
      </c>
      <c r="AP130" s="118">
        <f t="shared" si="215"/>
        <v>26946</v>
      </c>
      <c r="AQ130" s="118">
        <v>0</v>
      </c>
      <c r="AR130" s="118">
        <f t="shared" si="151"/>
        <v>0</v>
      </c>
      <c r="AS130" s="118">
        <f t="shared" si="152"/>
        <v>0</v>
      </c>
      <c r="AT130" s="118">
        <f t="shared" si="153"/>
        <v>1617</v>
      </c>
      <c r="AU130" s="118">
        <f t="shared" si="154"/>
        <v>1617</v>
      </c>
      <c r="AV130" s="118"/>
      <c r="AW130" s="118">
        <v>0</v>
      </c>
      <c r="AX130" s="118">
        <f t="shared" si="213"/>
        <v>0</v>
      </c>
      <c r="AY130" s="120"/>
      <c r="AZ130" s="120">
        <v>0</v>
      </c>
      <c r="BA130" s="118">
        <f t="shared" si="194"/>
        <v>23712</v>
      </c>
      <c r="BB130" s="131" t="s">
        <v>1255</v>
      </c>
      <c r="BC130" s="139" t="s">
        <v>1256</v>
      </c>
      <c r="BD130" s="139" t="s">
        <v>1336</v>
      </c>
      <c r="BE130" s="102"/>
      <c r="BF130" s="102"/>
      <c r="BG130" s="70" t="s">
        <v>48</v>
      </c>
      <c r="BH130" s="125">
        <v>0</v>
      </c>
      <c r="BI130" s="156"/>
      <c r="BJ130" s="70"/>
    </row>
    <row r="131" spans="1:63" s="13" customFormat="1" x14ac:dyDescent="0.25">
      <c r="A131" s="70">
        <f t="shared" si="175"/>
        <v>129</v>
      </c>
      <c r="B131" s="122">
        <v>2241</v>
      </c>
      <c r="C131" s="108" t="s">
        <v>765</v>
      </c>
      <c r="D131" s="126" t="s">
        <v>770</v>
      </c>
      <c r="E131" s="146" t="s">
        <v>740</v>
      </c>
      <c r="F131" s="114" t="s">
        <v>749</v>
      </c>
      <c r="G131" s="147"/>
      <c r="H131" s="122" t="s">
        <v>43</v>
      </c>
      <c r="I131" s="82">
        <v>45485</v>
      </c>
      <c r="J131" s="137"/>
      <c r="K131" s="82"/>
      <c r="L131" s="102"/>
      <c r="M131" s="128" t="s">
        <v>44</v>
      </c>
      <c r="N131" s="117" t="s">
        <v>959</v>
      </c>
      <c r="O131" s="114" t="s">
        <v>110</v>
      </c>
      <c r="P131" s="70" t="s">
        <v>412</v>
      </c>
      <c r="Q131" s="70" t="s">
        <v>412</v>
      </c>
      <c r="R131" s="125">
        <v>18845</v>
      </c>
      <c r="S131" s="83">
        <f>+R131*0.08</f>
        <v>1507.6000000000001</v>
      </c>
      <c r="T131" s="116">
        <v>45778</v>
      </c>
      <c r="U131" s="119">
        <f t="shared" si="205"/>
        <v>20352.599999999999</v>
      </c>
      <c r="V131" s="119">
        <v>18457</v>
      </c>
      <c r="W131" s="119">
        <v>10800</v>
      </c>
      <c r="X131" s="125">
        <f t="shared" si="207"/>
        <v>5400</v>
      </c>
      <c r="Y131" s="118">
        <f t="shared" si="206"/>
        <v>2257</v>
      </c>
      <c r="Z131" s="118">
        <f t="shared" si="208"/>
        <v>18457</v>
      </c>
      <c r="AA131" s="119">
        <v>30</v>
      </c>
      <c r="AB131" s="115">
        <v>7.5</v>
      </c>
      <c r="AC131" s="115">
        <v>0</v>
      </c>
      <c r="AD131" s="115">
        <v>1</v>
      </c>
      <c r="AE131" s="115"/>
      <c r="AF131" s="115">
        <f t="shared" si="209"/>
        <v>8.5</v>
      </c>
      <c r="AG131" s="115">
        <f t="shared" si="210"/>
        <v>38.5</v>
      </c>
      <c r="AH131" s="101">
        <f t="shared" si="77"/>
        <v>30</v>
      </c>
      <c r="AI131" s="118">
        <f t="shared" si="211"/>
        <v>20353</v>
      </c>
      <c r="AJ131" s="118">
        <f t="shared" si="147"/>
        <v>18457</v>
      </c>
      <c r="AK131" s="118">
        <f t="shared" si="148"/>
        <v>10800</v>
      </c>
      <c r="AL131" s="118">
        <f t="shared" si="149"/>
        <v>5400</v>
      </c>
      <c r="AM131" s="118">
        <f t="shared" si="214"/>
        <v>2257</v>
      </c>
      <c r="AN131" s="119">
        <f t="shared" si="150"/>
        <v>600</v>
      </c>
      <c r="AO131" s="119">
        <f t="shared" si="212"/>
        <v>1296</v>
      </c>
      <c r="AP131" s="118">
        <f t="shared" si="215"/>
        <v>20353</v>
      </c>
      <c r="AQ131" s="118">
        <v>0</v>
      </c>
      <c r="AR131" s="118">
        <f t="shared" si="151"/>
        <v>139</v>
      </c>
      <c r="AS131" s="118">
        <f t="shared" si="152"/>
        <v>600</v>
      </c>
      <c r="AT131" s="118">
        <f t="shared" si="153"/>
        <v>1296</v>
      </c>
      <c r="AU131" s="118">
        <f t="shared" si="154"/>
        <v>1296</v>
      </c>
      <c r="AV131" s="118"/>
      <c r="AW131" s="118">
        <v>0</v>
      </c>
      <c r="AX131" s="118">
        <f t="shared" si="213"/>
        <v>0</v>
      </c>
      <c r="AY131" s="120"/>
      <c r="AZ131" s="120">
        <v>1000</v>
      </c>
      <c r="BA131" s="118">
        <f t="shared" si="194"/>
        <v>16022</v>
      </c>
      <c r="BB131" s="131" t="s">
        <v>446</v>
      </c>
      <c r="BC131" s="139" t="s">
        <v>751</v>
      </c>
      <c r="BD131" s="139" t="s">
        <v>752</v>
      </c>
      <c r="BE131" s="102"/>
      <c r="BF131" s="102"/>
      <c r="BG131" s="70" t="s">
        <v>48</v>
      </c>
      <c r="BH131" s="125">
        <v>0</v>
      </c>
      <c r="BI131" s="156"/>
      <c r="BJ131" s="70"/>
    </row>
    <row r="132" spans="1:63" s="13" customFormat="1" x14ac:dyDescent="0.25">
      <c r="A132" s="70">
        <f t="shared" si="175"/>
        <v>130</v>
      </c>
      <c r="B132" s="122">
        <v>2242</v>
      </c>
      <c r="C132" s="108" t="s">
        <v>766</v>
      </c>
      <c r="D132" s="126" t="s">
        <v>771</v>
      </c>
      <c r="E132" s="146" t="s">
        <v>744</v>
      </c>
      <c r="F132" s="114" t="s">
        <v>745</v>
      </c>
      <c r="G132" s="147"/>
      <c r="H132" s="122" t="s">
        <v>43</v>
      </c>
      <c r="I132" s="82">
        <v>45485</v>
      </c>
      <c r="J132" s="137"/>
      <c r="K132" s="82"/>
      <c r="L132" s="102"/>
      <c r="M132" s="128" t="s">
        <v>44</v>
      </c>
      <c r="N132" s="117" t="s">
        <v>959</v>
      </c>
      <c r="O132" s="114" t="s">
        <v>976</v>
      </c>
      <c r="P132" s="70" t="s">
        <v>412</v>
      </c>
      <c r="Q132" s="70" t="s">
        <v>412</v>
      </c>
      <c r="R132" s="125">
        <v>18897</v>
      </c>
      <c r="S132" s="83">
        <f>+R132*0.1</f>
        <v>1889.7</v>
      </c>
      <c r="T132" s="116">
        <v>45778</v>
      </c>
      <c r="U132" s="119">
        <f t="shared" si="205"/>
        <v>20786.7</v>
      </c>
      <c r="V132" s="119">
        <v>18877</v>
      </c>
      <c r="W132" s="119">
        <v>10800</v>
      </c>
      <c r="X132" s="125">
        <f t="shared" si="207"/>
        <v>5400</v>
      </c>
      <c r="Y132" s="118">
        <f t="shared" si="206"/>
        <v>2677</v>
      </c>
      <c r="Z132" s="118">
        <f t="shared" si="208"/>
        <v>18877</v>
      </c>
      <c r="AA132" s="119">
        <v>30</v>
      </c>
      <c r="AB132" s="115">
        <v>8</v>
      </c>
      <c r="AC132" s="115">
        <v>3</v>
      </c>
      <c r="AD132" s="115">
        <v>1</v>
      </c>
      <c r="AE132" s="115"/>
      <c r="AF132" s="115">
        <f t="shared" si="209"/>
        <v>6</v>
      </c>
      <c r="AG132" s="115">
        <f t="shared" si="210"/>
        <v>36</v>
      </c>
      <c r="AH132" s="101">
        <f t="shared" ref="AH132:AH193" si="216">IF(AG132&gt;30,30,IF(AG132&lt;=30,AG132))</f>
        <v>30</v>
      </c>
      <c r="AI132" s="118">
        <f t="shared" si="211"/>
        <v>20787</v>
      </c>
      <c r="AJ132" s="118">
        <f t="shared" si="147"/>
        <v>18877</v>
      </c>
      <c r="AK132" s="118">
        <f t="shared" si="148"/>
        <v>10800</v>
      </c>
      <c r="AL132" s="118">
        <f t="shared" si="149"/>
        <v>5400</v>
      </c>
      <c r="AM132" s="118">
        <f t="shared" si="214"/>
        <v>2677</v>
      </c>
      <c r="AN132" s="119">
        <f t="shared" si="150"/>
        <v>614</v>
      </c>
      <c r="AO132" s="119">
        <f t="shared" si="212"/>
        <v>1296</v>
      </c>
      <c r="AP132" s="118">
        <f t="shared" si="215"/>
        <v>20787</v>
      </c>
      <c r="AQ132" s="118">
        <v>0</v>
      </c>
      <c r="AR132" s="118">
        <f t="shared" si="151"/>
        <v>142</v>
      </c>
      <c r="AS132" s="118">
        <f t="shared" si="152"/>
        <v>614</v>
      </c>
      <c r="AT132" s="118">
        <f t="shared" si="153"/>
        <v>1296</v>
      </c>
      <c r="AU132" s="118">
        <f t="shared" si="154"/>
        <v>1296</v>
      </c>
      <c r="AV132" s="118"/>
      <c r="AW132" s="118">
        <v>0</v>
      </c>
      <c r="AX132" s="118">
        <v>0</v>
      </c>
      <c r="AY132" s="120"/>
      <c r="AZ132" s="120">
        <v>0</v>
      </c>
      <c r="BA132" s="118">
        <f t="shared" si="194"/>
        <v>17439</v>
      </c>
      <c r="BB132" s="131" t="s">
        <v>532</v>
      </c>
      <c r="BC132" s="139" t="s">
        <v>746</v>
      </c>
      <c r="BD132" s="139" t="s">
        <v>747</v>
      </c>
      <c r="BE132" s="102"/>
      <c r="BF132" s="102"/>
      <c r="BG132" s="70" t="s">
        <v>48</v>
      </c>
      <c r="BH132" s="125">
        <v>0</v>
      </c>
      <c r="BI132" s="156"/>
      <c r="BJ132" s="70"/>
    </row>
    <row r="133" spans="1:63" s="13" customFormat="1" x14ac:dyDescent="0.25">
      <c r="A133" s="70">
        <f t="shared" si="175"/>
        <v>131</v>
      </c>
      <c r="B133" s="122">
        <v>2246</v>
      </c>
      <c r="C133" s="134" t="s">
        <v>817</v>
      </c>
      <c r="D133" s="126" t="s">
        <v>822</v>
      </c>
      <c r="E133" s="146" t="s">
        <v>784</v>
      </c>
      <c r="F133" s="114" t="s">
        <v>816</v>
      </c>
      <c r="G133" s="147"/>
      <c r="H133" s="122" t="s">
        <v>43</v>
      </c>
      <c r="I133" s="82">
        <v>45506</v>
      </c>
      <c r="J133" s="137"/>
      <c r="K133" s="82"/>
      <c r="L133" s="102"/>
      <c r="M133" s="128" t="s">
        <v>44</v>
      </c>
      <c r="N133" s="117" t="s">
        <v>959</v>
      </c>
      <c r="O133" s="114" t="s">
        <v>110</v>
      </c>
      <c r="P133" s="70" t="s">
        <v>412</v>
      </c>
      <c r="Q133" s="70" t="s">
        <v>412</v>
      </c>
      <c r="R133" s="125">
        <v>17459</v>
      </c>
      <c r="S133" s="83">
        <f>+R133*0.2</f>
        <v>3491.8</v>
      </c>
      <c r="T133" s="116">
        <v>45778</v>
      </c>
      <c r="U133" s="119">
        <f t="shared" ref="U133:U139" si="217">R133+S133</f>
        <v>20950.8</v>
      </c>
      <c r="V133" s="119">
        <v>19036</v>
      </c>
      <c r="W133" s="119">
        <v>10800</v>
      </c>
      <c r="X133" s="125">
        <f t="shared" ref="X133:X139" si="218">+W133*0.5</f>
        <v>5400</v>
      </c>
      <c r="Y133" s="118">
        <f t="shared" ref="Y133:Y139" si="219">+V133-W133-X133</f>
        <v>2836</v>
      </c>
      <c r="Z133" s="118">
        <f t="shared" ref="Z133:Z139" si="220">W133+X133+Y133</f>
        <v>19036</v>
      </c>
      <c r="AA133" s="119">
        <v>30</v>
      </c>
      <c r="AB133" s="115">
        <v>10</v>
      </c>
      <c r="AC133" s="115">
        <v>0</v>
      </c>
      <c r="AD133" s="115">
        <v>1</v>
      </c>
      <c r="AE133" s="115"/>
      <c r="AF133" s="115">
        <f t="shared" ref="AF133:AF139" si="221">AB133+AD133+AE133-AC133</f>
        <v>11</v>
      </c>
      <c r="AG133" s="115">
        <f t="shared" ref="AG133:AG139" si="222">+AF133+AA133</f>
        <v>41</v>
      </c>
      <c r="AH133" s="101">
        <f t="shared" si="216"/>
        <v>30</v>
      </c>
      <c r="AI133" s="118">
        <f t="shared" ref="AI133:AI139" si="223">ROUND(U133*AH133/AA133,0)</f>
        <v>20951</v>
      </c>
      <c r="AJ133" s="118">
        <f t="shared" si="147"/>
        <v>19036</v>
      </c>
      <c r="AK133" s="118">
        <f t="shared" si="148"/>
        <v>10800</v>
      </c>
      <c r="AL133" s="118">
        <f t="shared" si="149"/>
        <v>5400</v>
      </c>
      <c r="AM133" s="118">
        <f t="shared" si="214"/>
        <v>2836</v>
      </c>
      <c r="AN133" s="119">
        <f t="shared" si="150"/>
        <v>619</v>
      </c>
      <c r="AO133" s="119">
        <f t="shared" ref="AO133:AO139" si="224">ROUND(IF(AK133&lt;15001,AK133*12%,1800),0)</f>
        <v>1296</v>
      </c>
      <c r="AP133" s="118">
        <f t="shared" si="215"/>
        <v>20951</v>
      </c>
      <c r="AQ133" s="118">
        <v>0</v>
      </c>
      <c r="AR133" s="118">
        <f t="shared" si="151"/>
        <v>143</v>
      </c>
      <c r="AS133" s="118">
        <f t="shared" ref="AS133:AS141" si="225">AN133</f>
        <v>619</v>
      </c>
      <c r="AT133" s="118">
        <f t="shared" ref="AT133:AT141" si="226">AO133</f>
        <v>1296</v>
      </c>
      <c r="AU133" s="118">
        <f t="shared" ref="AU133:AU141" si="227">AO133</f>
        <v>1296</v>
      </c>
      <c r="AV133" s="118"/>
      <c r="AW133" s="118">
        <v>0</v>
      </c>
      <c r="AX133" s="118">
        <v>0</v>
      </c>
      <c r="AY133" s="120"/>
      <c r="AZ133" s="120">
        <v>0</v>
      </c>
      <c r="BA133" s="118">
        <f t="shared" si="194"/>
        <v>17597</v>
      </c>
      <c r="BB133" s="150" t="s">
        <v>70</v>
      </c>
      <c r="BC133" s="34" t="s">
        <v>106</v>
      </c>
      <c r="BD133" s="151" t="s">
        <v>819</v>
      </c>
      <c r="BE133" s="102"/>
      <c r="BF133" s="102"/>
      <c r="BG133" s="70" t="s">
        <v>48</v>
      </c>
      <c r="BH133" s="125">
        <v>0</v>
      </c>
      <c r="BI133" s="156"/>
      <c r="BJ133" s="70"/>
    </row>
    <row r="134" spans="1:63" s="13" customFormat="1" x14ac:dyDescent="0.25">
      <c r="A134" s="70">
        <f t="shared" si="175"/>
        <v>132</v>
      </c>
      <c r="B134" s="122">
        <v>2247</v>
      </c>
      <c r="C134" s="134" t="s">
        <v>818</v>
      </c>
      <c r="D134" s="126" t="s">
        <v>823</v>
      </c>
      <c r="E134" s="146" t="s">
        <v>880</v>
      </c>
      <c r="F134" s="114" t="s">
        <v>814</v>
      </c>
      <c r="G134" s="147"/>
      <c r="H134" s="122" t="s">
        <v>43</v>
      </c>
      <c r="I134" s="82">
        <v>45506</v>
      </c>
      <c r="J134" s="137"/>
      <c r="K134" s="82"/>
      <c r="L134" s="102"/>
      <c r="M134" s="128" t="s">
        <v>44</v>
      </c>
      <c r="N134" s="117" t="s">
        <v>959</v>
      </c>
      <c r="O134" s="114" t="s">
        <v>1000</v>
      </c>
      <c r="P134" s="70" t="s">
        <v>412</v>
      </c>
      <c r="Q134" s="70" t="s">
        <v>412</v>
      </c>
      <c r="R134" s="125">
        <v>15572</v>
      </c>
      <c r="S134" s="83">
        <f>+R134*0.17</f>
        <v>2647.2400000000002</v>
      </c>
      <c r="T134" s="116">
        <v>45778</v>
      </c>
      <c r="U134" s="119">
        <f t="shared" si="217"/>
        <v>18219.240000000002</v>
      </c>
      <c r="V134" s="119">
        <v>16391</v>
      </c>
      <c r="W134" s="119">
        <v>10800</v>
      </c>
      <c r="X134" s="125">
        <f t="shared" si="218"/>
        <v>5400</v>
      </c>
      <c r="Y134" s="118">
        <f t="shared" si="219"/>
        <v>191</v>
      </c>
      <c r="Z134" s="118">
        <f t="shared" si="220"/>
        <v>16391</v>
      </c>
      <c r="AA134" s="119">
        <v>30</v>
      </c>
      <c r="AB134" s="115">
        <v>4.5</v>
      </c>
      <c r="AC134" s="115">
        <v>3</v>
      </c>
      <c r="AD134" s="115">
        <v>1</v>
      </c>
      <c r="AE134" s="115"/>
      <c r="AF134" s="115">
        <f t="shared" si="221"/>
        <v>2.5</v>
      </c>
      <c r="AG134" s="115">
        <f t="shared" si="222"/>
        <v>32.5</v>
      </c>
      <c r="AH134" s="101">
        <f t="shared" si="216"/>
        <v>30</v>
      </c>
      <c r="AI134" s="118">
        <f t="shared" si="223"/>
        <v>18219</v>
      </c>
      <c r="AJ134" s="118">
        <f t="shared" si="147"/>
        <v>16391</v>
      </c>
      <c r="AK134" s="118">
        <f t="shared" si="148"/>
        <v>10800</v>
      </c>
      <c r="AL134" s="118">
        <f t="shared" si="149"/>
        <v>5400</v>
      </c>
      <c r="AM134" s="118">
        <f t="shared" si="214"/>
        <v>191</v>
      </c>
      <c r="AN134" s="119">
        <f t="shared" si="150"/>
        <v>533</v>
      </c>
      <c r="AO134" s="119">
        <f t="shared" si="224"/>
        <v>1296</v>
      </c>
      <c r="AP134" s="118">
        <f t="shared" si="215"/>
        <v>18220</v>
      </c>
      <c r="AQ134" s="118">
        <v>0</v>
      </c>
      <c r="AR134" s="118">
        <f t="shared" si="151"/>
        <v>123</v>
      </c>
      <c r="AS134" s="118">
        <f t="shared" si="225"/>
        <v>533</v>
      </c>
      <c r="AT134" s="118">
        <f t="shared" si="226"/>
        <v>1296</v>
      </c>
      <c r="AU134" s="118">
        <f t="shared" si="227"/>
        <v>1296</v>
      </c>
      <c r="AV134" s="118"/>
      <c r="AW134" s="118">
        <v>0</v>
      </c>
      <c r="AX134" s="118">
        <v>0</v>
      </c>
      <c r="AY134" s="120"/>
      <c r="AZ134" s="120">
        <v>0</v>
      </c>
      <c r="BA134" s="118">
        <f t="shared" si="194"/>
        <v>14972</v>
      </c>
      <c r="BB134" s="131" t="s">
        <v>393</v>
      </c>
      <c r="BC134" s="139" t="s">
        <v>1064</v>
      </c>
      <c r="BD134" s="139" t="s">
        <v>1118</v>
      </c>
      <c r="BE134" s="102"/>
      <c r="BF134" s="102"/>
      <c r="BG134" s="70" t="s">
        <v>48</v>
      </c>
      <c r="BH134" s="125">
        <v>0</v>
      </c>
      <c r="BI134" s="156"/>
      <c r="BJ134" s="70"/>
    </row>
    <row r="135" spans="1:63" s="13" customFormat="1" x14ac:dyDescent="0.25">
      <c r="A135" s="70">
        <f t="shared" si="175"/>
        <v>133</v>
      </c>
      <c r="B135" s="122">
        <v>2253</v>
      </c>
      <c r="C135" s="134" t="s">
        <v>1204</v>
      </c>
      <c r="D135" s="126" t="s">
        <v>824</v>
      </c>
      <c r="E135" s="146" t="s">
        <v>791</v>
      </c>
      <c r="F135" s="114" t="s">
        <v>815</v>
      </c>
      <c r="G135" s="147"/>
      <c r="H135" s="122" t="s">
        <v>43</v>
      </c>
      <c r="I135" s="82">
        <v>45512</v>
      </c>
      <c r="J135" s="137"/>
      <c r="K135" s="82"/>
      <c r="L135" s="102"/>
      <c r="M135" s="128" t="s">
        <v>44</v>
      </c>
      <c r="N135" s="117" t="s">
        <v>959</v>
      </c>
      <c r="O135" s="114" t="s">
        <v>998</v>
      </c>
      <c r="P135" s="70" t="s">
        <v>412</v>
      </c>
      <c r="Q135" s="70" t="s">
        <v>412</v>
      </c>
      <c r="R135" s="125">
        <v>22084</v>
      </c>
      <c r="S135" s="83">
        <f>+R135*0.05</f>
        <v>1104.2</v>
      </c>
      <c r="T135" s="116" t="s">
        <v>1501</v>
      </c>
      <c r="U135" s="119">
        <f t="shared" si="217"/>
        <v>23188.2</v>
      </c>
      <c r="V135" s="119">
        <v>21797</v>
      </c>
      <c r="W135" s="119">
        <f>+U135*0.5</f>
        <v>11594.1</v>
      </c>
      <c r="X135" s="125">
        <f t="shared" si="218"/>
        <v>5797.05</v>
      </c>
      <c r="Y135" s="118">
        <f t="shared" si="219"/>
        <v>4405.8499999999995</v>
      </c>
      <c r="Z135" s="118">
        <f t="shared" si="220"/>
        <v>21797</v>
      </c>
      <c r="AA135" s="119">
        <v>30</v>
      </c>
      <c r="AB135" s="115">
        <v>15.5</v>
      </c>
      <c r="AC135" s="115">
        <v>1</v>
      </c>
      <c r="AD135" s="115">
        <v>3</v>
      </c>
      <c r="AE135" s="115"/>
      <c r="AF135" s="115">
        <f t="shared" si="221"/>
        <v>17.5</v>
      </c>
      <c r="AG135" s="115">
        <f t="shared" si="222"/>
        <v>47.5</v>
      </c>
      <c r="AH135" s="101">
        <f t="shared" si="216"/>
        <v>30</v>
      </c>
      <c r="AI135" s="118">
        <f t="shared" si="223"/>
        <v>23188</v>
      </c>
      <c r="AJ135" s="118">
        <f t="shared" si="147"/>
        <v>21797</v>
      </c>
      <c r="AK135" s="118">
        <f t="shared" si="148"/>
        <v>11594</v>
      </c>
      <c r="AL135" s="118">
        <f t="shared" si="149"/>
        <v>5797</v>
      </c>
      <c r="AM135" s="118">
        <f t="shared" si="214"/>
        <v>4406</v>
      </c>
      <c r="AN135" s="119">
        <f t="shared" si="150"/>
        <v>0</v>
      </c>
      <c r="AO135" s="119">
        <f t="shared" si="224"/>
        <v>1391</v>
      </c>
      <c r="AP135" s="118">
        <f t="shared" si="215"/>
        <v>23188</v>
      </c>
      <c r="AQ135" s="118">
        <v>0</v>
      </c>
      <c r="AR135" s="118">
        <f t="shared" si="151"/>
        <v>0</v>
      </c>
      <c r="AS135" s="118">
        <f t="shared" si="225"/>
        <v>0</v>
      </c>
      <c r="AT135" s="118">
        <f t="shared" si="226"/>
        <v>1391</v>
      </c>
      <c r="AU135" s="118">
        <f t="shared" si="227"/>
        <v>1391</v>
      </c>
      <c r="AV135" s="118"/>
      <c r="AW135" s="118">
        <v>0</v>
      </c>
      <c r="AX135" s="118">
        <v>0</v>
      </c>
      <c r="AY135" s="120"/>
      <c r="AZ135" s="120">
        <v>0</v>
      </c>
      <c r="BA135" s="118">
        <f t="shared" si="194"/>
        <v>20406</v>
      </c>
      <c r="BB135" s="131" t="s">
        <v>139</v>
      </c>
      <c r="BC135" s="139" t="s">
        <v>820</v>
      </c>
      <c r="BD135" s="139" t="s">
        <v>821</v>
      </c>
      <c r="BE135" s="102"/>
      <c r="BF135" s="102"/>
      <c r="BG135" s="70" t="s">
        <v>48</v>
      </c>
      <c r="BH135" s="125">
        <v>0</v>
      </c>
      <c r="BI135" s="156"/>
      <c r="BJ135" s="70"/>
    </row>
    <row r="136" spans="1:63" s="13" customFormat="1" x14ac:dyDescent="0.25">
      <c r="A136" s="70">
        <f t="shared" si="175"/>
        <v>134</v>
      </c>
      <c r="B136" s="122">
        <v>2257</v>
      </c>
      <c r="C136" s="108" t="s">
        <v>41</v>
      </c>
      <c r="D136" s="126" t="s">
        <v>825</v>
      </c>
      <c r="E136" s="146" t="s">
        <v>796</v>
      </c>
      <c r="F136" s="114" t="s">
        <v>804</v>
      </c>
      <c r="G136" s="147"/>
      <c r="H136" s="122" t="s">
        <v>43</v>
      </c>
      <c r="I136" s="82">
        <v>45524</v>
      </c>
      <c r="J136" s="137"/>
      <c r="K136" s="82"/>
      <c r="L136" s="102"/>
      <c r="M136" s="128" t="s">
        <v>44</v>
      </c>
      <c r="N136" s="117" t="s">
        <v>947</v>
      </c>
      <c r="O136" s="114" t="s">
        <v>975</v>
      </c>
      <c r="P136" s="70" t="s">
        <v>46</v>
      </c>
      <c r="Q136" s="70" t="s">
        <v>412</v>
      </c>
      <c r="R136" s="125">
        <v>27636</v>
      </c>
      <c r="S136" s="83">
        <f>+R136*0.07</f>
        <v>1934.5200000000002</v>
      </c>
      <c r="T136" s="116">
        <v>45778</v>
      </c>
      <c r="U136" s="119">
        <f t="shared" si="217"/>
        <v>29570.52</v>
      </c>
      <c r="V136" s="119">
        <v>27797</v>
      </c>
      <c r="W136" s="119">
        <f>+U136*0.5</f>
        <v>14785.26</v>
      </c>
      <c r="X136" s="125">
        <f t="shared" si="218"/>
        <v>7392.63</v>
      </c>
      <c r="Y136" s="118">
        <f t="shared" si="219"/>
        <v>5619.11</v>
      </c>
      <c r="Z136" s="118">
        <f t="shared" si="220"/>
        <v>27797</v>
      </c>
      <c r="AA136" s="119">
        <v>30</v>
      </c>
      <c r="AB136" s="115">
        <v>9</v>
      </c>
      <c r="AC136" s="115">
        <v>2.5</v>
      </c>
      <c r="AD136" s="115">
        <v>1</v>
      </c>
      <c r="AE136" s="115"/>
      <c r="AF136" s="115">
        <f t="shared" si="221"/>
        <v>7.5</v>
      </c>
      <c r="AG136" s="115">
        <f t="shared" si="222"/>
        <v>37.5</v>
      </c>
      <c r="AH136" s="101">
        <f t="shared" si="216"/>
        <v>30</v>
      </c>
      <c r="AI136" s="118">
        <f t="shared" si="223"/>
        <v>29571</v>
      </c>
      <c r="AJ136" s="118">
        <f t="shared" si="147"/>
        <v>27797</v>
      </c>
      <c r="AK136" s="118">
        <f t="shared" si="148"/>
        <v>14785</v>
      </c>
      <c r="AL136" s="118">
        <f t="shared" si="149"/>
        <v>7393</v>
      </c>
      <c r="AM136" s="118">
        <f t="shared" si="214"/>
        <v>5619</v>
      </c>
      <c r="AN136" s="119">
        <f t="shared" si="150"/>
        <v>0</v>
      </c>
      <c r="AO136" s="119">
        <f t="shared" si="224"/>
        <v>1774</v>
      </c>
      <c r="AP136" s="118">
        <f t="shared" si="215"/>
        <v>29571</v>
      </c>
      <c r="AQ136" s="118">
        <v>0</v>
      </c>
      <c r="AR136" s="118">
        <f t="shared" si="151"/>
        <v>0</v>
      </c>
      <c r="AS136" s="118">
        <f t="shared" si="225"/>
        <v>0</v>
      </c>
      <c r="AT136" s="118">
        <f t="shared" si="226"/>
        <v>1774</v>
      </c>
      <c r="AU136" s="118">
        <f t="shared" si="227"/>
        <v>1774</v>
      </c>
      <c r="AV136" s="118"/>
      <c r="AW136" s="118">
        <v>0</v>
      </c>
      <c r="AX136" s="118">
        <v>0</v>
      </c>
      <c r="AY136" s="120"/>
      <c r="AZ136" s="120">
        <v>0</v>
      </c>
      <c r="BA136" s="118">
        <f t="shared" si="194"/>
        <v>26023</v>
      </c>
      <c r="BB136" s="131" t="s">
        <v>425</v>
      </c>
      <c r="BC136" s="139" t="s">
        <v>802</v>
      </c>
      <c r="BD136" s="139" t="s">
        <v>803</v>
      </c>
      <c r="BE136" s="102"/>
      <c r="BF136" s="102"/>
      <c r="BG136" s="70" t="s">
        <v>48</v>
      </c>
      <c r="BH136" s="125">
        <v>0</v>
      </c>
      <c r="BI136" s="156"/>
      <c r="BJ136" s="70"/>
    </row>
    <row r="137" spans="1:63" s="13" customFormat="1" x14ac:dyDescent="0.25">
      <c r="A137" s="70">
        <f t="shared" si="175"/>
        <v>135</v>
      </c>
      <c r="B137" s="122">
        <v>2259</v>
      </c>
      <c r="C137" s="108" t="s">
        <v>41</v>
      </c>
      <c r="D137" s="126" t="s">
        <v>919</v>
      </c>
      <c r="E137" s="146" t="s">
        <v>920</v>
      </c>
      <c r="F137" s="114" t="s">
        <v>921</v>
      </c>
      <c r="G137" s="147"/>
      <c r="H137" s="122" t="s">
        <v>43</v>
      </c>
      <c r="I137" s="82">
        <v>45433</v>
      </c>
      <c r="J137" s="137"/>
      <c r="K137" s="82">
        <v>45525</v>
      </c>
      <c r="L137" s="102"/>
      <c r="M137" s="128" t="s">
        <v>44</v>
      </c>
      <c r="N137" s="117" t="s">
        <v>959</v>
      </c>
      <c r="O137" s="114" t="s">
        <v>1000</v>
      </c>
      <c r="P137" s="70" t="s">
        <v>46</v>
      </c>
      <c r="Q137" s="70" t="s">
        <v>412</v>
      </c>
      <c r="R137" s="125">
        <v>22584</v>
      </c>
      <c r="S137" s="83">
        <f>+R137*0.1</f>
        <v>2258.4</v>
      </c>
      <c r="T137" s="116">
        <v>45778</v>
      </c>
      <c r="U137" s="119">
        <f t="shared" si="217"/>
        <v>24842.400000000001</v>
      </c>
      <c r="V137" s="119">
        <v>22184</v>
      </c>
      <c r="W137" s="119">
        <f>+U137*0.5</f>
        <v>12421.2</v>
      </c>
      <c r="X137" s="125">
        <f t="shared" si="218"/>
        <v>6210.6</v>
      </c>
      <c r="Y137" s="118">
        <f t="shared" si="219"/>
        <v>3552.1999999999989</v>
      </c>
      <c r="Z137" s="118">
        <f t="shared" si="220"/>
        <v>22184</v>
      </c>
      <c r="AA137" s="119">
        <v>30</v>
      </c>
      <c r="AB137" s="115">
        <v>2</v>
      </c>
      <c r="AC137" s="115">
        <v>1.5</v>
      </c>
      <c r="AD137" s="115">
        <v>1</v>
      </c>
      <c r="AE137" s="115"/>
      <c r="AF137" s="115">
        <f t="shared" si="221"/>
        <v>1.5</v>
      </c>
      <c r="AG137" s="115">
        <f t="shared" si="222"/>
        <v>31.5</v>
      </c>
      <c r="AH137" s="101">
        <f t="shared" si="216"/>
        <v>30</v>
      </c>
      <c r="AI137" s="118">
        <f t="shared" si="223"/>
        <v>24842</v>
      </c>
      <c r="AJ137" s="118">
        <f t="shared" si="147"/>
        <v>22184</v>
      </c>
      <c r="AK137" s="118">
        <f t="shared" si="148"/>
        <v>12421</v>
      </c>
      <c r="AL137" s="118">
        <f t="shared" si="149"/>
        <v>6211</v>
      </c>
      <c r="AM137" s="118">
        <f t="shared" si="214"/>
        <v>3552</v>
      </c>
      <c r="AN137" s="119">
        <f t="shared" si="150"/>
        <v>0</v>
      </c>
      <c r="AO137" s="119">
        <f t="shared" si="224"/>
        <v>1491</v>
      </c>
      <c r="AP137" s="118">
        <f t="shared" si="215"/>
        <v>23675</v>
      </c>
      <c r="AQ137" s="118">
        <v>0</v>
      </c>
      <c r="AR137" s="118">
        <f t="shared" si="151"/>
        <v>0</v>
      </c>
      <c r="AS137" s="118">
        <f t="shared" si="225"/>
        <v>0</v>
      </c>
      <c r="AT137" s="118">
        <f t="shared" si="226"/>
        <v>1491</v>
      </c>
      <c r="AU137" s="118">
        <f t="shared" si="227"/>
        <v>1491</v>
      </c>
      <c r="AV137" s="118"/>
      <c r="AW137" s="118">
        <v>0</v>
      </c>
      <c r="AX137" s="118">
        <f t="shared" ref="AX137:AX139" si="228">+AV137-AW137</f>
        <v>0</v>
      </c>
      <c r="AY137" s="120"/>
      <c r="AZ137" s="120">
        <v>0</v>
      </c>
      <c r="BA137" s="118">
        <f t="shared" si="194"/>
        <v>20693</v>
      </c>
      <c r="BB137" s="31" t="s">
        <v>393</v>
      </c>
      <c r="BC137" s="34" t="s">
        <v>883</v>
      </c>
      <c r="BD137" s="34" t="s">
        <v>927</v>
      </c>
      <c r="BE137" s="102"/>
      <c r="BF137" s="102"/>
      <c r="BG137" s="70" t="s">
        <v>48</v>
      </c>
      <c r="BH137" s="125">
        <v>0</v>
      </c>
      <c r="BI137" s="156"/>
      <c r="BJ137" s="70"/>
    </row>
    <row r="138" spans="1:63" s="13" customFormat="1" x14ac:dyDescent="0.25">
      <c r="A138" s="70">
        <f t="shared" si="175"/>
        <v>136</v>
      </c>
      <c r="B138" s="122">
        <v>2262</v>
      </c>
      <c r="C138" s="134" t="s">
        <v>1205</v>
      </c>
      <c r="D138" s="126" t="s">
        <v>826</v>
      </c>
      <c r="E138" s="146" t="s">
        <v>794</v>
      </c>
      <c r="F138" s="114" t="s">
        <v>915</v>
      </c>
      <c r="G138" s="147"/>
      <c r="H138" s="122" t="s">
        <v>43</v>
      </c>
      <c r="I138" s="82">
        <v>45531</v>
      </c>
      <c r="J138" s="137"/>
      <c r="K138" s="82"/>
      <c r="L138" s="102"/>
      <c r="M138" s="128" t="s">
        <v>44</v>
      </c>
      <c r="N138" s="117" t="s">
        <v>959</v>
      </c>
      <c r="O138" s="114" t="s">
        <v>1001</v>
      </c>
      <c r="P138" s="70" t="s">
        <v>412</v>
      </c>
      <c r="Q138" s="70" t="s">
        <v>412</v>
      </c>
      <c r="R138" s="125">
        <v>20216</v>
      </c>
      <c r="S138" s="83">
        <f>+R138*0.1</f>
        <v>2021.6000000000001</v>
      </c>
      <c r="T138" s="116" t="s">
        <v>1501</v>
      </c>
      <c r="U138" s="119">
        <f t="shared" si="217"/>
        <v>22237.599999999999</v>
      </c>
      <c r="V138" s="119">
        <v>20246</v>
      </c>
      <c r="W138" s="119">
        <f>+U138*0.5</f>
        <v>11118.8</v>
      </c>
      <c r="X138" s="125">
        <f t="shared" si="218"/>
        <v>5559.4</v>
      </c>
      <c r="Y138" s="118">
        <f>+V138-W138-X138</f>
        <v>3567.8000000000011</v>
      </c>
      <c r="Z138" s="118">
        <f t="shared" si="220"/>
        <v>20246</v>
      </c>
      <c r="AA138" s="119">
        <v>30</v>
      </c>
      <c r="AB138" s="115">
        <v>8</v>
      </c>
      <c r="AC138" s="115">
        <v>0</v>
      </c>
      <c r="AD138" s="115">
        <v>1</v>
      </c>
      <c r="AE138" s="115"/>
      <c r="AF138" s="115">
        <f t="shared" si="221"/>
        <v>9</v>
      </c>
      <c r="AG138" s="115">
        <f t="shared" si="222"/>
        <v>39</v>
      </c>
      <c r="AH138" s="101">
        <f t="shared" si="216"/>
        <v>30</v>
      </c>
      <c r="AI138" s="118">
        <f t="shared" si="223"/>
        <v>22238</v>
      </c>
      <c r="AJ138" s="118">
        <f t="shared" si="147"/>
        <v>20246</v>
      </c>
      <c r="AK138" s="118">
        <f t="shared" si="148"/>
        <v>11119</v>
      </c>
      <c r="AL138" s="118">
        <f t="shared" si="149"/>
        <v>5559</v>
      </c>
      <c r="AM138" s="118">
        <f t="shared" si="214"/>
        <v>3568</v>
      </c>
      <c r="AN138" s="119">
        <f t="shared" si="150"/>
        <v>658</v>
      </c>
      <c r="AO138" s="119">
        <f t="shared" si="224"/>
        <v>1334</v>
      </c>
      <c r="AP138" s="118">
        <f t="shared" si="215"/>
        <v>22238</v>
      </c>
      <c r="AQ138" s="118">
        <v>0</v>
      </c>
      <c r="AR138" s="118">
        <f t="shared" si="151"/>
        <v>152</v>
      </c>
      <c r="AS138" s="118">
        <f t="shared" si="225"/>
        <v>658</v>
      </c>
      <c r="AT138" s="118">
        <f t="shared" si="226"/>
        <v>1334</v>
      </c>
      <c r="AU138" s="118">
        <f t="shared" si="227"/>
        <v>1334</v>
      </c>
      <c r="AV138" s="118"/>
      <c r="AW138" s="118">
        <v>0</v>
      </c>
      <c r="AX138" s="118">
        <v>0</v>
      </c>
      <c r="AY138" s="120"/>
      <c r="AZ138" s="120">
        <v>0</v>
      </c>
      <c r="BA138" s="118">
        <f t="shared" si="194"/>
        <v>18760</v>
      </c>
      <c r="BB138" s="131" t="s">
        <v>138</v>
      </c>
      <c r="BC138" s="139" t="s">
        <v>469</v>
      </c>
      <c r="BD138" s="139" t="s">
        <v>873</v>
      </c>
      <c r="BE138" s="102"/>
      <c r="BF138" s="102"/>
      <c r="BG138" s="70" t="s">
        <v>48</v>
      </c>
      <c r="BH138" s="125">
        <v>0</v>
      </c>
      <c r="BI138" s="156"/>
      <c r="BJ138" s="70"/>
    </row>
    <row r="139" spans="1:63" s="13" customFormat="1" x14ac:dyDescent="0.25">
      <c r="A139" s="70">
        <f t="shared" si="175"/>
        <v>137</v>
      </c>
      <c r="B139" s="122">
        <v>2267</v>
      </c>
      <c r="C139" s="134" t="s">
        <v>41</v>
      </c>
      <c r="D139" s="126" t="s">
        <v>882</v>
      </c>
      <c r="E139" s="146" t="s">
        <v>795</v>
      </c>
      <c r="F139" s="114" t="s">
        <v>797</v>
      </c>
      <c r="G139" s="147"/>
      <c r="H139" s="122" t="s">
        <v>43</v>
      </c>
      <c r="I139" s="82">
        <v>45533</v>
      </c>
      <c r="J139" s="137"/>
      <c r="K139" s="82"/>
      <c r="L139" s="102"/>
      <c r="M139" s="128" t="s">
        <v>44</v>
      </c>
      <c r="N139" s="117" t="s">
        <v>959</v>
      </c>
      <c r="O139" s="114" t="s">
        <v>975</v>
      </c>
      <c r="P139" s="70" t="s">
        <v>46</v>
      </c>
      <c r="Q139" s="70" t="s">
        <v>412</v>
      </c>
      <c r="R139" s="125">
        <v>22640</v>
      </c>
      <c r="S139" s="83">
        <f>+R139*0.1</f>
        <v>2264</v>
      </c>
      <c r="T139" s="116" t="s">
        <v>1530</v>
      </c>
      <c r="U139" s="119">
        <f t="shared" si="217"/>
        <v>24904</v>
      </c>
      <c r="V139" s="119">
        <v>23410</v>
      </c>
      <c r="W139" s="119">
        <f>+U139*0.5</f>
        <v>12452</v>
      </c>
      <c r="X139" s="125">
        <f t="shared" si="218"/>
        <v>6226</v>
      </c>
      <c r="Y139" s="118">
        <f t="shared" si="219"/>
        <v>4732</v>
      </c>
      <c r="Z139" s="118">
        <f t="shared" si="220"/>
        <v>23410</v>
      </c>
      <c r="AA139" s="119">
        <v>30</v>
      </c>
      <c r="AB139" s="115">
        <v>16.5</v>
      </c>
      <c r="AC139" s="115">
        <v>1</v>
      </c>
      <c r="AD139" s="115">
        <v>1</v>
      </c>
      <c r="AE139" s="115"/>
      <c r="AF139" s="115">
        <f t="shared" si="221"/>
        <v>16.5</v>
      </c>
      <c r="AG139" s="115">
        <f t="shared" si="222"/>
        <v>46.5</v>
      </c>
      <c r="AH139" s="101">
        <f t="shared" si="216"/>
        <v>30</v>
      </c>
      <c r="AI139" s="118">
        <f t="shared" si="223"/>
        <v>24904</v>
      </c>
      <c r="AJ139" s="118">
        <f t="shared" si="147"/>
        <v>23410</v>
      </c>
      <c r="AK139" s="118">
        <f t="shared" si="148"/>
        <v>12452</v>
      </c>
      <c r="AL139" s="118">
        <f t="shared" si="149"/>
        <v>6226</v>
      </c>
      <c r="AM139" s="118">
        <f t="shared" si="214"/>
        <v>4732</v>
      </c>
      <c r="AN139" s="119">
        <f t="shared" si="150"/>
        <v>0</v>
      </c>
      <c r="AO139" s="119">
        <f t="shared" si="224"/>
        <v>1494</v>
      </c>
      <c r="AP139" s="118">
        <f t="shared" si="215"/>
        <v>24904</v>
      </c>
      <c r="AQ139" s="118">
        <v>0</v>
      </c>
      <c r="AR139" s="118">
        <f t="shared" si="151"/>
        <v>0</v>
      </c>
      <c r="AS139" s="118">
        <f t="shared" si="225"/>
        <v>0</v>
      </c>
      <c r="AT139" s="118">
        <f t="shared" si="226"/>
        <v>1494</v>
      </c>
      <c r="AU139" s="118">
        <f t="shared" si="227"/>
        <v>1494</v>
      </c>
      <c r="AV139" s="118"/>
      <c r="AW139" s="118">
        <v>0</v>
      </c>
      <c r="AX139" s="118">
        <f t="shared" si="228"/>
        <v>0</v>
      </c>
      <c r="AY139" s="120"/>
      <c r="AZ139" s="120">
        <v>0</v>
      </c>
      <c r="BA139" s="118">
        <f t="shared" si="194"/>
        <v>21916</v>
      </c>
      <c r="BB139" s="131" t="s">
        <v>471</v>
      </c>
      <c r="BC139" s="139" t="s">
        <v>798</v>
      </c>
      <c r="BD139" s="139" t="s">
        <v>799</v>
      </c>
      <c r="BE139" s="102"/>
      <c r="BF139" s="102"/>
      <c r="BG139" s="70" t="s">
        <v>48</v>
      </c>
      <c r="BH139" s="125">
        <v>0</v>
      </c>
      <c r="BI139" s="156"/>
      <c r="BJ139" s="70"/>
    </row>
    <row r="140" spans="1:63" s="13" customFormat="1" x14ac:dyDescent="0.25">
      <c r="A140" s="70">
        <f t="shared" si="175"/>
        <v>138</v>
      </c>
      <c r="B140" s="122">
        <v>2270</v>
      </c>
      <c r="C140" s="134" t="s">
        <v>855</v>
      </c>
      <c r="D140" s="126" t="s">
        <v>856</v>
      </c>
      <c r="E140" s="146" t="s">
        <v>788</v>
      </c>
      <c r="F140" s="114" t="s">
        <v>854</v>
      </c>
      <c r="G140" s="147"/>
      <c r="H140" s="122" t="s">
        <v>43</v>
      </c>
      <c r="I140" s="82">
        <v>45509</v>
      </c>
      <c r="J140" s="137"/>
      <c r="K140" s="82">
        <v>45540</v>
      </c>
      <c r="L140" s="102"/>
      <c r="M140" s="128" t="s">
        <v>44</v>
      </c>
      <c r="N140" s="117" t="s">
        <v>959</v>
      </c>
      <c r="O140" s="114" t="s">
        <v>998</v>
      </c>
      <c r="P140" s="70" t="s">
        <v>412</v>
      </c>
      <c r="Q140" s="70" t="s">
        <v>412</v>
      </c>
      <c r="R140" s="125">
        <v>17686</v>
      </c>
      <c r="S140" s="83">
        <f>+R140*0.12</f>
        <v>2122.3199999999997</v>
      </c>
      <c r="T140" s="116">
        <v>45778</v>
      </c>
      <c r="U140" s="119">
        <f t="shared" ref="U140:U145" si="229">R140+S140</f>
        <v>19808.32</v>
      </c>
      <c r="V140" s="119">
        <v>17929</v>
      </c>
      <c r="W140" s="119">
        <v>10800</v>
      </c>
      <c r="X140" s="125">
        <f>+W140*0.5</f>
        <v>5400</v>
      </c>
      <c r="Y140" s="118">
        <f>+V140-W140-X140</f>
        <v>1729</v>
      </c>
      <c r="Z140" s="118">
        <f>W140+X140+Y140</f>
        <v>17929</v>
      </c>
      <c r="AA140" s="119">
        <v>30</v>
      </c>
      <c r="AB140" s="115">
        <v>12.5</v>
      </c>
      <c r="AC140" s="115">
        <v>2</v>
      </c>
      <c r="AD140" s="115">
        <v>2</v>
      </c>
      <c r="AE140" s="115"/>
      <c r="AF140" s="115">
        <f>AB140+AD140+AE140-AC140</f>
        <v>12.5</v>
      </c>
      <c r="AG140" s="115">
        <f>+AF140+AA140</f>
        <v>42.5</v>
      </c>
      <c r="AH140" s="101">
        <f t="shared" si="216"/>
        <v>30</v>
      </c>
      <c r="AI140" s="118">
        <f>ROUND(U140*AH140/AA140,0)</f>
        <v>19808</v>
      </c>
      <c r="AJ140" s="118">
        <f t="shared" si="147"/>
        <v>17929</v>
      </c>
      <c r="AK140" s="118">
        <f t="shared" si="148"/>
        <v>10800</v>
      </c>
      <c r="AL140" s="118">
        <f t="shared" si="149"/>
        <v>5400</v>
      </c>
      <c r="AM140" s="118">
        <f t="shared" si="214"/>
        <v>1729</v>
      </c>
      <c r="AN140" s="119">
        <f t="shared" si="150"/>
        <v>583</v>
      </c>
      <c r="AO140" s="119">
        <f>ROUND(IF(AK140&lt;15001,AK140*12%,1800),0)</f>
        <v>1296</v>
      </c>
      <c r="AP140" s="118">
        <f t="shared" si="215"/>
        <v>19808</v>
      </c>
      <c r="AQ140" s="118">
        <v>0</v>
      </c>
      <c r="AR140" s="118">
        <f t="shared" si="151"/>
        <v>135</v>
      </c>
      <c r="AS140" s="118">
        <f t="shared" si="225"/>
        <v>583</v>
      </c>
      <c r="AT140" s="118">
        <f t="shared" si="226"/>
        <v>1296</v>
      </c>
      <c r="AU140" s="118">
        <f t="shared" si="227"/>
        <v>1296</v>
      </c>
      <c r="AV140" s="118"/>
      <c r="AW140" s="118">
        <v>0</v>
      </c>
      <c r="AX140" s="118">
        <v>0</v>
      </c>
      <c r="AY140" s="120"/>
      <c r="AZ140" s="120">
        <v>0</v>
      </c>
      <c r="BA140" s="118">
        <f t="shared" si="194"/>
        <v>16498</v>
      </c>
      <c r="BB140" s="31" t="s">
        <v>525</v>
      </c>
      <c r="BC140" s="34" t="s">
        <v>810</v>
      </c>
      <c r="BD140" s="34" t="s">
        <v>811</v>
      </c>
      <c r="BE140" s="102"/>
      <c r="BF140" s="102"/>
      <c r="BG140" s="70" t="s">
        <v>48</v>
      </c>
      <c r="BH140" s="125">
        <v>0</v>
      </c>
      <c r="BI140" s="156"/>
      <c r="BJ140" s="70"/>
    </row>
    <row r="141" spans="1:63" s="13" customFormat="1" x14ac:dyDescent="0.25">
      <c r="A141" s="70">
        <f t="shared" si="175"/>
        <v>139</v>
      </c>
      <c r="B141" s="122">
        <v>2271</v>
      </c>
      <c r="C141" s="108" t="s">
        <v>41</v>
      </c>
      <c r="D141" s="126" t="s">
        <v>857</v>
      </c>
      <c r="E141" s="146" t="s">
        <v>831</v>
      </c>
      <c r="F141" s="114" t="s">
        <v>858</v>
      </c>
      <c r="G141" s="147"/>
      <c r="H141" s="122" t="s">
        <v>43</v>
      </c>
      <c r="I141" s="82">
        <v>45537</v>
      </c>
      <c r="J141" s="137"/>
      <c r="K141" s="82"/>
      <c r="L141" s="102"/>
      <c r="M141" s="128" t="s">
        <v>44</v>
      </c>
      <c r="N141" s="117" t="s">
        <v>959</v>
      </c>
      <c r="O141" s="114" t="s">
        <v>976</v>
      </c>
      <c r="P141" s="70" t="s">
        <v>46</v>
      </c>
      <c r="Q141" s="70" t="s">
        <v>412</v>
      </c>
      <c r="R141" s="125">
        <v>21201</v>
      </c>
      <c r="S141" s="83">
        <f>+R141*0.1</f>
        <v>2120.1</v>
      </c>
      <c r="T141" s="116">
        <v>45778</v>
      </c>
      <c r="U141" s="119">
        <f t="shared" si="229"/>
        <v>23321.1</v>
      </c>
      <c r="V141" s="119">
        <v>21922</v>
      </c>
      <c r="W141" s="119">
        <f>+U141*0.5</f>
        <v>11660.55</v>
      </c>
      <c r="X141" s="125">
        <f t="shared" ref="X141:X148" si="230">+W141*0.5</f>
        <v>5830.2749999999996</v>
      </c>
      <c r="Y141" s="118">
        <f t="shared" ref="Y141:Y148" si="231">+V141-W141-X141</f>
        <v>4431.1750000000011</v>
      </c>
      <c r="Z141" s="118">
        <f t="shared" ref="Z141:Z148" si="232">W141+X141+Y141</f>
        <v>21922</v>
      </c>
      <c r="AA141" s="119">
        <v>30</v>
      </c>
      <c r="AB141" s="115">
        <v>14</v>
      </c>
      <c r="AC141" s="115">
        <v>7</v>
      </c>
      <c r="AD141" s="115">
        <v>2</v>
      </c>
      <c r="AE141" s="115"/>
      <c r="AF141" s="115">
        <f t="shared" ref="AF141:AF148" si="233">AB141+AD141+AE141-AC141</f>
        <v>9</v>
      </c>
      <c r="AG141" s="115">
        <f t="shared" ref="AG141:AG148" si="234">+AF141+AA141</f>
        <v>39</v>
      </c>
      <c r="AH141" s="101">
        <f t="shared" si="216"/>
        <v>30</v>
      </c>
      <c r="AI141" s="118">
        <f t="shared" ref="AI141:AI148" si="235">ROUND(U141*AH141/AA141,0)</f>
        <v>23321</v>
      </c>
      <c r="AJ141" s="118">
        <f t="shared" si="147"/>
        <v>21922</v>
      </c>
      <c r="AK141" s="118">
        <f t="shared" si="148"/>
        <v>11661</v>
      </c>
      <c r="AL141" s="118">
        <f t="shared" si="149"/>
        <v>5830</v>
      </c>
      <c r="AM141" s="118">
        <f t="shared" si="214"/>
        <v>4431</v>
      </c>
      <c r="AN141" s="119">
        <f t="shared" si="150"/>
        <v>0</v>
      </c>
      <c r="AO141" s="119">
        <f t="shared" ref="AO141:AO148" si="236">ROUND(IF(AK141&lt;15001,AK141*12%,1800),0)</f>
        <v>1399</v>
      </c>
      <c r="AP141" s="118">
        <f t="shared" si="215"/>
        <v>23321</v>
      </c>
      <c r="AQ141" s="118">
        <v>0</v>
      </c>
      <c r="AR141" s="118">
        <f t="shared" si="151"/>
        <v>0</v>
      </c>
      <c r="AS141" s="118">
        <f t="shared" si="225"/>
        <v>0</v>
      </c>
      <c r="AT141" s="118">
        <f t="shared" si="226"/>
        <v>1399</v>
      </c>
      <c r="AU141" s="118">
        <f t="shared" si="227"/>
        <v>1399</v>
      </c>
      <c r="AV141" s="118"/>
      <c r="AW141" s="118">
        <v>0</v>
      </c>
      <c r="AX141" s="118">
        <v>0</v>
      </c>
      <c r="AY141" s="120"/>
      <c r="AZ141" s="120">
        <v>0</v>
      </c>
      <c r="BA141" s="118">
        <f t="shared" si="194"/>
        <v>20523</v>
      </c>
      <c r="BB141" s="131" t="s">
        <v>393</v>
      </c>
      <c r="BC141" s="139" t="s">
        <v>106</v>
      </c>
      <c r="BD141" s="139" t="s">
        <v>872</v>
      </c>
      <c r="BE141" s="102"/>
      <c r="BF141" s="102"/>
      <c r="BG141" s="70" t="s">
        <v>48</v>
      </c>
      <c r="BH141" s="125">
        <v>0</v>
      </c>
      <c r="BI141" s="156"/>
      <c r="BJ141" s="70"/>
    </row>
    <row r="142" spans="1:63" s="13" customFormat="1" x14ac:dyDescent="0.25">
      <c r="A142" s="70">
        <f t="shared" si="175"/>
        <v>140</v>
      </c>
      <c r="B142" s="122">
        <v>2274</v>
      </c>
      <c r="C142" s="108" t="s">
        <v>41</v>
      </c>
      <c r="D142" s="126" t="s">
        <v>41</v>
      </c>
      <c r="E142" s="146" t="s">
        <v>833</v>
      </c>
      <c r="F142" s="114" t="s">
        <v>971</v>
      </c>
      <c r="G142" s="147"/>
      <c r="H142" s="122" t="s">
        <v>43</v>
      </c>
      <c r="I142" s="82">
        <v>45537</v>
      </c>
      <c r="J142" s="137"/>
      <c r="K142" s="82"/>
      <c r="L142" s="102"/>
      <c r="M142" s="128" t="s">
        <v>44</v>
      </c>
      <c r="N142" s="117" t="s">
        <v>834</v>
      </c>
      <c r="O142" s="114" t="s">
        <v>45</v>
      </c>
      <c r="P142" s="70" t="s">
        <v>46</v>
      </c>
      <c r="Q142" s="70" t="s">
        <v>292</v>
      </c>
      <c r="R142" s="125">
        <v>243990</v>
      </c>
      <c r="S142" s="83"/>
      <c r="T142" s="116"/>
      <c r="U142" s="119">
        <f t="shared" si="229"/>
        <v>243990</v>
      </c>
      <c r="V142" s="119">
        <v>242190</v>
      </c>
      <c r="W142" s="119">
        <v>125000</v>
      </c>
      <c r="X142" s="125">
        <f t="shared" si="230"/>
        <v>62500</v>
      </c>
      <c r="Y142" s="118">
        <f t="shared" si="231"/>
        <v>54690</v>
      </c>
      <c r="Z142" s="118">
        <f t="shared" si="232"/>
        <v>242190</v>
      </c>
      <c r="AA142" s="119">
        <v>30</v>
      </c>
      <c r="AB142" s="115">
        <v>19.5</v>
      </c>
      <c r="AC142" s="115">
        <v>0</v>
      </c>
      <c r="AD142" s="115">
        <v>1</v>
      </c>
      <c r="AE142" s="115"/>
      <c r="AF142" s="115">
        <f t="shared" si="233"/>
        <v>20.5</v>
      </c>
      <c r="AG142" s="115">
        <f t="shared" si="234"/>
        <v>50.5</v>
      </c>
      <c r="AH142" s="101">
        <f t="shared" si="216"/>
        <v>30</v>
      </c>
      <c r="AI142" s="118">
        <f t="shared" si="235"/>
        <v>243990</v>
      </c>
      <c r="AJ142" s="118">
        <f t="shared" si="147"/>
        <v>242190</v>
      </c>
      <c r="AK142" s="118">
        <f t="shared" si="148"/>
        <v>125000</v>
      </c>
      <c r="AL142" s="118">
        <f t="shared" si="149"/>
        <v>62500</v>
      </c>
      <c r="AM142" s="118">
        <f t="shared" si="214"/>
        <v>54690</v>
      </c>
      <c r="AN142" s="119">
        <f t="shared" si="150"/>
        <v>0</v>
      </c>
      <c r="AO142" s="119">
        <v>0</v>
      </c>
      <c r="AP142" s="118">
        <f t="shared" si="215"/>
        <v>242190</v>
      </c>
      <c r="AQ142" s="118">
        <v>30000</v>
      </c>
      <c r="AR142" s="118">
        <f t="shared" si="151"/>
        <v>0</v>
      </c>
      <c r="AS142" s="118">
        <f t="shared" ref="AS142:AS164" si="237">AN142</f>
        <v>0</v>
      </c>
      <c r="AT142" s="118">
        <v>0</v>
      </c>
      <c r="AU142" s="118">
        <v>0</v>
      </c>
      <c r="AV142" s="118"/>
      <c r="AW142" s="118">
        <v>0</v>
      </c>
      <c r="AX142" s="118">
        <v>0</v>
      </c>
      <c r="AY142" s="120"/>
      <c r="AZ142" s="120">
        <v>0</v>
      </c>
      <c r="BA142" s="118">
        <f t="shared" si="194"/>
        <v>212190</v>
      </c>
      <c r="BB142" s="131" t="s">
        <v>394</v>
      </c>
      <c r="BC142" s="139" t="s">
        <v>286</v>
      </c>
      <c r="BD142" s="139" t="s">
        <v>881</v>
      </c>
      <c r="BE142" s="102"/>
      <c r="BF142" s="102"/>
      <c r="BG142" s="70" t="s">
        <v>48</v>
      </c>
      <c r="BH142" s="125">
        <v>0</v>
      </c>
      <c r="BI142" s="156"/>
      <c r="BJ142" s="70"/>
      <c r="BK142" s="13" t="s">
        <v>1538</v>
      </c>
    </row>
    <row r="143" spans="1:63" s="13" customFormat="1" x14ac:dyDescent="0.25">
      <c r="A143" s="70">
        <f t="shared" si="175"/>
        <v>141</v>
      </c>
      <c r="B143" s="122">
        <v>2277</v>
      </c>
      <c r="C143" s="134" t="s">
        <v>859</v>
      </c>
      <c r="D143" s="126" t="s">
        <v>863</v>
      </c>
      <c r="E143" s="146" t="s">
        <v>835</v>
      </c>
      <c r="F143" s="114" t="s">
        <v>869</v>
      </c>
      <c r="G143" s="147"/>
      <c r="H143" s="122" t="s">
        <v>43</v>
      </c>
      <c r="I143" s="82">
        <v>45540</v>
      </c>
      <c r="J143" s="137"/>
      <c r="K143" s="82"/>
      <c r="L143" s="102"/>
      <c r="M143" s="128" t="s">
        <v>44</v>
      </c>
      <c r="N143" s="117" t="s">
        <v>959</v>
      </c>
      <c r="O143" s="114" t="s">
        <v>975</v>
      </c>
      <c r="P143" s="70" t="s">
        <v>412</v>
      </c>
      <c r="Q143" s="70" t="s">
        <v>412</v>
      </c>
      <c r="R143" s="125">
        <v>15336</v>
      </c>
      <c r="S143" s="83">
        <f>+R143*0.17</f>
        <v>2607.1200000000003</v>
      </c>
      <c r="T143" s="116">
        <v>45778</v>
      </c>
      <c r="U143" s="119">
        <f t="shared" si="229"/>
        <v>17943.12</v>
      </c>
      <c r="V143" s="119">
        <v>16123</v>
      </c>
      <c r="W143" s="119">
        <v>10800</v>
      </c>
      <c r="X143" s="125">
        <f>+V143-W143</f>
        <v>5323</v>
      </c>
      <c r="Y143" s="118">
        <f t="shared" si="231"/>
        <v>0</v>
      </c>
      <c r="Z143" s="118">
        <f t="shared" si="232"/>
        <v>16123</v>
      </c>
      <c r="AA143" s="119">
        <v>30</v>
      </c>
      <c r="AB143" s="115">
        <v>1</v>
      </c>
      <c r="AC143" s="115">
        <v>4</v>
      </c>
      <c r="AD143" s="115">
        <v>1</v>
      </c>
      <c r="AE143" s="115"/>
      <c r="AF143" s="115">
        <f t="shared" si="233"/>
        <v>-2</v>
      </c>
      <c r="AG143" s="115">
        <f t="shared" si="234"/>
        <v>28</v>
      </c>
      <c r="AH143" s="101">
        <f t="shared" si="216"/>
        <v>28</v>
      </c>
      <c r="AI143" s="118">
        <f t="shared" si="235"/>
        <v>16747</v>
      </c>
      <c r="AJ143" s="118">
        <f t="shared" si="147"/>
        <v>15048</v>
      </c>
      <c r="AK143" s="118">
        <f t="shared" si="148"/>
        <v>10080</v>
      </c>
      <c r="AL143" s="118">
        <f t="shared" si="149"/>
        <v>4968</v>
      </c>
      <c r="AM143" s="118">
        <f t="shared" si="214"/>
        <v>0</v>
      </c>
      <c r="AN143" s="119">
        <f t="shared" si="150"/>
        <v>490</v>
      </c>
      <c r="AO143" s="119">
        <f t="shared" si="236"/>
        <v>1210</v>
      </c>
      <c r="AP143" s="118">
        <f t="shared" si="215"/>
        <v>16748</v>
      </c>
      <c r="AQ143" s="118">
        <v>0</v>
      </c>
      <c r="AR143" s="118">
        <f t="shared" si="151"/>
        <v>113</v>
      </c>
      <c r="AS143" s="118">
        <f t="shared" si="237"/>
        <v>490</v>
      </c>
      <c r="AT143" s="118">
        <f t="shared" ref="AT143:AT165" si="238">AO143</f>
        <v>1210</v>
      </c>
      <c r="AU143" s="118">
        <f t="shared" ref="AU143:AU165" si="239">AO143</f>
        <v>1210</v>
      </c>
      <c r="AV143" s="118"/>
      <c r="AW143" s="118">
        <v>0</v>
      </c>
      <c r="AX143" s="118">
        <f t="shared" ref="AX143:AX148" si="240">+AV143-AW143</f>
        <v>0</v>
      </c>
      <c r="AY143" s="120"/>
      <c r="AZ143" s="120">
        <v>1000</v>
      </c>
      <c r="BA143" s="118">
        <f t="shared" si="194"/>
        <v>12725</v>
      </c>
      <c r="BB143" s="131" t="s">
        <v>690</v>
      </c>
      <c r="BC143" s="139" t="s">
        <v>876</v>
      </c>
      <c r="BD143" s="139" t="s">
        <v>877</v>
      </c>
      <c r="BE143" s="102"/>
      <c r="BF143" s="102"/>
      <c r="BG143" s="70" t="s">
        <v>48</v>
      </c>
      <c r="BH143" s="125"/>
      <c r="BI143" s="156"/>
      <c r="BJ143" s="70"/>
    </row>
    <row r="144" spans="1:63" s="13" customFormat="1" x14ac:dyDescent="0.25">
      <c r="A144" s="70">
        <f t="shared" si="175"/>
        <v>142</v>
      </c>
      <c r="B144" s="122">
        <v>2279</v>
      </c>
      <c r="C144" s="134" t="s">
        <v>41</v>
      </c>
      <c r="D144" s="126" t="s">
        <v>864</v>
      </c>
      <c r="E144" s="146" t="s">
        <v>836</v>
      </c>
      <c r="F144" s="114" t="s">
        <v>841</v>
      </c>
      <c r="G144" s="147"/>
      <c r="H144" s="122" t="s">
        <v>43</v>
      </c>
      <c r="I144" s="82">
        <v>45544</v>
      </c>
      <c r="J144" s="137"/>
      <c r="K144" s="82"/>
      <c r="L144" s="102"/>
      <c r="M144" s="128" t="s">
        <v>44</v>
      </c>
      <c r="N144" s="117" t="s">
        <v>967</v>
      </c>
      <c r="O144" s="114" t="s">
        <v>1112</v>
      </c>
      <c r="P144" s="70" t="s">
        <v>46</v>
      </c>
      <c r="Q144" s="70" t="s">
        <v>412</v>
      </c>
      <c r="R144" s="125">
        <v>26984</v>
      </c>
      <c r="S144" s="83">
        <f>+R144*0.05</f>
        <v>1349.2</v>
      </c>
      <c r="T144" s="116">
        <v>45962</v>
      </c>
      <c r="U144" s="119">
        <f t="shared" si="229"/>
        <v>28333.200000000001</v>
      </c>
      <c r="V144" s="119">
        <v>26633</v>
      </c>
      <c r="W144" s="119">
        <f>+U144*0.5</f>
        <v>14166.6</v>
      </c>
      <c r="X144" s="125">
        <f t="shared" si="230"/>
        <v>7083.3</v>
      </c>
      <c r="Y144" s="118">
        <f t="shared" si="231"/>
        <v>5383.0999999999995</v>
      </c>
      <c r="Z144" s="118">
        <f t="shared" si="232"/>
        <v>26633</v>
      </c>
      <c r="AA144" s="119">
        <v>30</v>
      </c>
      <c r="AB144" s="115">
        <v>9.5</v>
      </c>
      <c r="AC144" s="115">
        <v>0</v>
      </c>
      <c r="AD144" s="115">
        <v>1</v>
      </c>
      <c r="AE144" s="115"/>
      <c r="AF144" s="115">
        <f t="shared" si="233"/>
        <v>10.5</v>
      </c>
      <c r="AG144" s="115">
        <f t="shared" si="234"/>
        <v>40.5</v>
      </c>
      <c r="AH144" s="101">
        <f t="shared" si="216"/>
        <v>30</v>
      </c>
      <c r="AI144" s="118">
        <f t="shared" si="235"/>
        <v>28333</v>
      </c>
      <c r="AJ144" s="118">
        <f t="shared" si="147"/>
        <v>26633</v>
      </c>
      <c r="AK144" s="118">
        <f t="shared" si="148"/>
        <v>14167</v>
      </c>
      <c r="AL144" s="118">
        <f t="shared" si="149"/>
        <v>7083</v>
      </c>
      <c r="AM144" s="118">
        <f t="shared" si="214"/>
        <v>5383</v>
      </c>
      <c r="AN144" s="119">
        <f t="shared" si="150"/>
        <v>0</v>
      </c>
      <c r="AO144" s="119">
        <f t="shared" si="236"/>
        <v>1700</v>
      </c>
      <c r="AP144" s="118">
        <f t="shared" si="215"/>
        <v>28333</v>
      </c>
      <c r="AQ144" s="118">
        <v>0</v>
      </c>
      <c r="AR144" s="118">
        <f t="shared" si="151"/>
        <v>0</v>
      </c>
      <c r="AS144" s="118">
        <f t="shared" si="237"/>
        <v>0</v>
      </c>
      <c r="AT144" s="118">
        <f t="shared" si="238"/>
        <v>1700</v>
      </c>
      <c r="AU144" s="118">
        <f t="shared" si="239"/>
        <v>1700</v>
      </c>
      <c r="AV144" s="118"/>
      <c r="AW144" s="118">
        <v>0</v>
      </c>
      <c r="AX144" s="118">
        <f t="shared" si="240"/>
        <v>0</v>
      </c>
      <c r="AY144" s="120"/>
      <c r="AZ144" s="120">
        <v>0</v>
      </c>
      <c r="BA144" s="118">
        <f t="shared" si="194"/>
        <v>24933</v>
      </c>
      <c r="BB144" s="131" t="s">
        <v>543</v>
      </c>
      <c r="BC144" s="139" t="s">
        <v>852</v>
      </c>
      <c r="BD144" s="139" t="s">
        <v>853</v>
      </c>
      <c r="BE144" s="102"/>
      <c r="BF144" s="102"/>
      <c r="BG144" s="70" t="s">
        <v>48</v>
      </c>
      <c r="BH144" s="125">
        <v>0</v>
      </c>
      <c r="BI144" s="156"/>
      <c r="BJ144" s="70"/>
    </row>
    <row r="145" spans="1:62" s="13" customFormat="1" x14ac:dyDescent="0.25">
      <c r="A145" s="70">
        <f t="shared" si="175"/>
        <v>143</v>
      </c>
      <c r="B145" s="122">
        <v>2283</v>
      </c>
      <c r="C145" s="134" t="s">
        <v>41</v>
      </c>
      <c r="D145" s="126" t="s">
        <v>865</v>
      </c>
      <c r="E145" s="146" t="s">
        <v>838</v>
      </c>
      <c r="F145" s="114" t="s">
        <v>845</v>
      </c>
      <c r="G145" s="147"/>
      <c r="H145" s="122" t="s">
        <v>43</v>
      </c>
      <c r="I145" s="82">
        <v>45551</v>
      </c>
      <c r="J145" s="137"/>
      <c r="K145" s="82"/>
      <c r="L145" s="102"/>
      <c r="M145" s="128" t="s">
        <v>44</v>
      </c>
      <c r="N145" s="117" t="s">
        <v>959</v>
      </c>
      <c r="O145" s="114" t="s">
        <v>307</v>
      </c>
      <c r="P145" s="70" t="s">
        <v>46</v>
      </c>
      <c r="Q145" s="70" t="s">
        <v>412</v>
      </c>
      <c r="R145" s="125">
        <v>23439</v>
      </c>
      <c r="S145" s="83">
        <f>+R145*0.12</f>
        <v>2812.68</v>
      </c>
      <c r="T145" s="116" t="s">
        <v>1533</v>
      </c>
      <c r="U145" s="119">
        <f t="shared" si="229"/>
        <v>26251.68</v>
      </c>
      <c r="V145" s="119">
        <v>24677</v>
      </c>
      <c r="W145" s="119">
        <f>+U145*0.5</f>
        <v>13125.84</v>
      </c>
      <c r="X145" s="125">
        <f t="shared" si="230"/>
        <v>6562.92</v>
      </c>
      <c r="Y145" s="118">
        <f t="shared" si="231"/>
        <v>4988.24</v>
      </c>
      <c r="Z145" s="118">
        <f t="shared" si="232"/>
        <v>24677</v>
      </c>
      <c r="AA145" s="119">
        <v>30</v>
      </c>
      <c r="AB145" s="115">
        <v>3</v>
      </c>
      <c r="AC145" s="115">
        <v>3</v>
      </c>
      <c r="AD145" s="115">
        <v>1</v>
      </c>
      <c r="AE145" s="115"/>
      <c r="AF145" s="115">
        <f t="shared" si="233"/>
        <v>1</v>
      </c>
      <c r="AG145" s="115">
        <f t="shared" si="234"/>
        <v>31</v>
      </c>
      <c r="AH145" s="101">
        <f t="shared" si="216"/>
        <v>30</v>
      </c>
      <c r="AI145" s="118">
        <f t="shared" si="235"/>
        <v>26252</v>
      </c>
      <c r="AJ145" s="118">
        <f t="shared" si="147"/>
        <v>24677</v>
      </c>
      <c r="AK145" s="118">
        <f t="shared" si="148"/>
        <v>13126</v>
      </c>
      <c r="AL145" s="118">
        <f t="shared" si="149"/>
        <v>6563</v>
      </c>
      <c r="AM145" s="118">
        <f t="shared" si="214"/>
        <v>4988</v>
      </c>
      <c r="AN145" s="119">
        <f t="shared" si="150"/>
        <v>0</v>
      </c>
      <c r="AO145" s="119">
        <f t="shared" si="236"/>
        <v>1575</v>
      </c>
      <c r="AP145" s="118">
        <f t="shared" si="215"/>
        <v>26252</v>
      </c>
      <c r="AQ145" s="118">
        <v>0</v>
      </c>
      <c r="AR145" s="118">
        <f t="shared" si="151"/>
        <v>0</v>
      </c>
      <c r="AS145" s="118">
        <f t="shared" si="237"/>
        <v>0</v>
      </c>
      <c r="AT145" s="118">
        <f t="shared" si="238"/>
        <v>1575</v>
      </c>
      <c r="AU145" s="118">
        <f t="shared" si="239"/>
        <v>1575</v>
      </c>
      <c r="AV145" s="118"/>
      <c r="AW145" s="118">
        <v>0</v>
      </c>
      <c r="AX145" s="118">
        <f t="shared" si="240"/>
        <v>0</v>
      </c>
      <c r="AY145" s="120"/>
      <c r="AZ145" s="120">
        <v>1000</v>
      </c>
      <c r="BA145" s="118">
        <f t="shared" si="194"/>
        <v>22102</v>
      </c>
      <c r="BB145" s="131" t="s">
        <v>525</v>
      </c>
      <c r="BC145" s="139" t="s">
        <v>846</v>
      </c>
      <c r="BD145" s="139" t="s">
        <v>847</v>
      </c>
      <c r="BE145" s="102"/>
      <c r="BF145" s="102"/>
      <c r="BG145" s="70" t="s">
        <v>48</v>
      </c>
      <c r="BH145" s="125">
        <v>0</v>
      </c>
      <c r="BI145" s="156"/>
      <c r="BJ145" s="70"/>
    </row>
    <row r="146" spans="1:62" s="196" customFormat="1" x14ac:dyDescent="0.25">
      <c r="A146" s="197">
        <f t="shared" si="175"/>
        <v>144</v>
      </c>
      <c r="B146" s="198">
        <v>2284</v>
      </c>
      <c r="C146" s="218" t="s">
        <v>860</v>
      </c>
      <c r="D146" s="217" t="s">
        <v>866</v>
      </c>
      <c r="E146" s="215" t="s">
        <v>849</v>
      </c>
      <c r="F146" s="201" t="s">
        <v>850</v>
      </c>
      <c r="G146" s="216"/>
      <c r="H146" s="198" t="s">
        <v>43</v>
      </c>
      <c r="I146" s="182">
        <v>45483</v>
      </c>
      <c r="J146" s="137"/>
      <c r="K146" s="182">
        <v>45545</v>
      </c>
      <c r="L146" s="102"/>
      <c r="M146" s="204" t="s">
        <v>44</v>
      </c>
      <c r="N146" s="205" t="s">
        <v>959</v>
      </c>
      <c r="O146" s="201" t="s">
        <v>975</v>
      </c>
      <c r="P146" s="197" t="s">
        <v>412</v>
      </c>
      <c r="Q146" s="197" t="s">
        <v>412</v>
      </c>
      <c r="R146" s="206">
        <v>14447</v>
      </c>
      <c r="S146" s="207"/>
      <c r="T146" s="208"/>
      <c r="U146" s="209">
        <f t="shared" ref="U146:U148" si="241">R146+S146</f>
        <v>14447</v>
      </c>
      <c r="V146" s="209">
        <v>13058</v>
      </c>
      <c r="W146" s="209">
        <v>8000</v>
      </c>
      <c r="X146" s="206">
        <v>4000</v>
      </c>
      <c r="Y146" s="210">
        <f>+V146-W146-X146</f>
        <v>1058</v>
      </c>
      <c r="Z146" s="210">
        <f t="shared" si="232"/>
        <v>13058</v>
      </c>
      <c r="AA146" s="209">
        <v>30</v>
      </c>
      <c r="AB146" s="202"/>
      <c r="AC146" s="202">
        <v>15</v>
      </c>
      <c r="AD146" s="202">
        <v>0</v>
      </c>
      <c r="AE146" s="202"/>
      <c r="AF146" s="202">
        <f t="shared" si="233"/>
        <v>-15</v>
      </c>
      <c r="AG146" s="202">
        <f t="shared" si="234"/>
        <v>15</v>
      </c>
      <c r="AH146" s="211">
        <f t="shared" si="216"/>
        <v>15</v>
      </c>
      <c r="AI146" s="210">
        <f t="shared" si="235"/>
        <v>7224</v>
      </c>
      <c r="AJ146" s="210">
        <f t="shared" si="147"/>
        <v>6529</v>
      </c>
      <c r="AK146" s="210">
        <f t="shared" si="148"/>
        <v>4000</v>
      </c>
      <c r="AL146" s="210">
        <f t="shared" si="149"/>
        <v>2000</v>
      </c>
      <c r="AM146" s="210">
        <f t="shared" si="214"/>
        <v>529</v>
      </c>
      <c r="AN146" s="209">
        <f t="shared" si="150"/>
        <v>213</v>
      </c>
      <c r="AO146" s="209">
        <f t="shared" si="236"/>
        <v>480</v>
      </c>
      <c r="AP146" s="210">
        <f t="shared" si="215"/>
        <v>7222</v>
      </c>
      <c r="AQ146" s="210">
        <v>0</v>
      </c>
      <c r="AR146" s="210">
        <f t="shared" si="151"/>
        <v>49</v>
      </c>
      <c r="AS146" s="210">
        <f t="shared" si="237"/>
        <v>213</v>
      </c>
      <c r="AT146" s="210">
        <f t="shared" si="238"/>
        <v>480</v>
      </c>
      <c r="AU146" s="210">
        <f t="shared" si="239"/>
        <v>480</v>
      </c>
      <c r="AV146" s="210"/>
      <c r="AW146" s="210">
        <v>0</v>
      </c>
      <c r="AX146" s="210">
        <f t="shared" si="240"/>
        <v>0</v>
      </c>
      <c r="AY146" s="212"/>
      <c r="AZ146" s="212">
        <v>0</v>
      </c>
      <c r="BA146" s="210">
        <f t="shared" si="194"/>
        <v>6000</v>
      </c>
      <c r="BB146" s="219" t="s">
        <v>424</v>
      </c>
      <c r="BC146" s="220" t="s">
        <v>760</v>
      </c>
      <c r="BD146" s="220" t="s">
        <v>761</v>
      </c>
      <c r="BE146" s="214"/>
      <c r="BF146" s="102"/>
      <c r="BG146" s="197" t="s">
        <v>1480</v>
      </c>
      <c r="BH146" s="206" t="s">
        <v>1484</v>
      </c>
      <c r="BI146" s="156"/>
      <c r="BJ146" s="70"/>
    </row>
    <row r="147" spans="1:62" s="13" customFormat="1" x14ac:dyDescent="0.25">
      <c r="A147" s="70">
        <f t="shared" si="175"/>
        <v>145</v>
      </c>
      <c r="B147" s="122">
        <v>2285</v>
      </c>
      <c r="C147" s="134" t="s">
        <v>861</v>
      </c>
      <c r="D147" s="126" t="s">
        <v>867</v>
      </c>
      <c r="E147" s="146" t="s">
        <v>839</v>
      </c>
      <c r="F147" s="114" t="s">
        <v>870</v>
      </c>
      <c r="G147" s="147"/>
      <c r="H147" s="122" t="s">
        <v>43</v>
      </c>
      <c r="I147" s="82">
        <v>45554</v>
      </c>
      <c r="J147" s="137"/>
      <c r="K147" s="82"/>
      <c r="L147" s="102"/>
      <c r="M147" s="128" t="s">
        <v>44</v>
      </c>
      <c r="N147" s="117" t="s">
        <v>959</v>
      </c>
      <c r="O147" s="114" t="s">
        <v>975</v>
      </c>
      <c r="P147" s="70" t="s">
        <v>412</v>
      </c>
      <c r="Q147" s="70" t="s">
        <v>412</v>
      </c>
      <c r="R147" s="125">
        <v>16987</v>
      </c>
      <c r="S147" s="83">
        <f>+R147*0.15</f>
        <v>2548.0499999999997</v>
      </c>
      <c r="T147" s="116">
        <v>45778</v>
      </c>
      <c r="U147" s="119">
        <f t="shared" si="241"/>
        <v>19535.05</v>
      </c>
      <c r="V147" s="119">
        <v>17665</v>
      </c>
      <c r="W147" s="119">
        <v>10800</v>
      </c>
      <c r="X147" s="125">
        <f t="shared" si="230"/>
        <v>5400</v>
      </c>
      <c r="Y147" s="118">
        <f t="shared" si="231"/>
        <v>1465</v>
      </c>
      <c r="Z147" s="118">
        <f t="shared" si="232"/>
        <v>17665</v>
      </c>
      <c r="AA147" s="119">
        <v>30</v>
      </c>
      <c r="AB147" s="115">
        <v>0</v>
      </c>
      <c r="AC147" s="115">
        <v>7</v>
      </c>
      <c r="AD147" s="115">
        <v>1</v>
      </c>
      <c r="AE147" s="115"/>
      <c r="AF147" s="115">
        <f t="shared" si="233"/>
        <v>-6</v>
      </c>
      <c r="AG147" s="115">
        <f t="shared" si="234"/>
        <v>24</v>
      </c>
      <c r="AH147" s="101">
        <f t="shared" si="216"/>
        <v>24</v>
      </c>
      <c r="AI147" s="118">
        <f t="shared" si="235"/>
        <v>15628</v>
      </c>
      <c r="AJ147" s="118">
        <f t="shared" si="147"/>
        <v>14132</v>
      </c>
      <c r="AK147" s="118">
        <f t="shared" si="148"/>
        <v>8640</v>
      </c>
      <c r="AL147" s="118">
        <f t="shared" si="149"/>
        <v>4320</v>
      </c>
      <c r="AM147" s="118">
        <f t="shared" si="214"/>
        <v>1172</v>
      </c>
      <c r="AN147" s="119">
        <f t="shared" si="150"/>
        <v>460</v>
      </c>
      <c r="AO147" s="119">
        <f t="shared" si="236"/>
        <v>1037</v>
      </c>
      <c r="AP147" s="118">
        <f t="shared" si="215"/>
        <v>15629</v>
      </c>
      <c r="AQ147" s="118">
        <v>0</v>
      </c>
      <c r="AR147" s="118">
        <f t="shared" si="151"/>
        <v>106</v>
      </c>
      <c r="AS147" s="118">
        <f t="shared" si="237"/>
        <v>460</v>
      </c>
      <c r="AT147" s="118">
        <f t="shared" si="238"/>
        <v>1037</v>
      </c>
      <c r="AU147" s="118">
        <f t="shared" si="239"/>
        <v>1037</v>
      </c>
      <c r="AV147" s="118"/>
      <c r="AW147" s="118">
        <v>0</v>
      </c>
      <c r="AX147" s="118">
        <f t="shared" si="240"/>
        <v>0</v>
      </c>
      <c r="AY147" s="120">
        <v>1000</v>
      </c>
      <c r="AZ147" s="120">
        <v>0</v>
      </c>
      <c r="BA147" s="118">
        <f t="shared" si="194"/>
        <v>13989</v>
      </c>
      <c r="BB147" s="131" t="s">
        <v>532</v>
      </c>
      <c r="BC147" s="139" t="s">
        <v>874</v>
      </c>
      <c r="BD147" s="139" t="s">
        <v>875</v>
      </c>
      <c r="BE147" s="102"/>
      <c r="BF147" s="102"/>
      <c r="BG147" s="70" t="s">
        <v>48</v>
      </c>
      <c r="BH147" s="125" t="s">
        <v>1488</v>
      </c>
      <c r="BI147" s="156"/>
      <c r="BJ147" s="70"/>
    </row>
    <row r="148" spans="1:62" s="13" customFormat="1" x14ac:dyDescent="0.25">
      <c r="A148" s="70">
        <f t="shared" si="175"/>
        <v>146</v>
      </c>
      <c r="B148" s="122">
        <v>2288</v>
      </c>
      <c r="C148" s="134" t="s">
        <v>862</v>
      </c>
      <c r="D148" s="126" t="s">
        <v>868</v>
      </c>
      <c r="E148" s="146" t="s">
        <v>840</v>
      </c>
      <c r="F148" s="114" t="s">
        <v>844</v>
      </c>
      <c r="G148" s="147"/>
      <c r="H148" s="122" t="s">
        <v>43</v>
      </c>
      <c r="I148" s="82">
        <v>45560</v>
      </c>
      <c r="J148" s="137"/>
      <c r="K148" s="82"/>
      <c r="L148" s="102"/>
      <c r="M148" s="128" t="s">
        <v>44</v>
      </c>
      <c r="N148" s="117" t="s">
        <v>959</v>
      </c>
      <c r="O148" s="114" t="s">
        <v>976</v>
      </c>
      <c r="P148" s="70" t="s">
        <v>412</v>
      </c>
      <c r="Q148" s="70" t="s">
        <v>412</v>
      </c>
      <c r="R148" s="125">
        <v>21201</v>
      </c>
      <c r="S148" s="83"/>
      <c r="T148" s="116"/>
      <c r="U148" s="119">
        <f t="shared" si="241"/>
        <v>21201</v>
      </c>
      <c r="V148" s="119">
        <v>19359</v>
      </c>
      <c r="W148" s="119">
        <v>10110</v>
      </c>
      <c r="X148" s="125">
        <f t="shared" si="230"/>
        <v>5055</v>
      </c>
      <c r="Y148" s="118">
        <f t="shared" si="231"/>
        <v>4194</v>
      </c>
      <c r="Z148" s="118">
        <f t="shared" si="232"/>
        <v>19359</v>
      </c>
      <c r="AA148" s="119">
        <v>30</v>
      </c>
      <c r="AB148" s="115">
        <v>5</v>
      </c>
      <c r="AC148" s="115">
        <v>1</v>
      </c>
      <c r="AD148" s="115">
        <v>1</v>
      </c>
      <c r="AE148" s="115"/>
      <c r="AF148" s="115">
        <f t="shared" si="233"/>
        <v>5</v>
      </c>
      <c r="AG148" s="115">
        <f t="shared" si="234"/>
        <v>35</v>
      </c>
      <c r="AH148" s="101">
        <f t="shared" si="216"/>
        <v>30</v>
      </c>
      <c r="AI148" s="118">
        <f t="shared" si="235"/>
        <v>21201</v>
      </c>
      <c r="AJ148" s="118">
        <f t="shared" si="147"/>
        <v>19359</v>
      </c>
      <c r="AK148" s="118">
        <f t="shared" si="148"/>
        <v>10110</v>
      </c>
      <c r="AL148" s="118">
        <f t="shared" si="149"/>
        <v>5055</v>
      </c>
      <c r="AM148" s="118">
        <f t="shared" si="214"/>
        <v>4194</v>
      </c>
      <c r="AN148" s="119">
        <f t="shared" si="150"/>
        <v>630</v>
      </c>
      <c r="AO148" s="119">
        <f t="shared" si="236"/>
        <v>1213</v>
      </c>
      <c r="AP148" s="118">
        <f t="shared" si="215"/>
        <v>21202</v>
      </c>
      <c r="AQ148" s="118">
        <v>0</v>
      </c>
      <c r="AR148" s="118">
        <f t="shared" si="151"/>
        <v>146</v>
      </c>
      <c r="AS148" s="118">
        <f t="shared" si="237"/>
        <v>630</v>
      </c>
      <c r="AT148" s="118">
        <f t="shared" si="238"/>
        <v>1213</v>
      </c>
      <c r="AU148" s="118">
        <f t="shared" si="239"/>
        <v>1213</v>
      </c>
      <c r="AV148" s="118"/>
      <c r="AW148" s="118">
        <v>0</v>
      </c>
      <c r="AX148" s="118">
        <f t="shared" si="240"/>
        <v>0</v>
      </c>
      <c r="AY148" s="120"/>
      <c r="AZ148" s="120">
        <v>0</v>
      </c>
      <c r="BA148" s="118">
        <f t="shared" si="194"/>
        <v>18000</v>
      </c>
      <c r="BB148" s="131" t="s">
        <v>446</v>
      </c>
      <c r="BC148" s="139" t="s">
        <v>842</v>
      </c>
      <c r="BD148" s="139" t="s">
        <v>843</v>
      </c>
      <c r="BE148" s="102"/>
      <c r="BF148" s="102"/>
      <c r="BG148" s="70" t="s">
        <v>48</v>
      </c>
      <c r="BH148" s="125">
        <v>0</v>
      </c>
      <c r="BI148" s="156"/>
      <c r="BJ148" s="70"/>
    </row>
    <row r="149" spans="1:62" s="13" customFormat="1" x14ac:dyDescent="0.25">
      <c r="A149" s="70">
        <f t="shared" si="175"/>
        <v>147</v>
      </c>
      <c r="B149" s="122">
        <v>2290</v>
      </c>
      <c r="C149" s="134" t="s">
        <v>41</v>
      </c>
      <c r="D149" s="126" t="s">
        <v>928</v>
      </c>
      <c r="E149" s="146" t="s">
        <v>889</v>
      </c>
      <c r="F149" s="114" t="s">
        <v>899</v>
      </c>
      <c r="G149" s="147"/>
      <c r="H149" s="122" t="s">
        <v>43</v>
      </c>
      <c r="I149" s="82">
        <v>45566</v>
      </c>
      <c r="J149" s="137"/>
      <c r="K149" s="82"/>
      <c r="L149" s="102"/>
      <c r="M149" s="128" t="s">
        <v>44</v>
      </c>
      <c r="N149" s="117" t="s">
        <v>969</v>
      </c>
      <c r="O149" s="114" t="s">
        <v>1112</v>
      </c>
      <c r="P149" s="70" t="s">
        <v>292</v>
      </c>
      <c r="Q149" s="70" t="s">
        <v>412</v>
      </c>
      <c r="R149" s="125">
        <v>53600</v>
      </c>
      <c r="S149" s="83">
        <f>+R149*0.12</f>
        <v>6432</v>
      </c>
      <c r="T149" s="116" t="s">
        <v>1530</v>
      </c>
      <c r="U149" s="119">
        <f t="shared" ref="U149:U154" si="242">R149+S149</f>
        <v>60032</v>
      </c>
      <c r="V149" s="119">
        <v>58232</v>
      </c>
      <c r="W149" s="119">
        <v>27000</v>
      </c>
      <c r="X149" s="125">
        <f t="shared" ref="X149:X152" si="243">+W149*0.5</f>
        <v>13500</v>
      </c>
      <c r="Y149" s="118">
        <f t="shared" ref="Y149:Y153" si="244">+V149-W149-X149</f>
        <v>17732</v>
      </c>
      <c r="Z149" s="118">
        <f t="shared" ref="Z149:Z154" si="245">W149+X149+Y149</f>
        <v>58232</v>
      </c>
      <c r="AA149" s="119">
        <v>30</v>
      </c>
      <c r="AB149" s="115">
        <v>14.5</v>
      </c>
      <c r="AC149" s="115">
        <v>0</v>
      </c>
      <c r="AD149" s="115">
        <v>2</v>
      </c>
      <c r="AE149" s="115"/>
      <c r="AF149" s="115">
        <f t="shared" ref="AF149" si="246">AB149+AD149+AE149-AC149</f>
        <v>16.5</v>
      </c>
      <c r="AG149" s="115">
        <f>+AF149+AA149</f>
        <v>46.5</v>
      </c>
      <c r="AH149" s="101">
        <f t="shared" si="216"/>
        <v>30</v>
      </c>
      <c r="AI149" s="118">
        <f>ROUND(U149*AH149/AA149,0)</f>
        <v>60032</v>
      </c>
      <c r="AJ149" s="118">
        <f t="shared" si="147"/>
        <v>58232</v>
      </c>
      <c r="AK149" s="118">
        <f t="shared" si="148"/>
        <v>27000</v>
      </c>
      <c r="AL149" s="118">
        <f t="shared" si="149"/>
        <v>13500</v>
      </c>
      <c r="AM149" s="118">
        <f t="shared" si="214"/>
        <v>17732</v>
      </c>
      <c r="AN149" s="119">
        <f t="shared" si="150"/>
        <v>0</v>
      </c>
      <c r="AO149" s="119">
        <f>ROUND(IF(AK149&lt;15001,AK149*12%,1800),0)</f>
        <v>1800</v>
      </c>
      <c r="AP149" s="118">
        <f t="shared" si="215"/>
        <v>60032</v>
      </c>
      <c r="AQ149" s="118">
        <v>0</v>
      </c>
      <c r="AR149" s="118">
        <f t="shared" si="151"/>
        <v>0</v>
      </c>
      <c r="AS149" s="118">
        <f t="shared" si="237"/>
        <v>0</v>
      </c>
      <c r="AT149" s="118">
        <f t="shared" si="238"/>
        <v>1800</v>
      </c>
      <c r="AU149" s="118">
        <f t="shared" si="239"/>
        <v>1800</v>
      </c>
      <c r="AV149" s="118"/>
      <c r="AW149" s="118">
        <v>0</v>
      </c>
      <c r="AX149" s="118">
        <f>+AV149-AW149</f>
        <v>0</v>
      </c>
      <c r="AY149" s="120"/>
      <c r="AZ149" s="120">
        <v>0</v>
      </c>
      <c r="BA149" s="118">
        <f t="shared" si="194"/>
        <v>56432</v>
      </c>
      <c r="BB149" s="131" t="s">
        <v>455</v>
      </c>
      <c r="BC149" s="139" t="s">
        <v>913</v>
      </c>
      <c r="BD149" s="139" t="s">
        <v>912</v>
      </c>
      <c r="BE149" s="102"/>
      <c r="BF149" s="102"/>
      <c r="BG149" s="70" t="s">
        <v>48</v>
      </c>
      <c r="BH149" s="125">
        <v>0</v>
      </c>
      <c r="BI149" s="156"/>
      <c r="BJ149" s="70"/>
    </row>
    <row r="150" spans="1:62" s="13" customFormat="1" x14ac:dyDescent="0.25">
      <c r="A150" s="70">
        <f t="shared" si="175"/>
        <v>148</v>
      </c>
      <c r="B150" s="122">
        <v>2294</v>
      </c>
      <c r="C150" s="134" t="s">
        <v>924</v>
      </c>
      <c r="D150" s="126" t="s">
        <v>929</v>
      </c>
      <c r="E150" s="146" t="s">
        <v>891</v>
      </c>
      <c r="F150" s="114" t="s">
        <v>896</v>
      </c>
      <c r="G150" s="147"/>
      <c r="H150" s="122" t="s">
        <v>43</v>
      </c>
      <c r="I150" s="82">
        <v>45569</v>
      </c>
      <c r="J150" s="137"/>
      <c r="K150" s="82"/>
      <c r="L150" s="102"/>
      <c r="M150" s="128" t="s">
        <v>44</v>
      </c>
      <c r="N150" s="117" t="s">
        <v>959</v>
      </c>
      <c r="O150" s="114" t="s">
        <v>1001</v>
      </c>
      <c r="P150" s="70" t="s">
        <v>412</v>
      </c>
      <c r="Q150" s="70" t="s">
        <v>412</v>
      </c>
      <c r="R150" s="125">
        <v>19819</v>
      </c>
      <c r="S150" s="83">
        <f>+R150*0.1</f>
        <v>1981.9</v>
      </c>
      <c r="T150" s="116">
        <v>45778</v>
      </c>
      <c r="U150" s="119">
        <f t="shared" si="242"/>
        <v>21800.9</v>
      </c>
      <c r="V150" s="119">
        <v>19848</v>
      </c>
      <c r="W150" s="119">
        <f>+U150*0.5</f>
        <v>10900.45</v>
      </c>
      <c r="X150" s="125">
        <f t="shared" si="243"/>
        <v>5450.2250000000004</v>
      </c>
      <c r="Y150" s="118">
        <f t="shared" si="244"/>
        <v>3497.3249999999989</v>
      </c>
      <c r="Z150" s="118">
        <f t="shared" si="245"/>
        <v>19848</v>
      </c>
      <c r="AA150" s="119">
        <v>30</v>
      </c>
      <c r="AB150" s="115">
        <v>4.5</v>
      </c>
      <c r="AC150" s="115">
        <v>2</v>
      </c>
      <c r="AD150" s="115">
        <v>1</v>
      </c>
      <c r="AE150" s="115"/>
      <c r="AF150" s="115">
        <f t="shared" ref="AF150:AF154" si="247">AB150+AD150+AE150-AC150</f>
        <v>3.5</v>
      </c>
      <c r="AG150" s="115">
        <f t="shared" ref="AG150:AG154" si="248">+AF150+AA150</f>
        <v>33.5</v>
      </c>
      <c r="AH150" s="101">
        <f t="shared" si="216"/>
        <v>30</v>
      </c>
      <c r="AI150" s="118">
        <f t="shared" ref="AI150:AI154" si="249">ROUND(U150*AH150/AA150,0)</f>
        <v>21801</v>
      </c>
      <c r="AJ150" s="118">
        <f t="shared" si="147"/>
        <v>19848</v>
      </c>
      <c r="AK150" s="118">
        <f t="shared" si="148"/>
        <v>10900</v>
      </c>
      <c r="AL150" s="118">
        <f t="shared" si="149"/>
        <v>5450</v>
      </c>
      <c r="AM150" s="118">
        <f t="shared" si="214"/>
        <v>3497</v>
      </c>
      <c r="AN150" s="119">
        <f t="shared" si="150"/>
        <v>646</v>
      </c>
      <c r="AO150" s="119">
        <f t="shared" ref="AO150:AO154" si="250">ROUND(IF(AK150&lt;15001,AK150*12%,1800),0)</f>
        <v>1308</v>
      </c>
      <c r="AP150" s="118">
        <f t="shared" si="215"/>
        <v>21801</v>
      </c>
      <c r="AQ150" s="118">
        <v>0</v>
      </c>
      <c r="AR150" s="118">
        <f t="shared" si="151"/>
        <v>149</v>
      </c>
      <c r="AS150" s="118">
        <f t="shared" si="237"/>
        <v>646</v>
      </c>
      <c r="AT150" s="118">
        <f t="shared" si="238"/>
        <v>1308</v>
      </c>
      <c r="AU150" s="118">
        <f t="shared" si="239"/>
        <v>1308</v>
      </c>
      <c r="AV150" s="118"/>
      <c r="AW150" s="118">
        <v>0</v>
      </c>
      <c r="AX150" s="118">
        <v>0</v>
      </c>
      <c r="AY150" s="120"/>
      <c r="AZ150" s="120">
        <v>1000</v>
      </c>
      <c r="BA150" s="118">
        <f t="shared" si="194"/>
        <v>17390</v>
      </c>
      <c r="BB150" s="131" t="s">
        <v>543</v>
      </c>
      <c r="BC150" s="139" t="s">
        <v>898</v>
      </c>
      <c r="BD150" s="139" t="s">
        <v>897</v>
      </c>
      <c r="BE150" s="102"/>
      <c r="BF150" s="102"/>
      <c r="BG150" s="70" t="s">
        <v>48</v>
      </c>
      <c r="BH150" s="125">
        <v>0</v>
      </c>
      <c r="BI150" s="156"/>
      <c r="BJ150" s="70"/>
    </row>
    <row r="151" spans="1:62" s="13" customFormat="1" x14ac:dyDescent="0.25">
      <c r="A151" s="70">
        <f t="shared" si="175"/>
        <v>149</v>
      </c>
      <c r="B151" s="122">
        <v>2296</v>
      </c>
      <c r="C151" s="134" t="s">
        <v>922</v>
      </c>
      <c r="D151" s="126" t="s">
        <v>930</v>
      </c>
      <c r="E151" s="146" t="s">
        <v>790</v>
      </c>
      <c r="F151" s="114" t="s">
        <v>895</v>
      </c>
      <c r="G151" s="147"/>
      <c r="H151" s="122" t="s">
        <v>43</v>
      </c>
      <c r="I151" s="82">
        <v>45511</v>
      </c>
      <c r="J151" s="137"/>
      <c r="K151" s="82">
        <v>45572</v>
      </c>
      <c r="L151" s="102"/>
      <c r="M151" s="128" t="s">
        <v>44</v>
      </c>
      <c r="N151" s="117" t="s">
        <v>959</v>
      </c>
      <c r="O151" s="114" t="s">
        <v>975</v>
      </c>
      <c r="P151" s="70" t="s">
        <v>412</v>
      </c>
      <c r="Q151" s="70" t="s">
        <v>412</v>
      </c>
      <c r="R151" s="125">
        <v>18240</v>
      </c>
      <c r="S151" s="125">
        <f>+R151*0.25</f>
        <v>4560</v>
      </c>
      <c r="T151" s="116" t="s">
        <v>1501</v>
      </c>
      <c r="U151" s="119">
        <f>R151+S151</f>
        <v>22800</v>
      </c>
      <c r="V151" s="119">
        <v>21432</v>
      </c>
      <c r="W151" s="119">
        <f>+U151*0.5</f>
        <v>11400</v>
      </c>
      <c r="X151" s="125">
        <f>+W151*0.5</f>
        <v>5700</v>
      </c>
      <c r="Y151" s="118">
        <f t="shared" si="244"/>
        <v>4332</v>
      </c>
      <c r="Z151" s="118">
        <f>W151+X151+Y151</f>
        <v>21432</v>
      </c>
      <c r="AA151" s="119">
        <v>30</v>
      </c>
      <c r="AB151" s="115">
        <v>9</v>
      </c>
      <c r="AC151" s="115">
        <v>0</v>
      </c>
      <c r="AD151" s="115">
        <v>1</v>
      </c>
      <c r="AE151" s="115"/>
      <c r="AF151" s="115">
        <f t="shared" si="247"/>
        <v>10</v>
      </c>
      <c r="AG151" s="115">
        <f t="shared" si="248"/>
        <v>40</v>
      </c>
      <c r="AH151" s="101">
        <f t="shared" si="216"/>
        <v>30</v>
      </c>
      <c r="AI151" s="118">
        <f t="shared" si="249"/>
        <v>22800</v>
      </c>
      <c r="AJ151" s="118">
        <f t="shared" si="147"/>
        <v>21432</v>
      </c>
      <c r="AK151" s="118">
        <f t="shared" si="148"/>
        <v>11400</v>
      </c>
      <c r="AL151" s="118">
        <f t="shared" si="149"/>
        <v>5700</v>
      </c>
      <c r="AM151" s="118">
        <f t="shared" ref="AM151:AM174" si="251">ROUND(Y151*AH151/AA151,0)</f>
        <v>4332</v>
      </c>
      <c r="AN151" s="119">
        <f t="shared" si="150"/>
        <v>0</v>
      </c>
      <c r="AO151" s="119">
        <f t="shared" si="250"/>
        <v>1368</v>
      </c>
      <c r="AP151" s="118">
        <f t="shared" ref="AP151:AP174" si="252">SUM(AK151:AO151)</f>
        <v>22800</v>
      </c>
      <c r="AQ151" s="118">
        <v>0</v>
      </c>
      <c r="AR151" s="118">
        <f t="shared" si="151"/>
        <v>0</v>
      </c>
      <c r="AS151" s="118">
        <f t="shared" si="237"/>
        <v>0</v>
      </c>
      <c r="AT151" s="118">
        <f t="shared" si="238"/>
        <v>1368</v>
      </c>
      <c r="AU151" s="118">
        <f t="shared" si="239"/>
        <v>1368</v>
      </c>
      <c r="AV151" s="118"/>
      <c r="AW151" s="118">
        <v>0</v>
      </c>
      <c r="AX151" s="118">
        <f t="shared" ref="AX151:AX155" si="253">+AV151-AW151</f>
        <v>0</v>
      </c>
      <c r="AY151" s="120"/>
      <c r="AZ151" s="120">
        <v>0</v>
      </c>
      <c r="BA151" s="118">
        <f t="shared" si="194"/>
        <v>20064</v>
      </c>
      <c r="BB151" s="131" t="s">
        <v>1255</v>
      </c>
      <c r="BC151" s="139" t="s">
        <v>1285</v>
      </c>
      <c r="BD151" s="139" t="s">
        <v>1341</v>
      </c>
      <c r="BE151" s="102"/>
      <c r="BF151" s="102"/>
      <c r="BG151" s="70" t="s">
        <v>48</v>
      </c>
      <c r="BH151" s="125">
        <v>0</v>
      </c>
      <c r="BI151" s="156"/>
      <c r="BJ151" s="70"/>
    </row>
    <row r="152" spans="1:62" s="13" customFormat="1" x14ac:dyDescent="0.25">
      <c r="A152" s="70">
        <f t="shared" si="175"/>
        <v>150</v>
      </c>
      <c r="B152" s="122">
        <v>2298</v>
      </c>
      <c r="C152" s="134" t="s">
        <v>925</v>
      </c>
      <c r="D152" s="126" t="s">
        <v>931</v>
      </c>
      <c r="E152" s="146" t="s">
        <v>892</v>
      </c>
      <c r="F152" s="114" t="s">
        <v>903</v>
      </c>
      <c r="G152" s="147"/>
      <c r="H152" s="122" t="s">
        <v>43</v>
      </c>
      <c r="I152" s="82">
        <v>45586</v>
      </c>
      <c r="J152" s="137"/>
      <c r="K152" s="82"/>
      <c r="L152" s="102"/>
      <c r="M152" s="128" t="s">
        <v>44</v>
      </c>
      <c r="N152" s="117" t="s">
        <v>959</v>
      </c>
      <c r="O152" s="114" t="s">
        <v>975</v>
      </c>
      <c r="P152" s="70" t="s">
        <v>412</v>
      </c>
      <c r="Q152" s="70" t="s">
        <v>412</v>
      </c>
      <c r="R152" s="125">
        <v>20480</v>
      </c>
      <c r="S152" s="83">
        <f>+R152*0.05</f>
        <v>1024</v>
      </c>
      <c r="T152" s="116" t="s">
        <v>1501</v>
      </c>
      <c r="U152" s="119">
        <f t="shared" si="242"/>
        <v>21504</v>
      </c>
      <c r="V152" s="119">
        <v>19572</v>
      </c>
      <c r="W152" s="119">
        <v>10800</v>
      </c>
      <c r="X152" s="125">
        <f t="shared" si="243"/>
        <v>5400</v>
      </c>
      <c r="Y152" s="118">
        <f t="shared" si="244"/>
        <v>3372</v>
      </c>
      <c r="Z152" s="118">
        <f t="shared" si="245"/>
        <v>19572</v>
      </c>
      <c r="AA152" s="119">
        <v>30</v>
      </c>
      <c r="AB152" s="115">
        <v>13.5</v>
      </c>
      <c r="AC152" s="115">
        <v>0</v>
      </c>
      <c r="AD152" s="115">
        <v>1</v>
      </c>
      <c r="AE152" s="115"/>
      <c r="AF152" s="115">
        <f t="shared" si="247"/>
        <v>14.5</v>
      </c>
      <c r="AG152" s="115">
        <f t="shared" si="248"/>
        <v>44.5</v>
      </c>
      <c r="AH152" s="101">
        <f t="shared" si="216"/>
        <v>30</v>
      </c>
      <c r="AI152" s="118">
        <f t="shared" si="249"/>
        <v>21504</v>
      </c>
      <c r="AJ152" s="118">
        <f t="shared" si="147"/>
        <v>19572</v>
      </c>
      <c r="AK152" s="118">
        <f t="shared" si="148"/>
        <v>10800</v>
      </c>
      <c r="AL152" s="118">
        <f t="shared" si="149"/>
        <v>5400</v>
      </c>
      <c r="AM152" s="118">
        <f t="shared" si="251"/>
        <v>3372</v>
      </c>
      <c r="AN152" s="119">
        <f t="shared" si="150"/>
        <v>637</v>
      </c>
      <c r="AO152" s="119">
        <f t="shared" si="250"/>
        <v>1296</v>
      </c>
      <c r="AP152" s="118">
        <f t="shared" si="252"/>
        <v>21505</v>
      </c>
      <c r="AQ152" s="118">
        <v>0</v>
      </c>
      <c r="AR152" s="118">
        <f t="shared" si="151"/>
        <v>147</v>
      </c>
      <c r="AS152" s="118">
        <f t="shared" si="237"/>
        <v>637</v>
      </c>
      <c r="AT152" s="118">
        <f t="shared" si="238"/>
        <v>1296</v>
      </c>
      <c r="AU152" s="118">
        <f t="shared" si="239"/>
        <v>1296</v>
      </c>
      <c r="AV152" s="118"/>
      <c r="AW152" s="118">
        <v>0</v>
      </c>
      <c r="AX152" s="118">
        <f t="shared" si="253"/>
        <v>0</v>
      </c>
      <c r="AY152" s="120"/>
      <c r="AZ152" s="120">
        <v>1000</v>
      </c>
      <c r="BA152" s="118">
        <f t="shared" si="194"/>
        <v>17129</v>
      </c>
      <c r="BB152" s="131" t="s">
        <v>446</v>
      </c>
      <c r="BC152" s="139" t="s">
        <v>908</v>
      </c>
      <c r="BD152" s="139" t="s">
        <v>906</v>
      </c>
      <c r="BE152" s="102"/>
      <c r="BF152" s="102"/>
      <c r="BG152" s="70" t="s">
        <v>48</v>
      </c>
      <c r="BH152" s="125">
        <v>0</v>
      </c>
      <c r="BI152" s="156"/>
      <c r="BJ152" s="70"/>
    </row>
    <row r="153" spans="1:62" s="13" customFormat="1" x14ac:dyDescent="0.25">
      <c r="A153" s="70">
        <f t="shared" si="175"/>
        <v>151</v>
      </c>
      <c r="B153" s="122">
        <v>2299</v>
      </c>
      <c r="C153" s="134" t="s">
        <v>926</v>
      </c>
      <c r="D153" s="126" t="s">
        <v>932</v>
      </c>
      <c r="E153" s="146" t="s">
        <v>893</v>
      </c>
      <c r="F153" s="114" t="s">
        <v>904</v>
      </c>
      <c r="G153" s="147"/>
      <c r="H153" s="122" t="s">
        <v>43</v>
      </c>
      <c r="I153" s="82">
        <v>45586</v>
      </c>
      <c r="J153" s="137"/>
      <c r="K153" s="82"/>
      <c r="L153" s="102"/>
      <c r="M153" s="128" t="s">
        <v>44</v>
      </c>
      <c r="N153" s="117" t="s">
        <v>959</v>
      </c>
      <c r="O153" s="114" t="s">
        <v>975</v>
      </c>
      <c r="P153" s="70" t="s">
        <v>412</v>
      </c>
      <c r="Q153" s="70" t="s">
        <v>412</v>
      </c>
      <c r="R153" s="125">
        <v>16523</v>
      </c>
      <c r="S153" s="83">
        <f>+R153*0.08</f>
        <v>1321.84</v>
      </c>
      <c r="T153" s="116">
        <v>45962</v>
      </c>
      <c r="U153" s="119">
        <f t="shared" si="242"/>
        <v>17844.84</v>
      </c>
      <c r="V153" s="119">
        <v>16028</v>
      </c>
      <c r="W153" s="119">
        <v>10800</v>
      </c>
      <c r="X153" s="125">
        <v>5228</v>
      </c>
      <c r="Y153" s="118">
        <f t="shared" si="244"/>
        <v>0</v>
      </c>
      <c r="Z153" s="118">
        <f t="shared" si="245"/>
        <v>16028</v>
      </c>
      <c r="AA153" s="119">
        <v>30</v>
      </c>
      <c r="AB153" s="115">
        <v>10</v>
      </c>
      <c r="AC153" s="115">
        <v>3.5</v>
      </c>
      <c r="AD153" s="115">
        <v>1</v>
      </c>
      <c r="AE153" s="115"/>
      <c r="AF153" s="115">
        <f t="shared" si="247"/>
        <v>7.5</v>
      </c>
      <c r="AG153" s="115">
        <f t="shared" si="248"/>
        <v>37.5</v>
      </c>
      <c r="AH153" s="101">
        <f t="shared" si="216"/>
        <v>30</v>
      </c>
      <c r="AI153" s="118">
        <f t="shared" si="249"/>
        <v>17845</v>
      </c>
      <c r="AJ153" s="118">
        <f t="shared" si="147"/>
        <v>16028</v>
      </c>
      <c r="AK153" s="118">
        <f t="shared" si="148"/>
        <v>10800</v>
      </c>
      <c r="AL153" s="118">
        <f t="shared" si="149"/>
        <v>5228</v>
      </c>
      <c r="AM153" s="118">
        <f t="shared" si="251"/>
        <v>0</v>
      </c>
      <c r="AN153" s="119">
        <f t="shared" si="150"/>
        <v>521</v>
      </c>
      <c r="AO153" s="119">
        <f t="shared" si="250"/>
        <v>1296</v>
      </c>
      <c r="AP153" s="118">
        <f t="shared" si="252"/>
        <v>17845</v>
      </c>
      <c r="AQ153" s="118">
        <v>0</v>
      </c>
      <c r="AR153" s="118">
        <f t="shared" si="151"/>
        <v>121</v>
      </c>
      <c r="AS153" s="118">
        <f t="shared" si="237"/>
        <v>521</v>
      </c>
      <c r="AT153" s="118">
        <f t="shared" si="238"/>
        <v>1296</v>
      </c>
      <c r="AU153" s="118">
        <f t="shared" si="239"/>
        <v>1296</v>
      </c>
      <c r="AV153" s="118"/>
      <c r="AW153" s="118">
        <v>0</v>
      </c>
      <c r="AX153" s="118">
        <v>0</v>
      </c>
      <c r="AY153" s="120"/>
      <c r="AZ153" s="120">
        <v>1000</v>
      </c>
      <c r="BA153" s="118">
        <f t="shared" ref="BA153:BA156" si="254">AP153-AQ153-AR153-AS153-AT153-AU153-AW153+AY153-AZ153</f>
        <v>13611</v>
      </c>
      <c r="BB153" s="131" t="s">
        <v>445</v>
      </c>
      <c r="BC153" s="139" t="s">
        <v>909</v>
      </c>
      <c r="BD153" s="139" t="s">
        <v>907</v>
      </c>
      <c r="BE153" s="102"/>
      <c r="BF153" s="102"/>
      <c r="BG153" s="70" t="s">
        <v>48</v>
      </c>
      <c r="BH153" s="125">
        <v>0</v>
      </c>
      <c r="BI153" s="156"/>
      <c r="BJ153" s="70"/>
    </row>
    <row r="154" spans="1:62" s="13" customFormat="1" x14ac:dyDescent="0.25">
      <c r="A154" s="70">
        <f t="shared" si="175"/>
        <v>152</v>
      </c>
      <c r="B154" s="122">
        <v>2301</v>
      </c>
      <c r="C154" s="134" t="s">
        <v>923</v>
      </c>
      <c r="D154" s="126" t="s">
        <v>933</v>
      </c>
      <c r="E154" s="146" t="s">
        <v>786</v>
      </c>
      <c r="F154" s="114" t="s">
        <v>911</v>
      </c>
      <c r="G154" s="147"/>
      <c r="H154" s="122" t="s">
        <v>43</v>
      </c>
      <c r="I154" s="82">
        <v>45506</v>
      </c>
      <c r="J154" s="137"/>
      <c r="K154" s="82">
        <v>45580</v>
      </c>
      <c r="L154" s="102"/>
      <c r="M154" s="128" t="s">
        <v>44</v>
      </c>
      <c r="N154" s="117" t="s">
        <v>959</v>
      </c>
      <c r="O154" s="114" t="s">
        <v>110</v>
      </c>
      <c r="P154" s="70" t="s">
        <v>412</v>
      </c>
      <c r="Q154" s="70" t="s">
        <v>412</v>
      </c>
      <c r="R154" s="125">
        <v>14447</v>
      </c>
      <c r="S154" s="83">
        <f>+R154*0.15</f>
        <v>2167.0499999999997</v>
      </c>
      <c r="T154" s="116">
        <v>45962</v>
      </c>
      <c r="U154" s="119">
        <f t="shared" si="242"/>
        <v>16614.05</v>
      </c>
      <c r="V154" s="119">
        <v>14836</v>
      </c>
      <c r="W154" s="119">
        <v>10800</v>
      </c>
      <c r="X154" s="125">
        <v>3600</v>
      </c>
      <c r="Y154" s="118">
        <f t="shared" ref="Y154:Y157" si="255">+V154-W154-X154</f>
        <v>436</v>
      </c>
      <c r="Z154" s="118">
        <f t="shared" si="245"/>
        <v>14836</v>
      </c>
      <c r="AA154" s="119">
        <v>30</v>
      </c>
      <c r="AB154" s="115">
        <v>18.5</v>
      </c>
      <c r="AC154" s="115">
        <v>6.5</v>
      </c>
      <c r="AD154" s="115">
        <v>1</v>
      </c>
      <c r="AE154" s="115"/>
      <c r="AF154" s="115">
        <f t="shared" si="247"/>
        <v>13</v>
      </c>
      <c r="AG154" s="115">
        <f t="shared" si="248"/>
        <v>43</v>
      </c>
      <c r="AH154" s="101">
        <f t="shared" si="216"/>
        <v>30</v>
      </c>
      <c r="AI154" s="118">
        <f t="shared" si="249"/>
        <v>16614</v>
      </c>
      <c r="AJ154" s="118">
        <f t="shared" si="147"/>
        <v>14836</v>
      </c>
      <c r="AK154" s="118">
        <f t="shared" si="148"/>
        <v>10800</v>
      </c>
      <c r="AL154" s="118">
        <f t="shared" si="149"/>
        <v>3600</v>
      </c>
      <c r="AM154" s="118">
        <f t="shared" si="251"/>
        <v>436</v>
      </c>
      <c r="AN154" s="119">
        <f t="shared" si="150"/>
        <v>483</v>
      </c>
      <c r="AO154" s="119">
        <f t="shared" si="250"/>
        <v>1296</v>
      </c>
      <c r="AP154" s="118">
        <f t="shared" si="252"/>
        <v>16615</v>
      </c>
      <c r="AQ154" s="118">
        <v>0</v>
      </c>
      <c r="AR154" s="118">
        <f t="shared" si="151"/>
        <v>112</v>
      </c>
      <c r="AS154" s="118">
        <f t="shared" si="237"/>
        <v>483</v>
      </c>
      <c r="AT154" s="118">
        <f t="shared" si="238"/>
        <v>1296</v>
      </c>
      <c r="AU154" s="118">
        <f t="shared" si="239"/>
        <v>1296</v>
      </c>
      <c r="AV154" s="118"/>
      <c r="AW154" s="118">
        <v>0</v>
      </c>
      <c r="AX154" s="118">
        <f t="shared" si="253"/>
        <v>0</v>
      </c>
      <c r="AY154" s="120"/>
      <c r="AZ154" s="120">
        <v>0</v>
      </c>
      <c r="BA154" s="118">
        <f t="shared" si="254"/>
        <v>13428</v>
      </c>
      <c r="BB154" s="31" t="s">
        <v>424</v>
      </c>
      <c r="BC154" s="34" t="s">
        <v>812</v>
      </c>
      <c r="BD154" s="34" t="s">
        <v>813</v>
      </c>
      <c r="BE154" s="102"/>
      <c r="BF154" s="102"/>
      <c r="BG154" s="70" t="s">
        <v>48</v>
      </c>
      <c r="BH154" s="125">
        <v>0</v>
      </c>
      <c r="BI154" s="156"/>
      <c r="BJ154" s="70"/>
    </row>
    <row r="155" spans="1:62" s="13" customFormat="1" x14ac:dyDescent="0.25">
      <c r="A155" s="70">
        <f t="shared" si="175"/>
        <v>153</v>
      </c>
      <c r="B155" s="122">
        <v>2303</v>
      </c>
      <c r="C155" s="134" t="s">
        <v>987</v>
      </c>
      <c r="D155" s="126" t="s">
        <v>934</v>
      </c>
      <c r="E155" s="146" t="s">
        <v>787</v>
      </c>
      <c r="F155" s="114" t="s">
        <v>914</v>
      </c>
      <c r="G155" s="147"/>
      <c r="H155" s="122" t="s">
        <v>43</v>
      </c>
      <c r="I155" s="82">
        <v>45507</v>
      </c>
      <c r="J155" s="137"/>
      <c r="K155" s="82">
        <v>45580</v>
      </c>
      <c r="L155" s="102"/>
      <c r="M155" s="128" t="s">
        <v>44</v>
      </c>
      <c r="N155" s="117" t="s">
        <v>959</v>
      </c>
      <c r="O155" s="114" t="s">
        <v>110</v>
      </c>
      <c r="P155" s="70" t="s">
        <v>412</v>
      </c>
      <c r="Q155" s="70" t="s">
        <v>412</v>
      </c>
      <c r="R155" s="125">
        <v>18059</v>
      </c>
      <c r="S155" s="83">
        <f>+R155*0.1</f>
        <v>1805.9</v>
      </c>
      <c r="T155" s="116" t="s">
        <v>1501</v>
      </c>
      <c r="U155" s="119">
        <f t="shared" ref="U155" si="256">R155+S155</f>
        <v>19864.900000000001</v>
      </c>
      <c r="V155" s="119">
        <v>17985</v>
      </c>
      <c r="W155" s="119">
        <v>10800</v>
      </c>
      <c r="X155" s="125">
        <f>+W155*0.5</f>
        <v>5400</v>
      </c>
      <c r="Y155" s="118">
        <f t="shared" si="255"/>
        <v>1785</v>
      </c>
      <c r="Z155" s="118">
        <f t="shared" ref="Z155" si="257">W155+X155+Y155</f>
        <v>17985</v>
      </c>
      <c r="AA155" s="119">
        <v>30</v>
      </c>
      <c r="AB155" s="115">
        <v>9.5</v>
      </c>
      <c r="AC155" s="115">
        <v>4</v>
      </c>
      <c r="AD155" s="115">
        <v>1</v>
      </c>
      <c r="AE155" s="115"/>
      <c r="AF155" s="115">
        <f t="shared" ref="AF155" si="258">AB155+AD155+AE155-AC155</f>
        <v>6.5</v>
      </c>
      <c r="AG155" s="115">
        <f t="shared" ref="AG155" si="259">+AF155+AA155</f>
        <v>36.5</v>
      </c>
      <c r="AH155" s="101">
        <f t="shared" si="216"/>
        <v>30</v>
      </c>
      <c r="AI155" s="118">
        <f t="shared" ref="AI155" si="260">ROUND(U155*AH155/AA155,0)</f>
        <v>19865</v>
      </c>
      <c r="AJ155" s="118">
        <f t="shared" ref="AJ155:AJ186" si="261">ROUND(Z155*AH155/AA155,0)</f>
        <v>17985</v>
      </c>
      <c r="AK155" s="118">
        <f t="shared" ref="AK155:AK186" si="262">ROUND(W155*AH155/AA155,0)</f>
        <v>10800</v>
      </c>
      <c r="AL155" s="118">
        <f t="shared" ref="AL155:AL186" si="263">ROUND(X155*AH155/AA155,0)</f>
        <v>5400</v>
      </c>
      <c r="AM155" s="118">
        <f t="shared" si="251"/>
        <v>1785</v>
      </c>
      <c r="AN155" s="119">
        <f t="shared" ref="AN155:AN186" si="264">ROUNDUP(IF(V155&gt;=21000,0,AJ155*3.25%),0)</f>
        <v>585</v>
      </c>
      <c r="AO155" s="119">
        <f t="shared" ref="AO155" si="265">ROUND(IF(AK155&lt;15001,AK155*12%,1800),0)</f>
        <v>1296</v>
      </c>
      <c r="AP155" s="118">
        <f t="shared" si="252"/>
        <v>19866</v>
      </c>
      <c r="AQ155" s="118">
        <v>0</v>
      </c>
      <c r="AR155" s="118">
        <f t="shared" ref="AR155:AR186" si="266">ROUNDUP(IF(V155&gt;=21000,0,AJ155*0.75%),0)</f>
        <v>135</v>
      </c>
      <c r="AS155" s="118">
        <f t="shared" si="237"/>
        <v>585</v>
      </c>
      <c r="AT155" s="118">
        <f t="shared" si="238"/>
        <v>1296</v>
      </c>
      <c r="AU155" s="118">
        <f t="shared" si="239"/>
        <v>1296</v>
      </c>
      <c r="AV155" s="118">
        <v>50000</v>
      </c>
      <c r="AW155" s="118">
        <v>8000</v>
      </c>
      <c r="AX155" s="118">
        <f t="shared" si="253"/>
        <v>42000</v>
      </c>
      <c r="AY155" s="120"/>
      <c r="AZ155" s="120">
        <v>0</v>
      </c>
      <c r="BA155" s="118">
        <f t="shared" si="254"/>
        <v>8554</v>
      </c>
      <c r="BB155" s="31" t="s">
        <v>393</v>
      </c>
      <c r="BC155" s="34" t="s">
        <v>106</v>
      </c>
      <c r="BD155" s="34" t="s">
        <v>801</v>
      </c>
      <c r="BE155" s="102"/>
      <c r="BF155" s="102"/>
      <c r="BG155" s="70" t="s">
        <v>48</v>
      </c>
      <c r="BH155" s="125">
        <v>0</v>
      </c>
      <c r="BI155" s="156"/>
      <c r="BJ155" s="70"/>
    </row>
    <row r="156" spans="1:62" s="196" customFormat="1" x14ac:dyDescent="0.25">
      <c r="A156" s="197">
        <f t="shared" si="175"/>
        <v>154</v>
      </c>
      <c r="B156" s="198">
        <v>2304</v>
      </c>
      <c r="C156" s="218" t="s">
        <v>988</v>
      </c>
      <c r="D156" s="217" t="s">
        <v>935</v>
      </c>
      <c r="E156" s="215" t="s">
        <v>789</v>
      </c>
      <c r="F156" s="201" t="s">
        <v>910</v>
      </c>
      <c r="G156" s="216"/>
      <c r="H156" s="198" t="s">
        <v>43</v>
      </c>
      <c r="I156" s="182">
        <v>45509</v>
      </c>
      <c r="J156" s="137"/>
      <c r="K156" s="182">
        <v>45581</v>
      </c>
      <c r="L156" s="102"/>
      <c r="M156" s="204" t="s">
        <v>44</v>
      </c>
      <c r="N156" s="205" t="s">
        <v>959</v>
      </c>
      <c r="O156" s="201" t="s">
        <v>1000</v>
      </c>
      <c r="P156" s="197" t="s">
        <v>412</v>
      </c>
      <c r="Q156" s="197" t="s">
        <v>412</v>
      </c>
      <c r="R156" s="206">
        <v>14447</v>
      </c>
      <c r="S156" s="207">
        <f>+R156*0.15</f>
        <v>2167.0499999999997</v>
      </c>
      <c r="T156" s="208">
        <v>45778</v>
      </c>
      <c r="U156" s="209">
        <f t="shared" ref="U156" si="267">R156+S156</f>
        <v>16614.05</v>
      </c>
      <c r="V156" s="209">
        <v>14836</v>
      </c>
      <c r="W156" s="209">
        <v>10800</v>
      </c>
      <c r="X156" s="206">
        <f>+V156-W156</f>
        <v>4036</v>
      </c>
      <c r="Y156" s="210">
        <f t="shared" si="255"/>
        <v>0</v>
      </c>
      <c r="Z156" s="210">
        <f t="shared" ref="Z156" si="268">W156+X156+Y156</f>
        <v>14836</v>
      </c>
      <c r="AA156" s="209">
        <v>30</v>
      </c>
      <c r="AB156" s="202"/>
      <c r="AC156" s="202">
        <f>27+3</f>
        <v>30</v>
      </c>
      <c r="AD156" s="202">
        <v>0</v>
      </c>
      <c r="AE156" s="202"/>
      <c r="AF156" s="202">
        <f t="shared" ref="AF156" si="269">AB156+AD156+AE156-AC156</f>
        <v>-30</v>
      </c>
      <c r="AG156" s="202">
        <f t="shared" ref="AG156" si="270">+AF156+AA156</f>
        <v>0</v>
      </c>
      <c r="AH156" s="211">
        <f t="shared" si="216"/>
        <v>0</v>
      </c>
      <c r="AI156" s="210">
        <f t="shared" ref="AI156" si="271">ROUND(U156*AH156/AA156,0)</f>
        <v>0</v>
      </c>
      <c r="AJ156" s="210">
        <f t="shared" si="261"/>
        <v>0</v>
      </c>
      <c r="AK156" s="210">
        <f t="shared" si="262"/>
        <v>0</v>
      </c>
      <c r="AL156" s="210">
        <f t="shared" si="263"/>
        <v>0</v>
      </c>
      <c r="AM156" s="210">
        <f t="shared" si="251"/>
        <v>0</v>
      </c>
      <c r="AN156" s="209">
        <f t="shared" si="264"/>
        <v>0</v>
      </c>
      <c r="AO156" s="209">
        <f t="shared" ref="AO156" si="272">ROUND(IF(AK156&lt;15001,AK156*12%,1800),0)</f>
        <v>0</v>
      </c>
      <c r="AP156" s="210">
        <f t="shared" si="252"/>
        <v>0</v>
      </c>
      <c r="AQ156" s="210">
        <v>0</v>
      </c>
      <c r="AR156" s="210">
        <f t="shared" si="266"/>
        <v>0</v>
      </c>
      <c r="AS156" s="210">
        <f t="shared" si="237"/>
        <v>0</v>
      </c>
      <c r="AT156" s="210">
        <f t="shared" si="238"/>
        <v>0</v>
      </c>
      <c r="AU156" s="210">
        <f t="shared" si="239"/>
        <v>0</v>
      </c>
      <c r="AV156" s="210"/>
      <c r="AW156" s="210">
        <v>0</v>
      </c>
      <c r="AX156" s="210">
        <v>0</v>
      </c>
      <c r="AY156" s="212"/>
      <c r="AZ156" s="212">
        <v>0</v>
      </c>
      <c r="BA156" s="210">
        <f t="shared" si="254"/>
        <v>0</v>
      </c>
      <c r="BB156" s="219" t="s">
        <v>446</v>
      </c>
      <c r="BC156" s="220" t="s">
        <v>805</v>
      </c>
      <c r="BD156" s="220" t="s">
        <v>806</v>
      </c>
      <c r="BE156" s="214"/>
      <c r="BF156" s="102"/>
      <c r="BG156" s="197" t="s">
        <v>1480</v>
      </c>
      <c r="BH156" s="206" t="s">
        <v>1489</v>
      </c>
      <c r="BI156" s="156"/>
      <c r="BJ156" s="70"/>
    </row>
    <row r="157" spans="1:62" s="13" customFormat="1" x14ac:dyDescent="0.25">
      <c r="A157" s="70">
        <f t="shared" si="175"/>
        <v>155</v>
      </c>
      <c r="B157" s="122">
        <v>2305</v>
      </c>
      <c r="C157" s="134" t="s">
        <v>41</v>
      </c>
      <c r="D157" s="126" t="s">
        <v>936</v>
      </c>
      <c r="E157" s="146" t="s">
        <v>894</v>
      </c>
      <c r="F157" s="114" t="s">
        <v>900</v>
      </c>
      <c r="G157" s="147"/>
      <c r="H157" s="122" t="s">
        <v>43</v>
      </c>
      <c r="I157" s="82">
        <v>45593</v>
      </c>
      <c r="J157" s="137"/>
      <c r="K157" s="82"/>
      <c r="L157" s="102"/>
      <c r="M157" s="128" t="s">
        <v>44</v>
      </c>
      <c r="N157" s="117" t="s">
        <v>968</v>
      </c>
      <c r="O157" s="114" t="s">
        <v>1112</v>
      </c>
      <c r="P157" s="70" t="s">
        <v>292</v>
      </c>
      <c r="Q157" s="70" t="s">
        <v>412</v>
      </c>
      <c r="R157" s="125">
        <v>29375</v>
      </c>
      <c r="S157" s="83">
        <f>+R157*0.15</f>
        <v>4406.25</v>
      </c>
      <c r="T157" s="116">
        <v>45962</v>
      </c>
      <c r="U157" s="119">
        <f t="shared" ref="U157:U160" si="273">R157+S157</f>
        <v>33781.25</v>
      </c>
      <c r="V157" s="119">
        <v>31981</v>
      </c>
      <c r="W157" s="119">
        <v>15000</v>
      </c>
      <c r="X157" s="125">
        <f t="shared" ref="X157" si="274">+W157*0.5</f>
        <v>7500</v>
      </c>
      <c r="Y157" s="118">
        <f t="shared" si="255"/>
        <v>9481</v>
      </c>
      <c r="Z157" s="118">
        <f t="shared" ref="Z157" si="275">+W157+X157+Y157</f>
        <v>31981</v>
      </c>
      <c r="AA157" s="119">
        <v>30</v>
      </c>
      <c r="AB157" s="115">
        <v>10.5</v>
      </c>
      <c r="AC157" s="115">
        <v>0.5</v>
      </c>
      <c r="AD157" s="115">
        <v>1</v>
      </c>
      <c r="AE157" s="115"/>
      <c r="AF157" s="115">
        <f t="shared" ref="AF157:AF160" si="276">AB157+AD157+AE157-AC157</f>
        <v>11</v>
      </c>
      <c r="AG157" s="115">
        <f t="shared" ref="AG157:AG160" si="277">+AF157+AA157</f>
        <v>41</v>
      </c>
      <c r="AH157" s="101">
        <f t="shared" si="216"/>
        <v>30</v>
      </c>
      <c r="AI157" s="118">
        <f>ROUND(U157*AH157/AA157,0)</f>
        <v>33781</v>
      </c>
      <c r="AJ157" s="118">
        <f t="shared" si="261"/>
        <v>31981</v>
      </c>
      <c r="AK157" s="118">
        <f t="shared" si="262"/>
        <v>15000</v>
      </c>
      <c r="AL157" s="118">
        <f t="shared" si="263"/>
        <v>7500</v>
      </c>
      <c r="AM157" s="118">
        <f t="shared" si="251"/>
        <v>9481</v>
      </c>
      <c r="AN157" s="119">
        <f t="shared" si="264"/>
        <v>0</v>
      </c>
      <c r="AO157" s="119">
        <f>ROUND(IF(AK157&lt;15001,AK157*12%,1800),0)</f>
        <v>1800</v>
      </c>
      <c r="AP157" s="118">
        <f t="shared" si="252"/>
        <v>33781</v>
      </c>
      <c r="AQ157" s="118">
        <v>0</v>
      </c>
      <c r="AR157" s="118">
        <f t="shared" si="266"/>
        <v>0</v>
      </c>
      <c r="AS157" s="118">
        <f t="shared" si="237"/>
        <v>0</v>
      </c>
      <c r="AT157" s="118">
        <f t="shared" si="238"/>
        <v>1800</v>
      </c>
      <c r="AU157" s="118">
        <f t="shared" si="239"/>
        <v>1800</v>
      </c>
      <c r="AV157" s="118"/>
      <c r="AW157" s="118">
        <v>0</v>
      </c>
      <c r="AX157" s="118">
        <f>+AV157-AW157</f>
        <v>0</v>
      </c>
      <c r="AY157" s="120"/>
      <c r="AZ157" s="120">
        <v>0</v>
      </c>
      <c r="BA157" s="118">
        <f t="shared" ref="BA157:BA160" si="278">AP157-AQ157-AR157-AS157-AT157-AU157-AW157+AY157-AZ157</f>
        <v>30181</v>
      </c>
      <c r="BB157" s="131" t="s">
        <v>445</v>
      </c>
      <c r="BC157" s="139" t="s">
        <v>902</v>
      </c>
      <c r="BD157" s="139" t="s">
        <v>901</v>
      </c>
      <c r="BE157" s="102"/>
      <c r="BF157" s="102"/>
      <c r="BG157" s="70" t="s">
        <v>48</v>
      </c>
      <c r="BH157" s="125">
        <v>0</v>
      </c>
      <c r="BI157" s="156"/>
      <c r="BJ157" s="70"/>
    </row>
    <row r="158" spans="1:62" s="13" customFormat="1" x14ac:dyDescent="0.25">
      <c r="A158" s="70">
        <f t="shared" si="175"/>
        <v>156</v>
      </c>
      <c r="B158" s="122">
        <v>2309</v>
      </c>
      <c r="C158" s="134" t="s">
        <v>41</v>
      </c>
      <c r="D158" s="126" t="s">
        <v>986</v>
      </c>
      <c r="E158" s="146" t="s">
        <v>970</v>
      </c>
      <c r="F158" s="114" t="s">
        <v>972</v>
      </c>
      <c r="G158" s="147"/>
      <c r="H158" s="122" t="s">
        <v>43</v>
      </c>
      <c r="I158" s="82">
        <v>45629</v>
      </c>
      <c r="J158" s="137"/>
      <c r="K158" s="82"/>
      <c r="L158" s="102"/>
      <c r="M158" s="128" t="s">
        <v>44</v>
      </c>
      <c r="N158" s="117" t="s">
        <v>1113</v>
      </c>
      <c r="O158" s="114" t="s">
        <v>388</v>
      </c>
      <c r="P158" s="70" t="s">
        <v>292</v>
      </c>
      <c r="Q158" s="70" t="s">
        <v>412</v>
      </c>
      <c r="R158" s="125">
        <v>157000</v>
      </c>
      <c r="S158" s="83"/>
      <c r="T158" s="116"/>
      <c r="U158" s="119">
        <f t="shared" si="273"/>
        <v>157000</v>
      </c>
      <c r="V158" s="119">
        <v>155200</v>
      </c>
      <c r="W158" s="119">
        <v>72000</v>
      </c>
      <c r="X158" s="125">
        <f t="shared" ref="X158" si="279">+W158*0.5</f>
        <v>36000</v>
      </c>
      <c r="Y158" s="118">
        <f t="shared" ref="Y158:Y160" si="280">+V158-W158-X158</f>
        <v>47200</v>
      </c>
      <c r="Z158" s="118">
        <f t="shared" ref="Z158:Z159" si="281">+W158+X158+Y158</f>
        <v>155200</v>
      </c>
      <c r="AA158" s="119">
        <v>30</v>
      </c>
      <c r="AB158" s="115">
        <v>4.5</v>
      </c>
      <c r="AC158" s="115">
        <v>0</v>
      </c>
      <c r="AD158" s="115">
        <v>1</v>
      </c>
      <c r="AE158" s="115"/>
      <c r="AF158" s="115">
        <f t="shared" si="276"/>
        <v>5.5</v>
      </c>
      <c r="AG158" s="115">
        <f t="shared" si="277"/>
        <v>35.5</v>
      </c>
      <c r="AH158" s="101">
        <f t="shared" si="216"/>
        <v>30</v>
      </c>
      <c r="AI158" s="118">
        <f t="shared" ref="AI158:AI160" si="282">ROUND(U158*AH158/AA158,0)</f>
        <v>157000</v>
      </c>
      <c r="AJ158" s="118">
        <f t="shared" si="261"/>
        <v>155200</v>
      </c>
      <c r="AK158" s="118">
        <f t="shared" si="262"/>
        <v>72000</v>
      </c>
      <c r="AL158" s="118">
        <f t="shared" si="263"/>
        <v>36000</v>
      </c>
      <c r="AM158" s="118">
        <f t="shared" si="251"/>
        <v>47200</v>
      </c>
      <c r="AN158" s="119">
        <f t="shared" si="264"/>
        <v>0</v>
      </c>
      <c r="AO158" s="119">
        <f t="shared" ref="AO158:AO160" si="283">ROUND(IF(AK158&lt;15001,AK158*12%,1800),0)</f>
        <v>1800</v>
      </c>
      <c r="AP158" s="118">
        <f t="shared" si="252"/>
        <v>157000</v>
      </c>
      <c r="AQ158" s="118">
        <v>30000</v>
      </c>
      <c r="AR158" s="118">
        <f t="shared" si="266"/>
        <v>0</v>
      </c>
      <c r="AS158" s="118">
        <f t="shared" si="237"/>
        <v>0</v>
      </c>
      <c r="AT158" s="118">
        <f t="shared" si="238"/>
        <v>1800</v>
      </c>
      <c r="AU158" s="118">
        <f t="shared" si="239"/>
        <v>1800</v>
      </c>
      <c r="AV158" s="118"/>
      <c r="AW158" s="118">
        <v>0</v>
      </c>
      <c r="AX158" s="118">
        <v>0</v>
      </c>
      <c r="AY158" s="120"/>
      <c r="AZ158" s="120">
        <v>0</v>
      </c>
      <c r="BA158" s="118">
        <f t="shared" si="278"/>
        <v>123400</v>
      </c>
      <c r="BB158" s="31" t="s">
        <v>394</v>
      </c>
      <c r="BC158" s="34" t="s">
        <v>286</v>
      </c>
      <c r="BD158" s="34" t="s">
        <v>973</v>
      </c>
      <c r="BE158" s="102"/>
      <c r="BF158" s="102"/>
      <c r="BG158" s="70" t="s">
        <v>48</v>
      </c>
      <c r="BH158" s="125">
        <v>0</v>
      </c>
      <c r="BI158" s="156"/>
      <c r="BJ158" s="70"/>
    </row>
    <row r="159" spans="1:62" s="13" customFormat="1" x14ac:dyDescent="0.25">
      <c r="A159" s="70">
        <f t="shared" si="175"/>
        <v>157</v>
      </c>
      <c r="B159" s="122">
        <v>2310</v>
      </c>
      <c r="C159" s="134" t="s">
        <v>980</v>
      </c>
      <c r="D159" s="126" t="s">
        <v>983</v>
      </c>
      <c r="E159" s="146" t="s">
        <v>785</v>
      </c>
      <c r="F159" s="114" t="s">
        <v>979</v>
      </c>
      <c r="G159" s="147"/>
      <c r="H159" s="122" t="s">
        <v>43</v>
      </c>
      <c r="I159" s="82">
        <v>45505</v>
      </c>
      <c r="J159" s="137"/>
      <c r="K159" s="82">
        <v>45628</v>
      </c>
      <c r="L159" s="102"/>
      <c r="M159" s="128" t="s">
        <v>44</v>
      </c>
      <c r="N159" s="117" t="s">
        <v>959</v>
      </c>
      <c r="O159" s="114" t="s">
        <v>975</v>
      </c>
      <c r="P159" s="70" t="s">
        <v>412</v>
      </c>
      <c r="Q159" s="70" t="s">
        <v>412</v>
      </c>
      <c r="R159" s="125">
        <v>14447</v>
      </c>
      <c r="S159" s="83">
        <f>+R159*0.25</f>
        <v>3611.75</v>
      </c>
      <c r="T159" s="116">
        <v>45778</v>
      </c>
      <c r="U159" s="119">
        <f t="shared" si="273"/>
        <v>18058.75</v>
      </c>
      <c r="V159" s="119">
        <v>16235</v>
      </c>
      <c r="W159" s="119">
        <v>10800</v>
      </c>
      <c r="X159" s="125">
        <f>+W159*0.5</f>
        <v>5400</v>
      </c>
      <c r="Y159" s="118">
        <f t="shared" si="280"/>
        <v>35</v>
      </c>
      <c r="Z159" s="118">
        <f t="shared" si="281"/>
        <v>16235</v>
      </c>
      <c r="AA159" s="119">
        <v>30</v>
      </c>
      <c r="AB159" s="115">
        <v>9.5</v>
      </c>
      <c r="AC159" s="115">
        <v>3</v>
      </c>
      <c r="AD159" s="115">
        <v>1</v>
      </c>
      <c r="AE159" s="115"/>
      <c r="AF159" s="115">
        <f t="shared" si="276"/>
        <v>7.5</v>
      </c>
      <c r="AG159" s="115">
        <f t="shared" si="277"/>
        <v>37.5</v>
      </c>
      <c r="AH159" s="101">
        <f t="shared" si="216"/>
        <v>30</v>
      </c>
      <c r="AI159" s="118">
        <f t="shared" si="282"/>
        <v>18059</v>
      </c>
      <c r="AJ159" s="118">
        <f t="shared" si="261"/>
        <v>16235</v>
      </c>
      <c r="AK159" s="118">
        <f t="shared" si="262"/>
        <v>10800</v>
      </c>
      <c r="AL159" s="118">
        <f t="shared" si="263"/>
        <v>5400</v>
      </c>
      <c r="AM159" s="118">
        <f t="shared" si="251"/>
        <v>35</v>
      </c>
      <c r="AN159" s="119">
        <f t="shared" si="264"/>
        <v>528</v>
      </c>
      <c r="AO159" s="119">
        <f t="shared" si="283"/>
        <v>1296</v>
      </c>
      <c r="AP159" s="118">
        <f t="shared" si="252"/>
        <v>18059</v>
      </c>
      <c r="AQ159" s="118">
        <v>0</v>
      </c>
      <c r="AR159" s="118">
        <f t="shared" si="266"/>
        <v>122</v>
      </c>
      <c r="AS159" s="118">
        <f t="shared" si="237"/>
        <v>528</v>
      </c>
      <c r="AT159" s="118">
        <f t="shared" si="238"/>
        <v>1296</v>
      </c>
      <c r="AU159" s="118">
        <f t="shared" si="239"/>
        <v>1296</v>
      </c>
      <c r="AV159" s="118"/>
      <c r="AW159" s="118">
        <v>0</v>
      </c>
      <c r="AX159" s="118">
        <f t="shared" ref="AX159:AX160" si="284">+AV159-AW159</f>
        <v>0</v>
      </c>
      <c r="AY159" s="120"/>
      <c r="AZ159" s="120">
        <v>1000</v>
      </c>
      <c r="BA159" s="118">
        <f t="shared" si="278"/>
        <v>13817</v>
      </c>
      <c r="BB159" s="31" t="s">
        <v>543</v>
      </c>
      <c r="BC159" s="34" t="s">
        <v>808</v>
      </c>
      <c r="BD159" s="34" t="s">
        <v>807</v>
      </c>
      <c r="BE159" s="102"/>
      <c r="BF159" s="102"/>
      <c r="BG159" s="70" t="s">
        <v>48</v>
      </c>
      <c r="BH159" s="125">
        <v>0</v>
      </c>
      <c r="BI159" s="156"/>
      <c r="BJ159" s="70"/>
    </row>
    <row r="160" spans="1:62" s="13" customFormat="1" x14ac:dyDescent="0.25">
      <c r="A160" s="70">
        <f t="shared" si="175"/>
        <v>158</v>
      </c>
      <c r="B160" s="122">
        <v>2312</v>
      </c>
      <c r="C160" s="134" t="s">
        <v>981</v>
      </c>
      <c r="D160" s="126" t="s">
        <v>984</v>
      </c>
      <c r="E160" s="146" t="s">
        <v>832</v>
      </c>
      <c r="F160" s="114" t="s">
        <v>978</v>
      </c>
      <c r="G160" s="147"/>
      <c r="H160" s="122" t="s">
        <v>43</v>
      </c>
      <c r="I160" s="82">
        <v>45537</v>
      </c>
      <c r="J160" s="137"/>
      <c r="K160" s="82">
        <v>45628</v>
      </c>
      <c r="L160" s="102"/>
      <c r="M160" s="128" t="s">
        <v>44</v>
      </c>
      <c r="N160" s="117" t="s">
        <v>959</v>
      </c>
      <c r="O160" s="114" t="s">
        <v>976</v>
      </c>
      <c r="P160" s="70" t="s">
        <v>412</v>
      </c>
      <c r="Q160" s="70" t="s">
        <v>412</v>
      </c>
      <c r="R160" s="125">
        <v>17250</v>
      </c>
      <c r="S160" s="125">
        <f>+R160*0.1</f>
        <v>1725</v>
      </c>
      <c r="T160" s="116" t="s">
        <v>1501</v>
      </c>
      <c r="U160" s="119">
        <f t="shared" si="273"/>
        <v>18975</v>
      </c>
      <c r="V160" s="119">
        <v>17123</v>
      </c>
      <c r="W160" s="119">
        <v>10800</v>
      </c>
      <c r="X160" s="125">
        <f>+V160-W160</f>
        <v>6323</v>
      </c>
      <c r="Y160" s="118">
        <f t="shared" si="280"/>
        <v>0</v>
      </c>
      <c r="Z160" s="118">
        <f t="shared" ref="Z160" si="285">W160+X160+Y160</f>
        <v>17123</v>
      </c>
      <c r="AA160" s="119">
        <v>30</v>
      </c>
      <c r="AB160" s="115">
        <v>8.5</v>
      </c>
      <c r="AC160" s="115">
        <v>0</v>
      </c>
      <c r="AD160" s="115">
        <v>2</v>
      </c>
      <c r="AE160" s="115"/>
      <c r="AF160" s="115">
        <f t="shared" si="276"/>
        <v>10.5</v>
      </c>
      <c r="AG160" s="115">
        <f t="shared" si="277"/>
        <v>40.5</v>
      </c>
      <c r="AH160" s="101">
        <f t="shared" si="216"/>
        <v>30</v>
      </c>
      <c r="AI160" s="118">
        <f t="shared" si="282"/>
        <v>18975</v>
      </c>
      <c r="AJ160" s="118">
        <f t="shared" si="261"/>
        <v>17123</v>
      </c>
      <c r="AK160" s="118">
        <f t="shared" si="262"/>
        <v>10800</v>
      </c>
      <c r="AL160" s="118">
        <f t="shared" si="263"/>
        <v>6323</v>
      </c>
      <c r="AM160" s="118">
        <f t="shared" si="251"/>
        <v>0</v>
      </c>
      <c r="AN160" s="119">
        <f t="shared" si="264"/>
        <v>557</v>
      </c>
      <c r="AO160" s="119">
        <f t="shared" si="283"/>
        <v>1296</v>
      </c>
      <c r="AP160" s="118">
        <f t="shared" si="252"/>
        <v>18976</v>
      </c>
      <c r="AQ160" s="118">
        <v>0</v>
      </c>
      <c r="AR160" s="118">
        <f t="shared" si="266"/>
        <v>129</v>
      </c>
      <c r="AS160" s="118">
        <f t="shared" si="237"/>
        <v>557</v>
      </c>
      <c r="AT160" s="118">
        <f t="shared" si="238"/>
        <v>1296</v>
      </c>
      <c r="AU160" s="118">
        <f t="shared" si="239"/>
        <v>1296</v>
      </c>
      <c r="AV160" s="118"/>
      <c r="AW160" s="118">
        <v>0</v>
      </c>
      <c r="AX160" s="118">
        <f t="shared" si="284"/>
        <v>0</v>
      </c>
      <c r="AY160" s="120"/>
      <c r="AZ160" s="120">
        <v>300</v>
      </c>
      <c r="BA160" s="118">
        <f t="shared" si="278"/>
        <v>15398</v>
      </c>
      <c r="BB160" s="31" t="s">
        <v>393</v>
      </c>
      <c r="BC160" s="34" t="s">
        <v>106</v>
      </c>
      <c r="BD160" s="34" t="s">
        <v>871</v>
      </c>
      <c r="BE160" s="102"/>
      <c r="BF160" s="102"/>
      <c r="BG160" s="70" t="s">
        <v>48</v>
      </c>
      <c r="BH160" s="125">
        <v>0</v>
      </c>
      <c r="BI160" s="156"/>
      <c r="BJ160" s="70"/>
    </row>
    <row r="161" spans="1:62" s="13" customFormat="1" x14ac:dyDescent="0.25">
      <c r="A161" s="70">
        <f t="shared" si="175"/>
        <v>159</v>
      </c>
      <c r="B161" s="122">
        <v>2314</v>
      </c>
      <c r="C161" s="134" t="s">
        <v>982</v>
      </c>
      <c r="D161" s="126" t="s">
        <v>985</v>
      </c>
      <c r="E161" s="146" t="s">
        <v>556</v>
      </c>
      <c r="F161" s="114" t="s">
        <v>974</v>
      </c>
      <c r="G161" s="147"/>
      <c r="H161" s="122" t="s">
        <v>43</v>
      </c>
      <c r="I161" s="82">
        <v>45540</v>
      </c>
      <c r="J161" s="137"/>
      <c r="K161" s="82">
        <v>45628</v>
      </c>
      <c r="L161" s="102"/>
      <c r="M161" s="128" t="s">
        <v>44</v>
      </c>
      <c r="N161" s="117" t="s">
        <v>959</v>
      </c>
      <c r="O161" s="114" t="s">
        <v>977</v>
      </c>
      <c r="P161" s="70" t="s">
        <v>412</v>
      </c>
      <c r="Q161" s="70" t="s">
        <v>412</v>
      </c>
      <c r="R161" s="125">
        <v>15000</v>
      </c>
      <c r="S161" s="125">
        <f>+R161*0.15</f>
        <v>2250</v>
      </c>
      <c r="T161" s="116">
        <v>45778</v>
      </c>
      <c r="U161" s="119">
        <f t="shared" ref="U161" si="286">R161+S161</f>
        <v>17250</v>
      </c>
      <c r="V161" s="119">
        <v>15452</v>
      </c>
      <c r="W161" s="119">
        <v>10800</v>
      </c>
      <c r="X161" s="125">
        <f>+V161-W161</f>
        <v>4652</v>
      </c>
      <c r="Y161" s="118">
        <f t="shared" ref="Y161" si="287">+V161-W161-X161</f>
        <v>0</v>
      </c>
      <c r="Z161" s="118">
        <f t="shared" ref="Z161" si="288">W161+X161+Y161</f>
        <v>15452</v>
      </c>
      <c r="AA161" s="119">
        <v>30</v>
      </c>
      <c r="AB161" s="115">
        <v>1</v>
      </c>
      <c r="AC161" s="115">
        <v>5</v>
      </c>
      <c r="AD161" s="115">
        <v>1</v>
      </c>
      <c r="AE161" s="115"/>
      <c r="AF161" s="115">
        <f>AB161+AD161+AE161-AC161</f>
        <v>-3</v>
      </c>
      <c r="AG161" s="115">
        <f>+AF161+AA161</f>
        <v>27</v>
      </c>
      <c r="AH161" s="101">
        <f t="shared" si="216"/>
        <v>27</v>
      </c>
      <c r="AI161" s="118">
        <f>ROUND(U161*AH161/AA161,0)</f>
        <v>15525</v>
      </c>
      <c r="AJ161" s="118">
        <f t="shared" si="261"/>
        <v>13907</v>
      </c>
      <c r="AK161" s="118">
        <f t="shared" si="262"/>
        <v>9720</v>
      </c>
      <c r="AL161" s="118">
        <f t="shared" si="263"/>
        <v>4187</v>
      </c>
      <c r="AM161" s="118">
        <f t="shared" si="251"/>
        <v>0</v>
      </c>
      <c r="AN161" s="119">
        <f t="shared" si="264"/>
        <v>452</v>
      </c>
      <c r="AO161" s="119">
        <f>ROUND(IF(AK161&lt;15001,AK161*12%,1800),0)</f>
        <v>1166</v>
      </c>
      <c r="AP161" s="118">
        <f t="shared" si="252"/>
        <v>15525</v>
      </c>
      <c r="AQ161" s="118">
        <v>0</v>
      </c>
      <c r="AR161" s="118">
        <f t="shared" si="266"/>
        <v>105</v>
      </c>
      <c r="AS161" s="118">
        <f t="shared" si="237"/>
        <v>452</v>
      </c>
      <c r="AT161" s="118">
        <f t="shared" si="238"/>
        <v>1166</v>
      </c>
      <c r="AU161" s="118">
        <f t="shared" si="239"/>
        <v>1166</v>
      </c>
      <c r="AV161" s="118"/>
      <c r="AW161" s="118">
        <v>0</v>
      </c>
      <c r="AX161" s="118">
        <f>+AV161-AW161</f>
        <v>0</v>
      </c>
      <c r="AY161" s="120"/>
      <c r="AZ161" s="120">
        <v>1000</v>
      </c>
      <c r="BA161" s="118">
        <f>AP161-AQ161-AR161-AS161-AT161-AU161-AW161+AY161-AZ161</f>
        <v>11636</v>
      </c>
      <c r="BB161" s="31" t="s">
        <v>424</v>
      </c>
      <c r="BC161" s="34" t="s">
        <v>760</v>
      </c>
      <c r="BD161" s="34" t="s">
        <v>848</v>
      </c>
      <c r="BE161" s="102"/>
      <c r="BF161" s="102"/>
      <c r="BG161" s="70" t="s">
        <v>48</v>
      </c>
      <c r="BH161" s="125">
        <v>0</v>
      </c>
      <c r="BI161" s="156"/>
      <c r="BJ161" s="70"/>
    </row>
    <row r="162" spans="1:62" s="13" customFormat="1" x14ac:dyDescent="0.25">
      <c r="A162" s="70">
        <f t="shared" si="175"/>
        <v>160</v>
      </c>
      <c r="B162" s="122">
        <v>2316</v>
      </c>
      <c r="C162" s="134" t="s">
        <v>989</v>
      </c>
      <c r="D162" s="126" t="s">
        <v>990</v>
      </c>
      <c r="E162" s="146" t="s">
        <v>714</v>
      </c>
      <c r="F162" s="114" t="s">
        <v>993</v>
      </c>
      <c r="G162" s="147"/>
      <c r="H162" s="122" t="s">
        <v>43</v>
      </c>
      <c r="I162" s="82">
        <v>45467</v>
      </c>
      <c r="J162" s="137"/>
      <c r="K162" s="82">
        <v>45659</v>
      </c>
      <c r="L162" s="102"/>
      <c r="M162" s="128" t="s">
        <v>44</v>
      </c>
      <c r="N162" s="117" t="s">
        <v>959</v>
      </c>
      <c r="O162" s="114" t="s">
        <v>1000</v>
      </c>
      <c r="P162" s="70" t="s">
        <v>412</v>
      </c>
      <c r="Q162" s="70" t="s">
        <v>412</v>
      </c>
      <c r="R162" s="125">
        <v>17700</v>
      </c>
      <c r="S162" s="83">
        <f>+R162*0.1</f>
        <v>1770</v>
      </c>
      <c r="T162" s="116" t="s">
        <v>1501</v>
      </c>
      <c r="U162" s="119">
        <f t="shared" ref="U162" si="289">R162+S162</f>
        <v>19470</v>
      </c>
      <c r="V162" s="119">
        <v>17602</v>
      </c>
      <c r="W162" s="119">
        <v>10800</v>
      </c>
      <c r="X162" s="125">
        <f>+W162*0.5</f>
        <v>5400</v>
      </c>
      <c r="Y162" s="118">
        <f t="shared" ref="Y162" si="290">+V162-W162-X162</f>
        <v>1402</v>
      </c>
      <c r="Z162" s="118">
        <f t="shared" ref="Z162" si="291">W162+X162+Y162</f>
        <v>17602</v>
      </c>
      <c r="AA162" s="119">
        <v>30</v>
      </c>
      <c r="AB162" s="115">
        <v>6.5</v>
      </c>
      <c r="AC162" s="115">
        <v>0</v>
      </c>
      <c r="AD162" s="115">
        <v>2</v>
      </c>
      <c r="AE162" s="115"/>
      <c r="AF162" s="115">
        <f t="shared" ref="AF162" si="292">AB162+AD162+AE162-AC162</f>
        <v>8.5</v>
      </c>
      <c r="AG162" s="115">
        <f t="shared" ref="AG162" si="293">+AF162+AA162</f>
        <v>38.5</v>
      </c>
      <c r="AH162" s="101">
        <f t="shared" si="216"/>
        <v>30</v>
      </c>
      <c r="AI162" s="118">
        <f t="shared" ref="AI162" si="294">ROUND(U162*AH162/AA162,0)</f>
        <v>19470</v>
      </c>
      <c r="AJ162" s="118">
        <f t="shared" si="261"/>
        <v>17602</v>
      </c>
      <c r="AK162" s="118">
        <f t="shared" si="262"/>
        <v>10800</v>
      </c>
      <c r="AL162" s="118">
        <f t="shared" si="263"/>
        <v>5400</v>
      </c>
      <c r="AM162" s="118">
        <f t="shared" si="251"/>
        <v>1402</v>
      </c>
      <c r="AN162" s="119">
        <f t="shared" si="264"/>
        <v>573</v>
      </c>
      <c r="AO162" s="119">
        <f t="shared" ref="AO162" si="295">ROUND(IF(AK162&lt;15001,AK162*12%,1800),0)</f>
        <v>1296</v>
      </c>
      <c r="AP162" s="118">
        <f t="shared" si="252"/>
        <v>19471</v>
      </c>
      <c r="AQ162" s="118">
        <v>0</v>
      </c>
      <c r="AR162" s="118">
        <f t="shared" si="266"/>
        <v>133</v>
      </c>
      <c r="AS162" s="118">
        <f t="shared" si="237"/>
        <v>573</v>
      </c>
      <c r="AT162" s="118">
        <f t="shared" si="238"/>
        <v>1296</v>
      </c>
      <c r="AU162" s="118">
        <f t="shared" si="239"/>
        <v>1296</v>
      </c>
      <c r="AV162" s="118">
        <v>15000</v>
      </c>
      <c r="AW162" s="118">
        <f>3000</f>
        <v>3000</v>
      </c>
      <c r="AX162" s="118">
        <f>+AV162-AW162</f>
        <v>12000</v>
      </c>
      <c r="AY162" s="120"/>
      <c r="AZ162" s="120">
        <v>0</v>
      </c>
      <c r="BA162" s="118">
        <f t="shared" ref="BA162" si="296">AP162-AQ162-AR162-AS162-AT162-AU162-AW162+AY162-AZ162</f>
        <v>13173</v>
      </c>
      <c r="BB162" s="31" t="s">
        <v>393</v>
      </c>
      <c r="BC162" s="34" t="s">
        <v>106</v>
      </c>
      <c r="BD162" s="34" t="s">
        <v>800</v>
      </c>
      <c r="BE162" s="102"/>
      <c r="BF162" s="102"/>
      <c r="BG162" s="70" t="s">
        <v>48</v>
      </c>
      <c r="BH162" s="125">
        <v>0</v>
      </c>
      <c r="BI162" s="156"/>
      <c r="BJ162" s="70"/>
    </row>
    <row r="163" spans="1:62" s="13" customFormat="1" x14ac:dyDescent="0.25">
      <c r="A163" s="70">
        <f t="shared" si="175"/>
        <v>161</v>
      </c>
      <c r="B163" s="122">
        <v>2318</v>
      </c>
      <c r="C163" s="134" t="s">
        <v>991</v>
      </c>
      <c r="D163" s="126" t="s">
        <v>992</v>
      </c>
      <c r="E163" s="146" t="s">
        <v>716</v>
      </c>
      <c r="F163" s="114" t="s">
        <v>994</v>
      </c>
      <c r="G163" s="147"/>
      <c r="H163" s="122" t="s">
        <v>43</v>
      </c>
      <c r="I163" s="82">
        <v>45468</v>
      </c>
      <c r="J163" s="137"/>
      <c r="K163" s="82">
        <v>45659</v>
      </c>
      <c r="L163" s="102"/>
      <c r="M163" s="128" t="s">
        <v>44</v>
      </c>
      <c r="N163" s="117" t="s">
        <v>959</v>
      </c>
      <c r="O163" s="114" t="s">
        <v>998</v>
      </c>
      <c r="P163" s="70" t="s">
        <v>412</v>
      </c>
      <c r="Q163" s="70" t="s">
        <v>412</v>
      </c>
      <c r="R163" s="125">
        <v>19666</v>
      </c>
      <c r="S163" s="83">
        <f>+R163*0.2</f>
        <v>3933.2000000000003</v>
      </c>
      <c r="T163" s="116" t="s">
        <v>1501</v>
      </c>
      <c r="U163" s="119">
        <f t="shared" ref="U163" si="297">R163+S163</f>
        <v>23599.200000000001</v>
      </c>
      <c r="V163" s="119">
        <v>22184</v>
      </c>
      <c r="W163" s="119">
        <f>+U163*0.5</f>
        <v>11799.6</v>
      </c>
      <c r="X163" s="125">
        <f>+W163*0.5</f>
        <v>5899.8</v>
      </c>
      <c r="Y163" s="118">
        <f t="shared" ref="Y163" si="298">+V163-W163-X163</f>
        <v>4484.5999999999995</v>
      </c>
      <c r="Z163" s="118">
        <f t="shared" ref="Z163" si="299">+W163+X163+Y163</f>
        <v>22184</v>
      </c>
      <c r="AA163" s="119">
        <v>30</v>
      </c>
      <c r="AB163" s="115">
        <v>1</v>
      </c>
      <c r="AC163" s="115">
        <v>3.5</v>
      </c>
      <c r="AD163" s="115">
        <v>1</v>
      </c>
      <c r="AE163" s="115"/>
      <c r="AF163" s="115">
        <f t="shared" ref="AF163" si="300">AB163+AD163+AE163-AC163</f>
        <v>-1.5</v>
      </c>
      <c r="AG163" s="115">
        <f t="shared" ref="AG163" si="301">+AF163+AA163</f>
        <v>28.5</v>
      </c>
      <c r="AH163" s="101">
        <f t="shared" si="216"/>
        <v>28.5</v>
      </c>
      <c r="AI163" s="118">
        <f t="shared" ref="AI163" si="302">ROUND(U163*AH163/AA163,0)</f>
        <v>22419</v>
      </c>
      <c r="AJ163" s="118">
        <f t="shared" si="261"/>
        <v>21075</v>
      </c>
      <c r="AK163" s="118">
        <f t="shared" si="262"/>
        <v>11210</v>
      </c>
      <c r="AL163" s="118">
        <f t="shared" si="263"/>
        <v>5605</v>
      </c>
      <c r="AM163" s="118">
        <f t="shared" si="251"/>
        <v>4260</v>
      </c>
      <c r="AN163" s="119">
        <f t="shared" si="264"/>
        <v>0</v>
      </c>
      <c r="AO163" s="119">
        <f t="shared" ref="AO163" si="303">ROUND(IF(AK163&lt;15001,AK163*12%,1800),0)</f>
        <v>1345</v>
      </c>
      <c r="AP163" s="118">
        <f t="shared" si="252"/>
        <v>22420</v>
      </c>
      <c r="AQ163" s="118">
        <v>0</v>
      </c>
      <c r="AR163" s="118">
        <f t="shared" si="266"/>
        <v>0</v>
      </c>
      <c r="AS163" s="118">
        <f t="shared" si="237"/>
        <v>0</v>
      </c>
      <c r="AT163" s="118">
        <f t="shared" si="238"/>
        <v>1345</v>
      </c>
      <c r="AU163" s="118">
        <f t="shared" si="239"/>
        <v>1345</v>
      </c>
      <c r="AV163" s="118"/>
      <c r="AW163" s="118">
        <v>0</v>
      </c>
      <c r="AX163" s="118">
        <f t="shared" ref="AX163" si="304">+AV163-AW163</f>
        <v>0</v>
      </c>
      <c r="AY163" s="120"/>
      <c r="AZ163" s="120">
        <v>0</v>
      </c>
      <c r="BA163" s="118">
        <f t="shared" ref="BA163" si="305">AP163-AQ163-AR163-AS163-AT163-AU163-AW163+AY163-AZ163</f>
        <v>19730</v>
      </c>
      <c r="BB163" s="31" t="s">
        <v>394</v>
      </c>
      <c r="BC163" s="34" t="s">
        <v>719</v>
      </c>
      <c r="BD163" s="34" t="s">
        <v>720</v>
      </c>
      <c r="BE163" s="102"/>
      <c r="BF163" s="102"/>
      <c r="BG163" s="70" t="s">
        <v>48</v>
      </c>
      <c r="BH163" s="125">
        <v>0</v>
      </c>
      <c r="BI163" s="156"/>
      <c r="BJ163" s="70"/>
    </row>
    <row r="164" spans="1:62" s="13" customFormat="1" x14ac:dyDescent="0.25">
      <c r="A164" s="70">
        <f t="shared" si="175"/>
        <v>162</v>
      </c>
      <c r="B164" s="122">
        <v>2320</v>
      </c>
      <c r="C164" s="134" t="s">
        <v>1020</v>
      </c>
      <c r="D164" s="126" t="s">
        <v>1022</v>
      </c>
      <c r="E164" s="146" t="s">
        <v>995</v>
      </c>
      <c r="F164" s="114" t="s">
        <v>1021</v>
      </c>
      <c r="G164" s="147"/>
      <c r="H164" s="122" t="s">
        <v>43</v>
      </c>
      <c r="I164" s="82">
        <v>45709</v>
      </c>
      <c r="J164" s="137"/>
      <c r="K164" s="82"/>
      <c r="L164" s="102"/>
      <c r="M164" s="128" t="s">
        <v>44</v>
      </c>
      <c r="N164" s="117" t="s">
        <v>946</v>
      </c>
      <c r="O164" s="114" t="s">
        <v>998</v>
      </c>
      <c r="P164" s="70" t="s">
        <v>412</v>
      </c>
      <c r="Q164" s="70" t="s">
        <v>412</v>
      </c>
      <c r="R164" s="125">
        <v>21534</v>
      </c>
      <c r="S164" s="83"/>
      <c r="T164" s="116"/>
      <c r="U164" s="119">
        <f t="shared" ref="U164:U167" si="306">R164+S164</f>
        <v>21534</v>
      </c>
      <c r="V164" s="119">
        <v>19531</v>
      </c>
      <c r="W164" s="119">
        <v>11532</v>
      </c>
      <c r="X164" s="125">
        <f t="shared" ref="X164" si="307">+W164*0.5</f>
        <v>5766</v>
      </c>
      <c r="Y164" s="118">
        <f t="shared" ref="Y164:Y165" si="308">+V164-W164-X164</f>
        <v>2233</v>
      </c>
      <c r="Z164" s="118">
        <f t="shared" ref="Z164" si="309">+W164+X164+Y164</f>
        <v>19531</v>
      </c>
      <c r="AA164" s="119">
        <v>30</v>
      </c>
      <c r="AB164" s="115">
        <v>2.5</v>
      </c>
      <c r="AC164" s="115">
        <v>3.5</v>
      </c>
      <c r="AD164" s="115">
        <v>1</v>
      </c>
      <c r="AE164" s="115"/>
      <c r="AF164" s="115">
        <f t="shared" ref="AF164:AF167" si="310">AB164+AD164+AE164-AC164</f>
        <v>0</v>
      </c>
      <c r="AG164" s="115">
        <f t="shared" ref="AG164:AG167" si="311">+AF164+AA164</f>
        <v>30</v>
      </c>
      <c r="AH164" s="101">
        <f t="shared" si="216"/>
        <v>30</v>
      </c>
      <c r="AI164" s="118">
        <f>ROUND(U164*AH164/AA164,0)</f>
        <v>21534</v>
      </c>
      <c r="AJ164" s="118">
        <f t="shared" si="261"/>
        <v>19531</v>
      </c>
      <c r="AK164" s="118">
        <f t="shared" si="262"/>
        <v>11532</v>
      </c>
      <c r="AL164" s="118">
        <f t="shared" si="263"/>
        <v>5766</v>
      </c>
      <c r="AM164" s="118">
        <f t="shared" si="251"/>
        <v>2233</v>
      </c>
      <c r="AN164" s="119">
        <f t="shared" si="264"/>
        <v>635</v>
      </c>
      <c r="AO164" s="119">
        <f>ROUND(IF(W164&lt;15001,AK164*12%),0)</f>
        <v>1384</v>
      </c>
      <c r="AP164" s="118">
        <f t="shared" si="252"/>
        <v>21550</v>
      </c>
      <c r="AQ164" s="118">
        <v>0</v>
      </c>
      <c r="AR164" s="118">
        <f t="shared" si="266"/>
        <v>147</v>
      </c>
      <c r="AS164" s="118">
        <f t="shared" si="237"/>
        <v>635</v>
      </c>
      <c r="AT164" s="118">
        <f t="shared" si="238"/>
        <v>1384</v>
      </c>
      <c r="AU164" s="118">
        <f t="shared" si="239"/>
        <v>1384</v>
      </c>
      <c r="AV164" s="118"/>
      <c r="AW164" s="118">
        <v>0</v>
      </c>
      <c r="AX164" s="118">
        <f>+AV164-AW164</f>
        <v>0</v>
      </c>
      <c r="AY164" s="120"/>
      <c r="AZ164" s="120">
        <v>1000</v>
      </c>
      <c r="BA164" s="118">
        <f t="shared" ref="BA164:BA167" si="312">AP164-AQ164-AR164-AS164-AT164-AU164-AW164+AY164-AZ164</f>
        <v>17000</v>
      </c>
      <c r="BB164" s="31" t="s">
        <v>425</v>
      </c>
      <c r="BC164" s="34" t="s">
        <v>1010</v>
      </c>
      <c r="BD164" s="34" t="s">
        <v>1011</v>
      </c>
      <c r="BE164" s="102"/>
      <c r="BF164" s="102"/>
      <c r="BG164" s="70" t="s">
        <v>48</v>
      </c>
      <c r="BH164" s="125">
        <v>0</v>
      </c>
      <c r="BI164" s="156"/>
      <c r="BJ164" s="70"/>
    </row>
    <row r="165" spans="1:62" s="13" customFormat="1" x14ac:dyDescent="0.25">
      <c r="A165" s="70">
        <f t="shared" si="175"/>
        <v>163</v>
      </c>
      <c r="B165" s="122">
        <v>2321</v>
      </c>
      <c r="C165" s="134" t="s">
        <v>1016</v>
      </c>
      <c r="D165" s="126" t="s">
        <v>1002</v>
      </c>
      <c r="E165" s="146" t="s">
        <v>715</v>
      </c>
      <c r="F165" s="114" t="s">
        <v>1006</v>
      </c>
      <c r="G165" s="147"/>
      <c r="H165" s="122" t="s">
        <v>43</v>
      </c>
      <c r="I165" s="82">
        <v>45689</v>
      </c>
      <c r="J165" s="137"/>
      <c r="K165" s="82">
        <v>45467</v>
      </c>
      <c r="L165" s="102"/>
      <c r="M165" s="128" t="s">
        <v>44</v>
      </c>
      <c r="N165" s="117" t="s">
        <v>1114</v>
      </c>
      <c r="O165" s="114" t="s">
        <v>1000</v>
      </c>
      <c r="P165" s="70" t="s">
        <v>412</v>
      </c>
      <c r="Q165" s="70" t="s">
        <v>412</v>
      </c>
      <c r="R165" s="125">
        <v>16169</v>
      </c>
      <c r="S165" s="83">
        <f>+R165*0.2</f>
        <v>3233.8</v>
      </c>
      <c r="T165" s="116">
        <v>45778</v>
      </c>
      <c r="U165" s="119">
        <f t="shared" si="306"/>
        <v>19402.8</v>
      </c>
      <c r="V165" s="119">
        <v>17537</v>
      </c>
      <c r="W165" s="119">
        <v>10800</v>
      </c>
      <c r="X165" s="125">
        <f>+W165*0.5</f>
        <v>5400</v>
      </c>
      <c r="Y165" s="118">
        <f t="shared" si="308"/>
        <v>1337</v>
      </c>
      <c r="Z165" s="118">
        <f t="shared" ref="Z165:Z167" si="313">+W165+X165+Y165</f>
        <v>17537</v>
      </c>
      <c r="AA165" s="119">
        <v>30</v>
      </c>
      <c r="AB165" s="115">
        <v>5</v>
      </c>
      <c r="AC165" s="115">
        <v>5</v>
      </c>
      <c r="AD165" s="115">
        <v>1</v>
      </c>
      <c r="AE165" s="115"/>
      <c r="AF165" s="115">
        <f t="shared" si="310"/>
        <v>1</v>
      </c>
      <c r="AG165" s="115">
        <f t="shared" si="311"/>
        <v>31</v>
      </c>
      <c r="AH165" s="101">
        <f t="shared" si="216"/>
        <v>30</v>
      </c>
      <c r="AI165" s="118">
        <f t="shared" ref="AI165" si="314">ROUND(U165*AH165/AA165,0)</f>
        <v>19403</v>
      </c>
      <c r="AJ165" s="118">
        <f t="shared" si="261"/>
        <v>17537</v>
      </c>
      <c r="AK165" s="118">
        <f t="shared" si="262"/>
        <v>10800</v>
      </c>
      <c r="AL165" s="118">
        <f t="shared" si="263"/>
        <v>5400</v>
      </c>
      <c r="AM165" s="118">
        <f t="shared" si="251"/>
        <v>1337</v>
      </c>
      <c r="AN165" s="119">
        <f t="shared" si="264"/>
        <v>570</v>
      </c>
      <c r="AO165" s="119">
        <f t="shared" ref="AO165" si="315">ROUND(IF(AK165&lt;15001,AK165*12%,1800),0)</f>
        <v>1296</v>
      </c>
      <c r="AP165" s="118">
        <f t="shared" si="252"/>
        <v>19403</v>
      </c>
      <c r="AQ165" s="118">
        <v>0</v>
      </c>
      <c r="AR165" s="118">
        <f t="shared" si="266"/>
        <v>132</v>
      </c>
      <c r="AS165" s="118">
        <f t="shared" ref="AS165:AS186" si="316">AN165</f>
        <v>570</v>
      </c>
      <c r="AT165" s="118">
        <f t="shared" si="238"/>
        <v>1296</v>
      </c>
      <c r="AU165" s="118">
        <f t="shared" si="239"/>
        <v>1296</v>
      </c>
      <c r="AV165" s="118"/>
      <c r="AW165" s="118">
        <v>0</v>
      </c>
      <c r="AX165" s="118">
        <v>0</v>
      </c>
      <c r="AY165" s="120"/>
      <c r="AZ165" s="120">
        <v>0</v>
      </c>
      <c r="BA165" s="118">
        <f t="shared" si="312"/>
        <v>16109</v>
      </c>
      <c r="BB165" s="31" t="s">
        <v>532</v>
      </c>
      <c r="BC165" s="34" t="s">
        <v>721</v>
      </c>
      <c r="BD165" s="34" t="s">
        <v>718</v>
      </c>
      <c r="BE165" s="102"/>
      <c r="BF165" s="102"/>
      <c r="BG165" s="70" t="s">
        <v>48</v>
      </c>
      <c r="BH165" s="125">
        <v>0</v>
      </c>
      <c r="BI165" s="156"/>
      <c r="BJ165" s="70"/>
    </row>
    <row r="166" spans="1:62" s="13" customFormat="1" x14ac:dyDescent="0.25">
      <c r="A166" s="70">
        <f t="shared" si="175"/>
        <v>164</v>
      </c>
      <c r="B166" s="122">
        <v>2322</v>
      </c>
      <c r="C166" s="134" t="s">
        <v>1017</v>
      </c>
      <c r="D166" s="126" t="s">
        <v>1003</v>
      </c>
      <c r="E166" s="146" t="s">
        <v>688</v>
      </c>
      <c r="F166" s="114" t="s">
        <v>1007</v>
      </c>
      <c r="G166" s="147"/>
      <c r="H166" s="122" t="s">
        <v>43</v>
      </c>
      <c r="I166" s="82">
        <v>45694</v>
      </c>
      <c r="J166" s="137"/>
      <c r="K166" s="82">
        <v>45434</v>
      </c>
      <c r="L166" s="102"/>
      <c r="M166" s="128" t="s">
        <v>44</v>
      </c>
      <c r="N166" s="117" t="s">
        <v>959</v>
      </c>
      <c r="O166" s="114" t="s">
        <v>53</v>
      </c>
      <c r="P166" s="70" t="s">
        <v>412</v>
      </c>
      <c r="Q166" s="70" t="s">
        <v>412</v>
      </c>
      <c r="R166" s="125">
        <v>16641</v>
      </c>
      <c r="S166" s="83">
        <f>+R166*0.22</f>
        <v>3661.02</v>
      </c>
      <c r="T166" s="116" t="s">
        <v>1501</v>
      </c>
      <c r="U166" s="119">
        <f t="shared" si="306"/>
        <v>20302.02</v>
      </c>
      <c r="V166" s="119">
        <v>18408</v>
      </c>
      <c r="W166" s="119">
        <v>10800</v>
      </c>
      <c r="X166" s="125">
        <f>+V166-W166</f>
        <v>7608</v>
      </c>
      <c r="Y166" s="118">
        <f t="shared" ref="Y166:Y167" si="317">+V166-W166-X166</f>
        <v>0</v>
      </c>
      <c r="Z166" s="118">
        <f t="shared" si="313"/>
        <v>18408</v>
      </c>
      <c r="AA166" s="119">
        <v>30</v>
      </c>
      <c r="AB166" s="115">
        <v>5.5</v>
      </c>
      <c r="AC166" s="115">
        <v>1</v>
      </c>
      <c r="AD166" s="115">
        <v>1</v>
      </c>
      <c r="AE166" s="115"/>
      <c r="AF166" s="115">
        <f t="shared" si="310"/>
        <v>5.5</v>
      </c>
      <c r="AG166" s="115">
        <f t="shared" si="311"/>
        <v>35.5</v>
      </c>
      <c r="AH166" s="101">
        <f t="shared" si="216"/>
        <v>30</v>
      </c>
      <c r="AI166" s="118">
        <f t="shared" ref="AI166:AI167" si="318">ROUND(U166*AH166/AA166,0)</f>
        <v>20302</v>
      </c>
      <c r="AJ166" s="118">
        <f t="shared" si="261"/>
        <v>18408</v>
      </c>
      <c r="AK166" s="118">
        <f t="shared" si="262"/>
        <v>10800</v>
      </c>
      <c r="AL166" s="118">
        <f t="shared" si="263"/>
        <v>7608</v>
      </c>
      <c r="AM166" s="118">
        <f t="shared" si="251"/>
        <v>0</v>
      </c>
      <c r="AN166" s="119">
        <f t="shared" si="264"/>
        <v>599</v>
      </c>
      <c r="AO166" s="119">
        <f t="shared" ref="AO166:AO167" si="319">ROUND(IF(AK166&lt;15001,AK166*12%,1800),0)</f>
        <v>1296</v>
      </c>
      <c r="AP166" s="118">
        <f t="shared" si="252"/>
        <v>20303</v>
      </c>
      <c r="AQ166" s="118">
        <v>0</v>
      </c>
      <c r="AR166" s="118">
        <f t="shared" si="266"/>
        <v>139</v>
      </c>
      <c r="AS166" s="118">
        <f t="shared" si="316"/>
        <v>599</v>
      </c>
      <c r="AT166" s="118">
        <f t="shared" ref="AT166:AT186" si="320">AO166</f>
        <v>1296</v>
      </c>
      <c r="AU166" s="118">
        <f t="shared" ref="AU166:AU186" si="321">AO166</f>
        <v>1296</v>
      </c>
      <c r="AV166" s="118"/>
      <c r="AW166" s="118">
        <v>0</v>
      </c>
      <c r="AX166" s="118">
        <v>0</v>
      </c>
      <c r="AY166" s="120"/>
      <c r="AZ166" s="120">
        <v>0</v>
      </c>
      <c r="BA166" s="118">
        <f t="shared" si="312"/>
        <v>16973</v>
      </c>
      <c r="BB166" s="31" t="s">
        <v>425</v>
      </c>
      <c r="BC166" s="34" t="s">
        <v>689</v>
      </c>
      <c r="BD166" s="34" t="s">
        <v>999</v>
      </c>
      <c r="BE166" s="102"/>
      <c r="BF166" s="102"/>
      <c r="BG166" s="70" t="s">
        <v>48</v>
      </c>
      <c r="BH166" s="125" t="s">
        <v>1490</v>
      </c>
      <c r="BI166" s="156"/>
      <c r="BJ166" s="70"/>
    </row>
    <row r="167" spans="1:62" s="13" customFormat="1" x14ac:dyDescent="0.25">
      <c r="A167" s="70">
        <f t="shared" si="175"/>
        <v>165</v>
      </c>
      <c r="B167" s="122">
        <v>2323</v>
      </c>
      <c r="C167" s="134" t="s">
        <v>1018</v>
      </c>
      <c r="D167" s="126" t="s">
        <v>1004</v>
      </c>
      <c r="E167" s="146" t="s">
        <v>742</v>
      </c>
      <c r="F167" s="114" t="s">
        <v>1008</v>
      </c>
      <c r="G167" s="147"/>
      <c r="H167" s="122" t="s">
        <v>43</v>
      </c>
      <c r="I167" s="82">
        <v>45694</v>
      </c>
      <c r="J167" s="137"/>
      <c r="K167" s="82">
        <v>45499</v>
      </c>
      <c r="L167" s="102"/>
      <c r="M167" s="128" t="s">
        <v>44</v>
      </c>
      <c r="N167" s="117" t="s">
        <v>959</v>
      </c>
      <c r="O167" s="114" t="s">
        <v>110</v>
      </c>
      <c r="P167" s="70" t="s">
        <v>412</v>
      </c>
      <c r="Q167" s="70" t="s">
        <v>412</v>
      </c>
      <c r="R167" s="125">
        <v>18778</v>
      </c>
      <c r="S167" s="83">
        <f>+R167*0.07</f>
        <v>1314.46</v>
      </c>
      <c r="T167" s="116" t="s">
        <v>1501</v>
      </c>
      <c r="U167" s="119">
        <f t="shared" si="306"/>
        <v>20092.46</v>
      </c>
      <c r="V167" s="119">
        <v>18204</v>
      </c>
      <c r="W167" s="119">
        <v>10800</v>
      </c>
      <c r="X167" s="125">
        <f>+W167*0.5</f>
        <v>5400</v>
      </c>
      <c r="Y167" s="118">
        <f t="shared" si="317"/>
        <v>2004</v>
      </c>
      <c r="Z167" s="118">
        <f t="shared" si="313"/>
        <v>18204</v>
      </c>
      <c r="AA167" s="119">
        <v>30</v>
      </c>
      <c r="AB167" s="115">
        <v>20.5</v>
      </c>
      <c r="AC167" s="115">
        <v>0</v>
      </c>
      <c r="AD167" s="115">
        <v>3</v>
      </c>
      <c r="AE167" s="115"/>
      <c r="AF167" s="115">
        <f t="shared" si="310"/>
        <v>23.5</v>
      </c>
      <c r="AG167" s="115">
        <f t="shared" si="311"/>
        <v>53.5</v>
      </c>
      <c r="AH167" s="101">
        <f t="shared" si="216"/>
        <v>30</v>
      </c>
      <c r="AI167" s="118">
        <f t="shared" si="318"/>
        <v>20092</v>
      </c>
      <c r="AJ167" s="118">
        <f t="shared" si="261"/>
        <v>18204</v>
      </c>
      <c r="AK167" s="118">
        <f t="shared" si="262"/>
        <v>10800</v>
      </c>
      <c r="AL167" s="118">
        <f t="shared" si="263"/>
        <v>5400</v>
      </c>
      <c r="AM167" s="118">
        <f t="shared" si="251"/>
        <v>2004</v>
      </c>
      <c r="AN167" s="119">
        <f t="shared" si="264"/>
        <v>592</v>
      </c>
      <c r="AO167" s="119">
        <f t="shared" si="319"/>
        <v>1296</v>
      </c>
      <c r="AP167" s="118">
        <f t="shared" si="252"/>
        <v>20092</v>
      </c>
      <c r="AQ167" s="118">
        <v>0</v>
      </c>
      <c r="AR167" s="118">
        <f t="shared" si="266"/>
        <v>137</v>
      </c>
      <c r="AS167" s="118">
        <f t="shared" si="316"/>
        <v>592</v>
      </c>
      <c r="AT167" s="118">
        <f t="shared" si="320"/>
        <v>1296</v>
      </c>
      <c r="AU167" s="118">
        <f t="shared" si="321"/>
        <v>1296</v>
      </c>
      <c r="AV167" s="118"/>
      <c r="AW167" s="118">
        <v>0</v>
      </c>
      <c r="AX167" s="118">
        <f t="shared" ref="AX167" si="322">+AV167-AW167</f>
        <v>0</v>
      </c>
      <c r="AY167" s="120"/>
      <c r="AZ167" s="120">
        <v>1000</v>
      </c>
      <c r="BA167" s="118">
        <f t="shared" si="312"/>
        <v>15771</v>
      </c>
      <c r="BB167" s="31" t="s">
        <v>759</v>
      </c>
      <c r="BC167" s="34" t="s">
        <v>757</v>
      </c>
      <c r="BD167" s="34" t="s">
        <v>758</v>
      </c>
      <c r="BE167" s="102"/>
      <c r="BF167" s="102"/>
      <c r="BG167" s="70" t="s">
        <v>48</v>
      </c>
      <c r="BH167" s="125">
        <v>0</v>
      </c>
      <c r="BI167" s="156"/>
      <c r="BJ167" s="70"/>
    </row>
    <row r="168" spans="1:62" s="13" customFormat="1" x14ac:dyDescent="0.25">
      <c r="A168" s="70">
        <f t="shared" si="175"/>
        <v>166</v>
      </c>
      <c r="B168" s="122">
        <v>2325</v>
      </c>
      <c r="C168" s="134" t="s">
        <v>1019</v>
      </c>
      <c r="D168" s="126" t="s">
        <v>1005</v>
      </c>
      <c r="E168" s="146" t="s">
        <v>743</v>
      </c>
      <c r="F168" s="114" t="s">
        <v>1009</v>
      </c>
      <c r="G168" s="147"/>
      <c r="H168" s="122" t="s">
        <v>43</v>
      </c>
      <c r="I168" s="82">
        <v>45696</v>
      </c>
      <c r="J168" s="137"/>
      <c r="K168" s="82">
        <v>45499</v>
      </c>
      <c r="L168" s="102"/>
      <c r="M168" s="128" t="s">
        <v>44</v>
      </c>
      <c r="N168" s="117" t="s">
        <v>959</v>
      </c>
      <c r="O168" s="114" t="s">
        <v>110</v>
      </c>
      <c r="P168" s="70" t="s">
        <v>412</v>
      </c>
      <c r="Q168" s="70" t="s">
        <v>412</v>
      </c>
      <c r="R168" s="125">
        <v>16689</v>
      </c>
      <c r="S168" s="83"/>
      <c r="T168" s="116"/>
      <c r="U168" s="119">
        <f t="shared" ref="U168:U169" si="323">R168+S168</f>
        <v>16689</v>
      </c>
      <c r="V168" s="119">
        <v>14908</v>
      </c>
      <c r="W168" s="119">
        <v>10800</v>
      </c>
      <c r="X168" s="125">
        <v>4108</v>
      </c>
      <c r="Y168" s="118">
        <f t="shared" ref="Y168:Y169" si="324">+V168-W168-X168</f>
        <v>0</v>
      </c>
      <c r="Z168" s="118">
        <f t="shared" ref="Z168" si="325">+W168+X168+Y168</f>
        <v>14908</v>
      </c>
      <c r="AA168" s="119">
        <v>30</v>
      </c>
      <c r="AB168" s="115">
        <v>3.5</v>
      </c>
      <c r="AC168" s="115">
        <v>5</v>
      </c>
      <c r="AD168" s="115">
        <v>1</v>
      </c>
      <c r="AE168" s="115"/>
      <c r="AF168" s="115">
        <f t="shared" ref="AF168" si="326">AB168+AD168+AE168-AC168</f>
        <v>-0.5</v>
      </c>
      <c r="AG168" s="115">
        <f t="shared" ref="AG168" si="327">+AF168+AA168</f>
        <v>29.5</v>
      </c>
      <c r="AH168" s="101">
        <f t="shared" si="216"/>
        <v>29.5</v>
      </c>
      <c r="AI168" s="118">
        <f t="shared" ref="AI168" si="328">ROUND(U168*AH168/AA168,0)</f>
        <v>16411</v>
      </c>
      <c r="AJ168" s="118">
        <f t="shared" si="261"/>
        <v>14660</v>
      </c>
      <c r="AK168" s="118">
        <f t="shared" si="262"/>
        <v>10620</v>
      </c>
      <c r="AL168" s="118">
        <f t="shared" si="263"/>
        <v>4040</v>
      </c>
      <c r="AM168" s="118">
        <f t="shared" si="251"/>
        <v>0</v>
      </c>
      <c r="AN168" s="119">
        <f t="shared" si="264"/>
        <v>477</v>
      </c>
      <c r="AO168" s="119">
        <f t="shared" ref="AO168" si="329">ROUND(IF(AK168&lt;15001,AK168*12%,1800),0)</f>
        <v>1274</v>
      </c>
      <c r="AP168" s="118">
        <f t="shared" si="252"/>
        <v>16411</v>
      </c>
      <c r="AQ168" s="118">
        <v>0</v>
      </c>
      <c r="AR168" s="118">
        <f t="shared" si="266"/>
        <v>110</v>
      </c>
      <c r="AS168" s="118">
        <f t="shared" si="316"/>
        <v>477</v>
      </c>
      <c r="AT168" s="118">
        <f t="shared" si="320"/>
        <v>1274</v>
      </c>
      <c r="AU168" s="118">
        <f t="shared" si="321"/>
        <v>1274</v>
      </c>
      <c r="AV168" s="118"/>
      <c r="AW168" s="118">
        <v>0</v>
      </c>
      <c r="AX168" s="118">
        <v>0</v>
      </c>
      <c r="AY168" s="120"/>
      <c r="AZ168" s="120">
        <v>0</v>
      </c>
      <c r="BA168" s="118">
        <f t="shared" ref="BA168" si="330">AP168-AQ168-AR168-AS168-AT168-AU168-AW168+AY168-AZ168</f>
        <v>13276</v>
      </c>
      <c r="BB168" s="31" t="s">
        <v>543</v>
      </c>
      <c r="BC168" s="34" t="s">
        <v>217</v>
      </c>
      <c r="BD168" s="34" t="s">
        <v>756</v>
      </c>
      <c r="BE168" s="102"/>
      <c r="BF168" s="102"/>
      <c r="BG168" s="70" t="s">
        <v>48</v>
      </c>
      <c r="BH168" s="125">
        <v>0</v>
      </c>
      <c r="BI168" s="156"/>
      <c r="BJ168" s="70"/>
    </row>
    <row r="169" spans="1:62" s="13" customFormat="1" x14ac:dyDescent="0.25">
      <c r="A169" s="70">
        <f t="shared" si="175"/>
        <v>167</v>
      </c>
      <c r="B169" s="122">
        <v>2326</v>
      </c>
      <c r="C169" s="134" t="s">
        <v>1051</v>
      </c>
      <c r="D169" s="126" t="s">
        <v>1052</v>
      </c>
      <c r="E169" s="146" t="s">
        <v>837</v>
      </c>
      <c r="F169" s="127" t="s">
        <v>1061</v>
      </c>
      <c r="G169" s="147"/>
      <c r="H169" s="122" t="s">
        <v>43</v>
      </c>
      <c r="I169" s="82">
        <v>45551</v>
      </c>
      <c r="J169" s="137"/>
      <c r="K169" s="82">
        <v>45717</v>
      </c>
      <c r="L169" s="102"/>
      <c r="M169" s="128" t="s">
        <v>44</v>
      </c>
      <c r="N169" s="117" t="s">
        <v>959</v>
      </c>
      <c r="O169" s="114" t="s">
        <v>656</v>
      </c>
      <c r="P169" s="70" t="s">
        <v>412</v>
      </c>
      <c r="Q169" s="70" t="s">
        <v>412</v>
      </c>
      <c r="R169" s="125">
        <v>18249</v>
      </c>
      <c r="S169" s="83">
        <f>+R169*0.15</f>
        <v>2737.35</v>
      </c>
      <c r="T169" s="116">
        <v>45962</v>
      </c>
      <c r="U169" s="119">
        <f t="shared" si="323"/>
        <v>20986.35</v>
      </c>
      <c r="V169" s="119">
        <v>19070</v>
      </c>
      <c r="W169" s="119">
        <v>10800</v>
      </c>
      <c r="X169" s="125">
        <f t="shared" ref="X169" si="331">+W169*0.5</f>
        <v>5400</v>
      </c>
      <c r="Y169" s="118">
        <f t="shared" si="324"/>
        <v>2870</v>
      </c>
      <c r="Z169" s="118">
        <f t="shared" ref="Z169" si="332">W169+X169+Y169</f>
        <v>19070</v>
      </c>
      <c r="AA169" s="119">
        <v>30</v>
      </c>
      <c r="AB169" s="115">
        <v>9</v>
      </c>
      <c r="AC169" s="115">
        <v>3</v>
      </c>
      <c r="AD169" s="115">
        <v>2</v>
      </c>
      <c r="AE169" s="115"/>
      <c r="AF169" s="115">
        <f>AB169+AD169+AE169-AC169</f>
        <v>8</v>
      </c>
      <c r="AG169" s="115">
        <f>+AF169+AA169</f>
        <v>38</v>
      </c>
      <c r="AH169" s="101">
        <f t="shared" si="216"/>
        <v>30</v>
      </c>
      <c r="AI169" s="118">
        <f>ROUND(U169*AH169/AA169,0)</f>
        <v>20986</v>
      </c>
      <c r="AJ169" s="118">
        <f t="shared" si="261"/>
        <v>19070</v>
      </c>
      <c r="AK169" s="118">
        <f t="shared" si="262"/>
        <v>10800</v>
      </c>
      <c r="AL169" s="118">
        <f t="shared" si="263"/>
        <v>5400</v>
      </c>
      <c r="AM169" s="118">
        <f t="shared" si="251"/>
        <v>2870</v>
      </c>
      <c r="AN169" s="119">
        <f t="shared" si="264"/>
        <v>620</v>
      </c>
      <c r="AO169" s="119">
        <f>ROUND(IF(AK169&lt;15001,AK169*12%,1800),0)</f>
        <v>1296</v>
      </c>
      <c r="AP169" s="118">
        <f t="shared" si="252"/>
        <v>20986</v>
      </c>
      <c r="AQ169" s="118">
        <v>0</v>
      </c>
      <c r="AR169" s="118">
        <f t="shared" si="266"/>
        <v>144</v>
      </c>
      <c r="AS169" s="118">
        <f t="shared" si="316"/>
        <v>620</v>
      </c>
      <c r="AT169" s="118">
        <f t="shared" si="320"/>
        <v>1296</v>
      </c>
      <c r="AU169" s="118">
        <f t="shared" si="321"/>
        <v>1296</v>
      </c>
      <c r="AV169" s="118"/>
      <c r="AW169" s="118">
        <v>0</v>
      </c>
      <c r="AX169" s="118">
        <f>+AV169-AW169</f>
        <v>0</v>
      </c>
      <c r="AY169" s="120"/>
      <c r="AZ169" s="120">
        <v>0</v>
      </c>
      <c r="BA169" s="118">
        <f>AP169-AQ169-AR169-AS169-AT169-AU169-AW169+AY169-AZ169</f>
        <v>17630</v>
      </c>
      <c r="BB169" s="31" t="s">
        <v>690</v>
      </c>
      <c r="BC169" s="34" t="s">
        <v>878</v>
      </c>
      <c r="BD169" s="34" t="s">
        <v>879</v>
      </c>
      <c r="BE169" s="102"/>
      <c r="BF169" s="102"/>
      <c r="BG169" s="70" t="s">
        <v>48</v>
      </c>
      <c r="BH169" s="125">
        <v>0</v>
      </c>
      <c r="BI169" s="156"/>
      <c r="BJ169" s="70"/>
    </row>
    <row r="170" spans="1:62" s="13" customFormat="1" x14ac:dyDescent="0.25">
      <c r="A170" s="70">
        <f t="shared" si="175"/>
        <v>168</v>
      </c>
      <c r="B170" s="122">
        <v>2328</v>
      </c>
      <c r="C170" s="134" t="s">
        <v>1053</v>
      </c>
      <c r="D170" s="126" t="s">
        <v>1054</v>
      </c>
      <c r="E170" s="146" t="s">
        <v>888</v>
      </c>
      <c r="F170" s="114" t="s">
        <v>1062</v>
      </c>
      <c r="G170" s="147"/>
      <c r="H170" s="122" t="s">
        <v>43</v>
      </c>
      <c r="I170" s="82">
        <v>45569</v>
      </c>
      <c r="J170" s="137"/>
      <c r="K170" s="82">
        <v>45717</v>
      </c>
      <c r="L170" s="102"/>
      <c r="M170" s="128" t="s">
        <v>44</v>
      </c>
      <c r="N170" s="117" t="s">
        <v>959</v>
      </c>
      <c r="O170" s="114" t="s">
        <v>656</v>
      </c>
      <c r="P170" s="70" t="s">
        <v>412</v>
      </c>
      <c r="Q170" s="70" t="s">
        <v>412</v>
      </c>
      <c r="R170" s="125">
        <v>20074</v>
      </c>
      <c r="S170" s="83">
        <f>+R170*0.2</f>
        <v>4014.8</v>
      </c>
      <c r="T170" s="116" t="s">
        <v>1501</v>
      </c>
      <c r="U170" s="119">
        <f t="shared" ref="U170" si="333">R170+S170</f>
        <v>24088.799999999999</v>
      </c>
      <c r="V170" s="119">
        <v>22644</v>
      </c>
      <c r="W170" s="119">
        <f>+U170*0.5</f>
        <v>12044.4</v>
      </c>
      <c r="X170" s="125">
        <f t="shared" ref="X170:X171" si="334">+W170*0.5</f>
        <v>6022.2</v>
      </c>
      <c r="Y170" s="118">
        <f t="shared" ref="Y170" si="335">+V170-W170-X170</f>
        <v>4577.4000000000005</v>
      </c>
      <c r="Z170" s="118">
        <f t="shared" ref="Z170" si="336">W170+X170+Y170</f>
        <v>22644</v>
      </c>
      <c r="AA170" s="119">
        <v>30</v>
      </c>
      <c r="AB170" s="115">
        <v>13.5</v>
      </c>
      <c r="AC170" s="115">
        <v>0</v>
      </c>
      <c r="AD170" s="115">
        <v>3</v>
      </c>
      <c r="AE170" s="115"/>
      <c r="AF170" s="115">
        <f>AB170+AD170+AE170-AC170</f>
        <v>16.5</v>
      </c>
      <c r="AG170" s="115">
        <f>+AF170+AA170</f>
        <v>46.5</v>
      </c>
      <c r="AH170" s="101">
        <f t="shared" si="216"/>
        <v>30</v>
      </c>
      <c r="AI170" s="118">
        <f>ROUND(U170*AH170/AA170,0)</f>
        <v>24089</v>
      </c>
      <c r="AJ170" s="118">
        <f t="shared" si="261"/>
        <v>22644</v>
      </c>
      <c r="AK170" s="118">
        <f t="shared" si="262"/>
        <v>12044</v>
      </c>
      <c r="AL170" s="118">
        <f t="shared" si="263"/>
        <v>6022</v>
      </c>
      <c r="AM170" s="118">
        <f t="shared" si="251"/>
        <v>4577</v>
      </c>
      <c r="AN170" s="119">
        <f t="shared" si="264"/>
        <v>0</v>
      </c>
      <c r="AO170" s="119">
        <f>ROUND(IF(AK170&lt;15001,AK170*12%,1800),0)</f>
        <v>1445</v>
      </c>
      <c r="AP170" s="118">
        <f t="shared" si="252"/>
        <v>24088</v>
      </c>
      <c r="AQ170" s="118">
        <v>0</v>
      </c>
      <c r="AR170" s="118">
        <f t="shared" si="266"/>
        <v>0</v>
      </c>
      <c r="AS170" s="118">
        <f t="shared" si="316"/>
        <v>0</v>
      </c>
      <c r="AT170" s="118">
        <f t="shared" si="320"/>
        <v>1445</v>
      </c>
      <c r="AU170" s="118">
        <f t="shared" si="321"/>
        <v>1445</v>
      </c>
      <c r="AV170" s="118"/>
      <c r="AW170" s="118">
        <v>0</v>
      </c>
      <c r="AX170" s="118">
        <f>+AV170-AW170</f>
        <v>0</v>
      </c>
      <c r="AY170" s="120"/>
      <c r="AZ170" s="120">
        <v>0</v>
      </c>
      <c r="BA170" s="118">
        <f>AP170-AQ170-AR170-AS170-AT170-AU170-AW170+AY170-AZ170</f>
        <v>21198</v>
      </c>
      <c r="BB170" s="31" t="s">
        <v>1255</v>
      </c>
      <c r="BC170" s="34" t="s">
        <v>1285</v>
      </c>
      <c r="BD170" s="34" t="s">
        <v>1286</v>
      </c>
      <c r="BE170" s="102"/>
      <c r="BF170" s="102"/>
      <c r="BG170" s="70" t="s">
        <v>48</v>
      </c>
      <c r="BH170" s="125">
        <v>0</v>
      </c>
      <c r="BI170" s="156"/>
      <c r="BJ170" s="70"/>
    </row>
    <row r="171" spans="1:62" s="13" customFormat="1" x14ac:dyDescent="0.25">
      <c r="A171" s="70">
        <f t="shared" si="175"/>
        <v>169</v>
      </c>
      <c r="B171" s="122">
        <v>2329</v>
      </c>
      <c r="C171" s="134" t="s">
        <v>41</v>
      </c>
      <c r="D171" s="126" t="s">
        <v>1055</v>
      </c>
      <c r="E171" s="146" t="s">
        <v>1023</v>
      </c>
      <c r="F171" s="114" t="s">
        <v>1038</v>
      </c>
      <c r="G171" s="147"/>
      <c r="H171" s="122" t="s">
        <v>43</v>
      </c>
      <c r="I171" s="82">
        <v>45726</v>
      </c>
      <c r="J171" s="137"/>
      <c r="K171" s="82"/>
      <c r="L171" s="102"/>
      <c r="M171" s="128" t="s">
        <v>44</v>
      </c>
      <c r="N171" s="117" t="s">
        <v>959</v>
      </c>
      <c r="O171" s="114" t="s">
        <v>793</v>
      </c>
      <c r="P171" s="70" t="s">
        <v>292</v>
      </c>
      <c r="Q171" s="70" t="s">
        <v>412</v>
      </c>
      <c r="R171" s="125">
        <v>22808</v>
      </c>
      <c r="S171" s="83"/>
      <c r="T171" s="116"/>
      <c r="U171" s="119">
        <f t="shared" ref="U171:U174" si="337">R171+S171</f>
        <v>22808</v>
      </c>
      <c r="V171" s="119">
        <v>21404</v>
      </c>
      <c r="W171" s="119">
        <v>11700</v>
      </c>
      <c r="X171" s="125">
        <f t="shared" si="334"/>
        <v>5850</v>
      </c>
      <c r="Y171" s="118">
        <f t="shared" ref="Y171:Y174" si="338">+V171-W171-X171</f>
        <v>3854</v>
      </c>
      <c r="Z171" s="118">
        <f t="shared" ref="Z171:Z174" si="339">+W171+X171+Y171</f>
        <v>21404</v>
      </c>
      <c r="AA171" s="119">
        <v>30</v>
      </c>
      <c r="AB171" s="115">
        <v>8</v>
      </c>
      <c r="AC171" s="115">
        <v>2</v>
      </c>
      <c r="AD171" s="115">
        <v>2</v>
      </c>
      <c r="AE171" s="115"/>
      <c r="AF171" s="115">
        <f t="shared" ref="AF171:AF174" si="340">AB171+AD171+AE171-AC171</f>
        <v>8</v>
      </c>
      <c r="AG171" s="115">
        <f t="shared" ref="AG171:AG174" si="341">+AF171+AA171</f>
        <v>38</v>
      </c>
      <c r="AH171" s="101">
        <f t="shared" si="216"/>
        <v>30</v>
      </c>
      <c r="AI171" s="118">
        <f t="shared" ref="AI171:AI174" si="342">ROUND(U171*AH171/AA171,0)</f>
        <v>22808</v>
      </c>
      <c r="AJ171" s="118">
        <f t="shared" si="261"/>
        <v>21404</v>
      </c>
      <c r="AK171" s="118">
        <f t="shared" si="262"/>
        <v>11700</v>
      </c>
      <c r="AL171" s="118">
        <f t="shared" si="263"/>
        <v>5850</v>
      </c>
      <c r="AM171" s="118">
        <f t="shared" si="251"/>
        <v>3854</v>
      </c>
      <c r="AN171" s="119">
        <f t="shared" si="264"/>
        <v>0</v>
      </c>
      <c r="AO171" s="119">
        <f t="shared" ref="AO171:AO174" si="343">ROUND(IF(AK171&lt;15001,AK171*12%,1800),0)</f>
        <v>1404</v>
      </c>
      <c r="AP171" s="118">
        <f t="shared" si="252"/>
        <v>22808</v>
      </c>
      <c r="AQ171" s="118">
        <v>0</v>
      </c>
      <c r="AR171" s="118">
        <f t="shared" si="266"/>
        <v>0</v>
      </c>
      <c r="AS171" s="118">
        <f t="shared" si="316"/>
        <v>0</v>
      </c>
      <c r="AT171" s="118">
        <f t="shared" si="320"/>
        <v>1404</v>
      </c>
      <c r="AU171" s="118">
        <f t="shared" si="321"/>
        <v>1404</v>
      </c>
      <c r="AV171" s="118"/>
      <c r="AW171" s="118">
        <v>0</v>
      </c>
      <c r="AX171" s="118">
        <v>0</v>
      </c>
      <c r="AY171" s="120"/>
      <c r="AZ171" s="120">
        <v>0</v>
      </c>
      <c r="BA171" s="118">
        <f t="shared" ref="BA171:BA174" si="344">AP171-AQ171-AR171-AS171-AT171-AU171-AW171+AY171-AZ171</f>
        <v>20000</v>
      </c>
      <c r="BB171" s="31" t="s">
        <v>446</v>
      </c>
      <c r="BC171" s="34" t="s">
        <v>1039</v>
      </c>
      <c r="BD171" s="34" t="s">
        <v>1040</v>
      </c>
      <c r="BE171" s="102"/>
      <c r="BF171" s="102"/>
      <c r="BG171" s="70" t="s">
        <v>48</v>
      </c>
      <c r="BH171" s="125">
        <v>0</v>
      </c>
      <c r="BI171" s="156"/>
      <c r="BJ171" s="70"/>
    </row>
    <row r="172" spans="1:62" s="13" customFormat="1" x14ac:dyDescent="0.25">
      <c r="A172" s="70">
        <f t="shared" si="175"/>
        <v>170</v>
      </c>
      <c r="B172" s="122">
        <v>2330</v>
      </c>
      <c r="C172" s="134" t="s">
        <v>1056</v>
      </c>
      <c r="D172" s="126" t="s">
        <v>1057</v>
      </c>
      <c r="E172" s="146" t="s">
        <v>1024</v>
      </c>
      <c r="F172" s="114" t="s">
        <v>1048</v>
      </c>
      <c r="G172" s="147"/>
      <c r="H172" s="122" t="s">
        <v>43</v>
      </c>
      <c r="I172" s="82">
        <v>45726</v>
      </c>
      <c r="J172" s="137"/>
      <c r="K172" s="82"/>
      <c r="L172" s="102"/>
      <c r="M172" s="128" t="s">
        <v>44</v>
      </c>
      <c r="N172" s="117" t="s">
        <v>959</v>
      </c>
      <c r="O172" s="114" t="s">
        <v>739</v>
      </c>
      <c r="P172" s="70" t="s">
        <v>412</v>
      </c>
      <c r="Q172" s="70" t="s">
        <v>412</v>
      </c>
      <c r="R172" s="125">
        <v>17209</v>
      </c>
      <c r="S172" s="83"/>
      <c r="T172" s="116"/>
      <c r="U172" s="119">
        <f t="shared" si="337"/>
        <v>17209</v>
      </c>
      <c r="V172" s="119">
        <v>15412</v>
      </c>
      <c r="W172" s="119">
        <v>10800</v>
      </c>
      <c r="X172" s="125">
        <v>4612</v>
      </c>
      <c r="Y172" s="118">
        <f t="shared" si="338"/>
        <v>0</v>
      </c>
      <c r="Z172" s="118">
        <f t="shared" si="339"/>
        <v>15412</v>
      </c>
      <c r="AA172" s="119">
        <v>30</v>
      </c>
      <c r="AB172" s="115">
        <v>5.5</v>
      </c>
      <c r="AC172" s="115">
        <v>1</v>
      </c>
      <c r="AD172" s="115">
        <v>1</v>
      </c>
      <c r="AE172" s="115"/>
      <c r="AF172" s="115">
        <f t="shared" si="340"/>
        <v>5.5</v>
      </c>
      <c r="AG172" s="115">
        <f t="shared" si="341"/>
        <v>35.5</v>
      </c>
      <c r="AH172" s="101">
        <f t="shared" si="216"/>
        <v>30</v>
      </c>
      <c r="AI172" s="118">
        <f t="shared" si="342"/>
        <v>17209</v>
      </c>
      <c r="AJ172" s="118">
        <f t="shared" si="261"/>
        <v>15412</v>
      </c>
      <c r="AK172" s="118">
        <f t="shared" si="262"/>
        <v>10800</v>
      </c>
      <c r="AL172" s="118">
        <f t="shared" si="263"/>
        <v>4612</v>
      </c>
      <c r="AM172" s="118">
        <f t="shared" si="251"/>
        <v>0</v>
      </c>
      <c r="AN172" s="119">
        <f t="shared" si="264"/>
        <v>501</v>
      </c>
      <c r="AO172" s="119">
        <f t="shared" si="343"/>
        <v>1296</v>
      </c>
      <c r="AP172" s="118">
        <f t="shared" si="252"/>
        <v>17209</v>
      </c>
      <c r="AQ172" s="118">
        <v>0</v>
      </c>
      <c r="AR172" s="118">
        <f t="shared" si="266"/>
        <v>116</v>
      </c>
      <c r="AS172" s="118">
        <f t="shared" si="316"/>
        <v>501</v>
      </c>
      <c r="AT172" s="118">
        <f t="shared" si="320"/>
        <v>1296</v>
      </c>
      <c r="AU172" s="118">
        <f t="shared" si="321"/>
        <v>1296</v>
      </c>
      <c r="AV172" s="118"/>
      <c r="AW172" s="118">
        <v>0</v>
      </c>
      <c r="AX172" s="118">
        <v>0</v>
      </c>
      <c r="AY172" s="120"/>
      <c r="AZ172" s="120">
        <v>1000</v>
      </c>
      <c r="BA172" s="118">
        <f t="shared" si="344"/>
        <v>13000</v>
      </c>
      <c r="BB172" s="31" t="s">
        <v>446</v>
      </c>
      <c r="BC172" s="34" t="s">
        <v>1049</v>
      </c>
      <c r="BD172" s="34" t="s">
        <v>1050</v>
      </c>
      <c r="BE172" s="102"/>
      <c r="BF172" s="102"/>
      <c r="BG172" s="70" t="s">
        <v>48</v>
      </c>
      <c r="BH172" s="125">
        <v>0</v>
      </c>
      <c r="BI172" s="156"/>
      <c r="BJ172" s="70"/>
    </row>
    <row r="173" spans="1:62" s="13" customFormat="1" x14ac:dyDescent="0.25">
      <c r="A173" s="70">
        <f t="shared" si="175"/>
        <v>171</v>
      </c>
      <c r="B173" s="122">
        <v>2332</v>
      </c>
      <c r="C173" s="134" t="s">
        <v>1058</v>
      </c>
      <c r="D173" s="126" t="s">
        <v>1059</v>
      </c>
      <c r="E173" s="146" t="s">
        <v>1030</v>
      </c>
      <c r="F173" s="114" t="s">
        <v>1034</v>
      </c>
      <c r="G173" s="147"/>
      <c r="H173" s="122" t="s">
        <v>43</v>
      </c>
      <c r="I173" s="82">
        <v>45733</v>
      </c>
      <c r="J173" s="137"/>
      <c r="K173" s="82"/>
      <c r="L173" s="102"/>
      <c r="M173" s="128" t="s">
        <v>44</v>
      </c>
      <c r="N173" s="117" t="s">
        <v>959</v>
      </c>
      <c r="O173" s="114" t="s">
        <v>739</v>
      </c>
      <c r="P173" s="70" t="s">
        <v>412</v>
      </c>
      <c r="Q173" s="70" t="s">
        <v>412</v>
      </c>
      <c r="R173" s="125">
        <v>16168</v>
      </c>
      <c r="S173" s="83"/>
      <c r="T173" s="116"/>
      <c r="U173" s="119">
        <f t="shared" si="337"/>
        <v>16168</v>
      </c>
      <c r="V173" s="119">
        <v>14405</v>
      </c>
      <c r="W173" s="119">
        <v>10800</v>
      </c>
      <c r="X173" s="125">
        <v>3605</v>
      </c>
      <c r="Y173" s="118">
        <f t="shared" si="338"/>
        <v>0</v>
      </c>
      <c r="Z173" s="118">
        <f t="shared" si="339"/>
        <v>14405</v>
      </c>
      <c r="AA173" s="119">
        <v>30</v>
      </c>
      <c r="AB173" s="115">
        <v>3.5</v>
      </c>
      <c r="AC173" s="115">
        <v>0</v>
      </c>
      <c r="AD173" s="115">
        <v>1</v>
      </c>
      <c r="AE173" s="115"/>
      <c r="AF173" s="115">
        <f t="shared" si="340"/>
        <v>4.5</v>
      </c>
      <c r="AG173" s="115">
        <f t="shared" si="341"/>
        <v>34.5</v>
      </c>
      <c r="AH173" s="101">
        <f t="shared" si="216"/>
        <v>30</v>
      </c>
      <c r="AI173" s="118">
        <f t="shared" si="342"/>
        <v>16168</v>
      </c>
      <c r="AJ173" s="118">
        <f t="shared" si="261"/>
        <v>14405</v>
      </c>
      <c r="AK173" s="118">
        <f t="shared" si="262"/>
        <v>10800</v>
      </c>
      <c r="AL173" s="118">
        <f t="shared" si="263"/>
        <v>3605</v>
      </c>
      <c r="AM173" s="118">
        <f t="shared" si="251"/>
        <v>0</v>
      </c>
      <c r="AN173" s="119">
        <f t="shared" si="264"/>
        <v>469</v>
      </c>
      <c r="AO173" s="119">
        <f t="shared" si="343"/>
        <v>1296</v>
      </c>
      <c r="AP173" s="118">
        <f t="shared" si="252"/>
        <v>16170</v>
      </c>
      <c r="AQ173" s="118">
        <v>0</v>
      </c>
      <c r="AR173" s="118">
        <f t="shared" si="266"/>
        <v>109</v>
      </c>
      <c r="AS173" s="118">
        <f t="shared" si="316"/>
        <v>469</v>
      </c>
      <c r="AT173" s="118">
        <f t="shared" si="320"/>
        <v>1296</v>
      </c>
      <c r="AU173" s="118">
        <f t="shared" si="321"/>
        <v>1296</v>
      </c>
      <c r="AV173" s="118"/>
      <c r="AW173" s="118">
        <v>0</v>
      </c>
      <c r="AX173" s="118">
        <f t="shared" ref="AX173:AX174" si="345">+AV173-AW173</f>
        <v>0</v>
      </c>
      <c r="AY173" s="120"/>
      <c r="AZ173" s="120">
        <v>0</v>
      </c>
      <c r="BA173" s="118">
        <f t="shared" si="344"/>
        <v>13000</v>
      </c>
      <c r="BB173" s="31" t="s">
        <v>445</v>
      </c>
      <c r="BC173" s="34" t="s">
        <v>1035</v>
      </c>
      <c r="BD173" s="34" t="s">
        <v>1036</v>
      </c>
      <c r="BE173" s="102"/>
      <c r="BF173" s="102"/>
      <c r="BG173" s="70" t="s">
        <v>48</v>
      </c>
      <c r="BH173" s="125">
        <v>0</v>
      </c>
      <c r="BI173" s="156"/>
      <c r="BJ173" s="70"/>
    </row>
    <row r="174" spans="1:62" s="13" customFormat="1" x14ac:dyDescent="0.25">
      <c r="A174" s="70">
        <f t="shared" si="175"/>
        <v>172</v>
      </c>
      <c r="B174" s="122">
        <v>2334</v>
      </c>
      <c r="C174" s="108" t="s">
        <v>41</v>
      </c>
      <c r="D174" s="126" t="s">
        <v>1060</v>
      </c>
      <c r="E174" s="146" t="s">
        <v>1031</v>
      </c>
      <c r="F174" s="114" t="s">
        <v>1045</v>
      </c>
      <c r="G174" s="147"/>
      <c r="H174" s="122" t="s">
        <v>43</v>
      </c>
      <c r="I174" s="82">
        <v>45734</v>
      </c>
      <c r="J174" s="137"/>
      <c r="K174" s="82"/>
      <c r="L174" s="102"/>
      <c r="M174" s="128" t="s">
        <v>44</v>
      </c>
      <c r="N174" s="117" t="s">
        <v>968</v>
      </c>
      <c r="O174" s="114" t="s">
        <v>998</v>
      </c>
      <c r="P174" s="70" t="s">
        <v>292</v>
      </c>
      <c r="Q174" s="70" t="s">
        <v>412</v>
      </c>
      <c r="R174" s="125">
        <v>25768</v>
      </c>
      <c r="S174" s="83"/>
      <c r="T174" s="116"/>
      <c r="U174" s="119">
        <f t="shared" si="337"/>
        <v>25768</v>
      </c>
      <c r="V174" s="119">
        <v>24184</v>
      </c>
      <c r="W174" s="119">
        <v>13200</v>
      </c>
      <c r="X174" s="125">
        <v>3604</v>
      </c>
      <c r="Y174" s="118">
        <f t="shared" si="338"/>
        <v>7380</v>
      </c>
      <c r="Z174" s="118">
        <f t="shared" si="339"/>
        <v>24184</v>
      </c>
      <c r="AA174" s="119">
        <v>30</v>
      </c>
      <c r="AB174" s="115">
        <v>12.5</v>
      </c>
      <c r="AC174" s="115">
        <v>1</v>
      </c>
      <c r="AD174" s="115">
        <v>1</v>
      </c>
      <c r="AE174" s="115"/>
      <c r="AF174" s="115">
        <f t="shared" si="340"/>
        <v>12.5</v>
      </c>
      <c r="AG174" s="115">
        <f t="shared" si="341"/>
        <v>42.5</v>
      </c>
      <c r="AH174" s="101">
        <f t="shared" si="216"/>
        <v>30</v>
      </c>
      <c r="AI174" s="118">
        <f t="shared" si="342"/>
        <v>25768</v>
      </c>
      <c r="AJ174" s="118">
        <f t="shared" si="261"/>
        <v>24184</v>
      </c>
      <c r="AK174" s="118">
        <f t="shared" si="262"/>
        <v>13200</v>
      </c>
      <c r="AL174" s="118">
        <f t="shared" si="263"/>
        <v>3604</v>
      </c>
      <c r="AM174" s="118">
        <f t="shared" si="251"/>
        <v>7380</v>
      </c>
      <c r="AN174" s="119">
        <f t="shared" si="264"/>
        <v>0</v>
      </c>
      <c r="AO174" s="119">
        <f t="shared" si="343"/>
        <v>1584</v>
      </c>
      <c r="AP174" s="118">
        <f t="shared" si="252"/>
        <v>25768</v>
      </c>
      <c r="AQ174" s="118">
        <v>0</v>
      </c>
      <c r="AR174" s="118">
        <f t="shared" si="266"/>
        <v>0</v>
      </c>
      <c r="AS174" s="118">
        <f t="shared" si="316"/>
        <v>0</v>
      </c>
      <c r="AT174" s="118">
        <f t="shared" si="320"/>
        <v>1584</v>
      </c>
      <c r="AU174" s="118">
        <f t="shared" si="321"/>
        <v>1584</v>
      </c>
      <c r="AV174" s="118"/>
      <c r="AW174" s="118">
        <v>0</v>
      </c>
      <c r="AX174" s="118">
        <f t="shared" si="345"/>
        <v>0</v>
      </c>
      <c r="AY174" s="120"/>
      <c r="AZ174" s="120">
        <v>0</v>
      </c>
      <c r="BA174" s="118">
        <f t="shared" si="344"/>
        <v>22600</v>
      </c>
      <c r="BB174" s="31" t="s">
        <v>393</v>
      </c>
      <c r="BC174" s="34" t="s">
        <v>202</v>
      </c>
      <c r="BD174" s="34" t="s">
        <v>1046</v>
      </c>
      <c r="BE174" s="102"/>
      <c r="BF174" s="102"/>
      <c r="BG174" s="70" t="s">
        <v>48</v>
      </c>
      <c r="BH174" s="125">
        <v>0</v>
      </c>
      <c r="BI174" s="156"/>
      <c r="BJ174" s="70"/>
    </row>
    <row r="175" spans="1:62" s="13" customFormat="1" x14ac:dyDescent="0.25">
      <c r="A175" s="70">
        <f t="shared" si="175"/>
        <v>173</v>
      </c>
      <c r="B175" s="122">
        <v>2340</v>
      </c>
      <c r="C175" s="108" t="s">
        <v>41</v>
      </c>
      <c r="D175" s="126" t="s">
        <v>1104</v>
      </c>
      <c r="E175" s="146" t="s">
        <v>1068</v>
      </c>
      <c r="F175" s="114" t="s">
        <v>1097</v>
      </c>
      <c r="G175" s="147"/>
      <c r="H175" s="122" t="s">
        <v>43</v>
      </c>
      <c r="I175" s="82">
        <v>45754</v>
      </c>
      <c r="J175" s="137"/>
      <c r="K175" s="82"/>
      <c r="L175" s="102"/>
      <c r="M175" s="128" t="s">
        <v>44</v>
      </c>
      <c r="N175" s="117" t="s">
        <v>968</v>
      </c>
      <c r="O175" s="114" t="s">
        <v>998</v>
      </c>
      <c r="P175" s="70" t="s">
        <v>292</v>
      </c>
      <c r="Q175" s="70" t="s">
        <v>412</v>
      </c>
      <c r="R175" s="125">
        <v>25375</v>
      </c>
      <c r="S175" s="83"/>
      <c r="T175" s="116"/>
      <c r="U175" s="119">
        <f t="shared" ref="U175" si="346">R175+S175</f>
        <v>25375</v>
      </c>
      <c r="V175" s="119">
        <v>23959</v>
      </c>
      <c r="W175" s="119">
        <v>13000</v>
      </c>
      <c r="X175" s="125">
        <f t="shared" ref="X175:X186" si="347">+W175*0.5</f>
        <v>6500</v>
      </c>
      <c r="Y175" s="118">
        <f t="shared" ref="Y175" si="348">+V175-W175-X175</f>
        <v>4459</v>
      </c>
      <c r="Z175" s="118">
        <f t="shared" ref="Z175" si="349">+W175+X175+Y175</f>
        <v>23959</v>
      </c>
      <c r="AA175" s="119">
        <v>30</v>
      </c>
      <c r="AB175" s="115">
        <v>12.5</v>
      </c>
      <c r="AC175" s="115">
        <v>0</v>
      </c>
      <c r="AD175" s="115">
        <v>1</v>
      </c>
      <c r="AE175" s="115"/>
      <c r="AF175" s="115">
        <f t="shared" ref="AF175" si="350">AB175+AD175+AE175-AC175</f>
        <v>13.5</v>
      </c>
      <c r="AG175" s="115">
        <f t="shared" ref="AG175" si="351">+AF175+AA175</f>
        <v>43.5</v>
      </c>
      <c r="AH175" s="101">
        <f t="shared" si="216"/>
        <v>30</v>
      </c>
      <c r="AI175" s="118">
        <f t="shared" ref="AI175" si="352">ROUND(U175*AH175/AA175,0)</f>
        <v>25375</v>
      </c>
      <c r="AJ175" s="118">
        <f t="shared" si="261"/>
        <v>23959</v>
      </c>
      <c r="AK175" s="118">
        <f t="shared" si="262"/>
        <v>13000</v>
      </c>
      <c r="AL175" s="118">
        <f t="shared" si="263"/>
        <v>6500</v>
      </c>
      <c r="AM175" s="118">
        <f t="shared" ref="AM175:AM186" si="353">ROUND(Y175*AH175/AA175,0)</f>
        <v>4459</v>
      </c>
      <c r="AN175" s="119">
        <f t="shared" si="264"/>
        <v>0</v>
      </c>
      <c r="AO175" s="119">
        <f t="shared" ref="AO175" si="354">ROUND(IF(AK175&lt;15001,AK175*12%,1800),0)</f>
        <v>1560</v>
      </c>
      <c r="AP175" s="118">
        <f t="shared" ref="AP175:AP186" si="355">SUM(AK175:AO175)</f>
        <v>25519</v>
      </c>
      <c r="AQ175" s="118">
        <v>0</v>
      </c>
      <c r="AR175" s="118">
        <f t="shared" si="266"/>
        <v>0</v>
      </c>
      <c r="AS175" s="118">
        <f t="shared" si="316"/>
        <v>0</v>
      </c>
      <c r="AT175" s="118">
        <f t="shared" si="320"/>
        <v>1560</v>
      </c>
      <c r="AU175" s="118">
        <f t="shared" si="321"/>
        <v>1560</v>
      </c>
      <c r="AV175" s="118"/>
      <c r="AW175" s="118">
        <v>0</v>
      </c>
      <c r="AX175" s="118">
        <f t="shared" ref="AX175" si="356">+AV175-AW175</f>
        <v>0</v>
      </c>
      <c r="AY175" s="120"/>
      <c r="AZ175" s="120">
        <v>0</v>
      </c>
      <c r="BA175" s="118">
        <f t="shared" ref="BA175" si="357">AP175-AQ175-AR175-AS175-AT175-AU175-AW175+AY175-AZ175</f>
        <v>22399</v>
      </c>
      <c r="BB175" s="31" t="s">
        <v>532</v>
      </c>
      <c r="BC175" s="34" t="s">
        <v>1098</v>
      </c>
      <c r="BD175" s="34" t="s">
        <v>1099</v>
      </c>
      <c r="BE175" s="102"/>
      <c r="BF175" s="102"/>
      <c r="BG175" s="70" t="s">
        <v>48</v>
      </c>
      <c r="BH175" s="125">
        <v>0</v>
      </c>
      <c r="BI175" s="156"/>
      <c r="BJ175" s="70"/>
    </row>
    <row r="176" spans="1:62" s="13" customFormat="1" x14ac:dyDescent="0.25">
      <c r="A176" s="70">
        <f t="shared" si="175"/>
        <v>174</v>
      </c>
      <c r="B176" s="122">
        <v>2342</v>
      </c>
      <c r="C176" s="108" t="s">
        <v>41</v>
      </c>
      <c r="D176" s="126" t="s">
        <v>1105</v>
      </c>
      <c r="E176" s="146" t="s">
        <v>1070</v>
      </c>
      <c r="F176" s="114" t="s">
        <v>1096</v>
      </c>
      <c r="G176" s="147"/>
      <c r="H176" s="122" t="s">
        <v>43</v>
      </c>
      <c r="I176" s="82">
        <v>45755</v>
      </c>
      <c r="J176" s="137"/>
      <c r="K176" s="82"/>
      <c r="L176" s="102"/>
      <c r="M176" s="128" t="s">
        <v>44</v>
      </c>
      <c r="N176" s="117" t="s">
        <v>968</v>
      </c>
      <c r="O176" s="114" t="s">
        <v>998</v>
      </c>
      <c r="P176" s="70" t="s">
        <v>292</v>
      </c>
      <c r="Q176" s="70" t="s">
        <v>412</v>
      </c>
      <c r="R176" s="125">
        <v>29279</v>
      </c>
      <c r="S176" s="83"/>
      <c r="T176" s="116"/>
      <c r="U176" s="119">
        <f t="shared" ref="U176:U181" si="358">R176+S176</f>
        <v>29279</v>
      </c>
      <c r="V176" s="119">
        <v>27479</v>
      </c>
      <c r="W176" s="119">
        <v>15000</v>
      </c>
      <c r="X176" s="125">
        <f t="shared" si="347"/>
        <v>7500</v>
      </c>
      <c r="Y176" s="118">
        <f t="shared" ref="Y176:Y181" si="359">+V176-W176-X176</f>
        <v>4979</v>
      </c>
      <c r="Z176" s="118">
        <f t="shared" ref="Z176:Z181" si="360">+W176+X176+Y176</f>
        <v>27479</v>
      </c>
      <c r="AA176" s="119">
        <v>30</v>
      </c>
      <c r="AB176" s="115">
        <v>5.5</v>
      </c>
      <c r="AC176" s="115">
        <v>0</v>
      </c>
      <c r="AD176" s="115">
        <v>1</v>
      </c>
      <c r="AE176" s="115"/>
      <c r="AF176" s="115">
        <f t="shared" ref="AF176:AF181" si="361">AB176+AD176+AE176-AC176</f>
        <v>6.5</v>
      </c>
      <c r="AG176" s="115">
        <f t="shared" ref="AG176:AG181" si="362">+AF176+AA176</f>
        <v>36.5</v>
      </c>
      <c r="AH176" s="101">
        <f t="shared" si="216"/>
        <v>30</v>
      </c>
      <c r="AI176" s="118">
        <f t="shared" ref="AI176:AI181" si="363">ROUND(U176*AH176/AA176,0)</f>
        <v>29279</v>
      </c>
      <c r="AJ176" s="118">
        <f t="shared" si="261"/>
        <v>27479</v>
      </c>
      <c r="AK176" s="118">
        <f t="shared" si="262"/>
        <v>15000</v>
      </c>
      <c r="AL176" s="118">
        <f t="shared" si="263"/>
        <v>7500</v>
      </c>
      <c r="AM176" s="118">
        <f t="shared" si="353"/>
        <v>4979</v>
      </c>
      <c r="AN176" s="119">
        <f t="shared" si="264"/>
        <v>0</v>
      </c>
      <c r="AO176" s="119">
        <f t="shared" ref="AO176:AO181" si="364">ROUND(IF(AK176&lt;15001,AK176*12%,1800),0)</f>
        <v>1800</v>
      </c>
      <c r="AP176" s="118">
        <f t="shared" si="355"/>
        <v>29279</v>
      </c>
      <c r="AQ176" s="118">
        <v>0</v>
      </c>
      <c r="AR176" s="118">
        <f t="shared" si="266"/>
        <v>0</v>
      </c>
      <c r="AS176" s="118">
        <f t="shared" si="316"/>
        <v>0</v>
      </c>
      <c r="AT176" s="118">
        <f t="shared" si="320"/>
        <v>1800</v>
      </c>
      <c r="AU176" s="118">
        <f t="shared" si="321"/>
        <v>1800</v>
      </c>
      <c r="AV176" s="118"/>
      <c r="AW176" s="118">
        <v>0</v>
      </c>
      <c r="AX176" s="118">
        <f t="shared" ref="AX176:AX181" si="365">+AV176-AW176</f>
        <v>0</v>
      </c>
      <c r="AY176" s="120"/>
      <c r="AZ176" s="120">
        <v>0</v>
      </c>
      <c r="BA176" s="118">
        <f t="shared" ref="BA176:BA181" si="366">AP176-AQ176-AR176-AS176-AT176-AU176-AW176+AY176-AZ176</f>
        <v>25679</v>
      </c>
      <c r="BB176" s="31" t="s">
        <v>425</v>
      </c>
      <c r="BC176" s="34" t="s">
        <v>1094</v>
      </c>
      <c r="BD176" s="34" t="s">
        <v>1095</v>
      </c>
      <c r="BE176" s="102"/>
      <c r="BF176" s="102"/>
      <c r="BG176" s="70" t="s">
        <v>48</v>
      </c>
      <c r="BH176" s="125">
        <v>0</v>
      </c>
      <c r="BI176" s="156"/>
      <c r="BJ176" s="70"/>
    </row>
    <row r="177" spans="1:62" s="13" customFormat="1" x14ac:dyDescent="0.25">
      <c r="A177" s="70">
        <f t="shared" ref="A177:A225" si="367">+A176+1</f>
        <v>175</v>
      </c>
      <c r="B177" s="122">
        <v>2343</v>
      </c>
      <c r="C177" s="134" t="s">
        <v>1100</v>
      </c>
      <c r="D177" s="126" t="s">
        <v>1106</v>
      </c>
      <c r="E177" s="146" t="s">
        <v>1069</v>
      </c>
      <c r="F177" s="114" t="s">
        <v>1085</v>
      </c>
      <c r="G177" s="147"/>
      <c r="H177" s="122" t="s">
        <v>43</v>
      </c>
      <c r="I177" s="82">
        <v>45755</v>
      </c>
      <c r="J177" s="137"/>
      <c r="K177" s="82"/>
      <c r="L177" s="102"/>
      <c r="M177" s="128" t="s">
        <v>44</v>
      </c>
      <c r="N177" s="117" t="s">
        <v>959</v>
      </c>
      <c r="O177" s="114" t="s">
        <v>1115</v>
      </c>
      <c r="P177" s="70" t="s">
        <v>412</v>
      </c>
      <c r="Q177" s="70" t="s">
        <v>412</v>
      </c>
      <c r="R177" s="125">
        <v>16689</v>
      </c>
      <c r="S177" s="83">
        <f>+R177*0.1</f>
        <v>1668.9</v>
      </c>
      <c r="T177" s="116">
        <v>45962</v>
      </c>
      <c r="U177" s="119">
        <f t="shared" si="358"/>
        <v>18357.900000000001</v>
      </c>
      <c r="V177" s="119">
        <v>16525</v>
      </c>
      <c r="W177" s="119">
        <v>10800</v>
      </c>
      <c r="X177" s="125">
        <v>5400</v>
      </c>
      <c r="Y177" s="118">
        <f t="shared" si="359"/>
        <v>325</v>
      </c>
      <c r="Z177" s="118">
        <f t="shared" si="360"/>
        <v>16525</v>
      </c>
      <c r="AA177" s="119">
        <v>30</v>
      </c>
      <c r="AB177" s="115">
        <v>3</v>
      </c>
      <c r="AC177" s="115">
        <v>0</v>
      </c>
      <c r="AD177" s="115">
        <v>1</v>
      </c>
      <c r="AE177" s="115"/>
      <c r="AF177" s="115">
        <f t="shared" si="361"/>
        <v>4</v>
      </c>
      <c r="AG177" s="115">
        <f t="shared" si="362"/>
        <v>34</v>
      </c>
      <c r="AH177" s="101">
        <f t="shared" si="216"/>
        <v>30</v>
      </c>
      <c r="AI177" s="118">
        <f t="shared" si="363"/>
        <v>18358</v>
      </c>
      <c r="AJ177" s="118">
        <f t="shared" si="261"/>
        <v>16525</v>
      </c>
      <c r="AK177" s="118">
        <f t="shared" si="262"/>
        <v>10800</v>
      </c>
      <c r="AL177" s="118">
        <f t="shared" si="263"/>
        <v>5400</v>
      </c>
      <c r="AM177" s="118">
        <f t="shared" si="353"/>
        <v>325</v>
      </c>
      <c r="AN177" s="119">
        <f t="shared" si="264"/>
        <v>538</v>
      </c>
      <c r="AO177" s="119">
        <f t="shared" si="364"/>
        <v>1296</v>
      </c>
      <c r="AP177" s="118">
        <f t="shared" si="355"/>
        <v>18359</v>
      </c>
      <c r="AQ177" s="118">
        <v>0</v>
      </c>
      <c r="AR177" s="118">
        <f t="shared" si="266"/>
        <v>124</v>
      </c>
      <c r="AS177" s="118">
        <f t="shared" si="316"/>
        <v>538</v>
      </c>
      <c r="AT177" s="118">
        <f t="shared" si="320"/>
        <v>1296</v>
      </c>
      <c r="AU177" s="118">
        <f t="shared" si="321"/>
        <v>1296</v>
      </c>
      <c r="AV177" s="118">
        <v>35000</v>
      </c>
      <c r="AW177" s="118">
        <v>5000</v>
      </c>
      <c r="AX177" s="118">
        <f t="shared" si="365"/>
        <v>30000</v>
      </c>
      <c r="AY177" s="120"/>
      <c r="AZ177" s="120">
        <v>0</v>
      </c>
      <c r="BA177" s="118">
        <f t="shared" si="366"/>
        <v>10105</v>
      </c>
      <c r="BB177" s="31" t="s">
        <v>425</v>
      </c>
      <c r="BC177" s="34" t="s">
        <v>397</v>
      </c>
      <c r="BD177" s="34" t="s">
        <v>1086</v>
      </c>
      <c r="BE177" s="102"/>
      <c r="BF177" s="102"/>
      <c r="BG177" s="70" t="s">
        <v>48</v>
      </c>
      <c r="BH177" s="125">
        <v>0</v>
      </c>
      <c r="BI177" s="156"/>
      <c r="BJ177" s="70"/>
    </row>
    <row r="178" spans="1:62" s="13" customFormat="1" x14ac:dyDescent="0.25">
      <c r="A178" s="70">
        <f t="shared" si="367"/>
        <v>176</v>
      </c>
      <c r="B178" s="122">
        <v>2344</v>
      </c>
      <c r="C178" s="108" t="s">
        <v>41</v>
      </c>
      <c r="D178" s="126" t="s">
        <v>1107</v>
      </c>
      <c r="E178" s="146" t="s">
        <v>1087</v>
      </c>
      <c r="F178" s="114" t="s">
        <v>1088</v>
      </c>
      <c r="G178" s="147"/>
      <c r="H178" s="122" t="s">
        <v>43</v>
      </c>
      <c r="I178" s="82">
        <v>45762</v>
      </c>
      <c r="J178" s="137"/>
      <c r="K178" s="82"/>
      <c r="L178" s="102"/>
      <c r="M178" s="128" t="s">
        <v>44</v>
      </c>
      <c r="N178" s="117" t="s">
        <v>952</v>
      </c>
      <c r="O178" s="114" t="s">
        <v>998</v>
      </c>
      <c r="P178" s="70" t="s">
        <v>292</v>
      </c>
      <c r="Q178" s="70" t="s">
        <v>412</v>
      </c>
      <c r="R178" s="125">
        <v>37600</v>
      </c>
      <c r="S178" s="83"/>
      <c r="T178" s="116"/>
      <c r="U178" s="119">
        <f t="shared" si="358"/>
        <v>37600</v>
      </c>
      <c r="V178" s="119">
        <v>35800</v>
      </c>
      <c r="W178" s="119">
        <v>19270</v>
      </c>
      <c r="X178" s="125">
        <f t="shared" si="347"/>
        <v>9635</v>
      </c>
      <c r="Y178" s="118">
        <f t="shared" si="359"/>
        <v>6895</v>
      </c>
      <c r="Z178" s="118">
        <f t="shared" si="360"/>
        <v>35800</v>
      </c>
      <c r="AA178" s="119">
        <v>30</v>
      </c>
      <c r="AB178" s="115">
        <v>9</v>
      </c>
      <c r="AC178" s="115">
        <v>0</v>
      </c>
      <c r="AD178" s="115">
        <v>1</v>
      </c>
      <c r="AE178" s="115"/>
      <c r="AF178" s="115">
        <f t="shared" si="361"/>
        <v>10</v>
      </c>
      <c r="AG178" s="115">
        <f t="shared" si="362"/>
        <v>40</v>
      </c>
      <c r="AH178" s="101">
        <f t="shared" si="216"/>
        <v>30</v>
      </c>
      <c r="AI178" s="118">
        <f t="shared" si="363"/>
        <v>37600</v>
      </c>
      <c r="AJ178" s="118">
        <f t="shared" si="261"/>
        <v>35800</v>
      </c>
      <c r="AK178" s="118">
        <f t="shared" si="262"/>
        <v>19270</v>
      </c>
      <c r="AL178" s="118">
        <f t="shared" si="263"/>
        <v>9635</v>
      </c>
      <c r="AM178" s="118">
        <f t="shared" si="353"/>
        <v>6895</v>
      </c>
      <c r="AN178" s="119">
        <f t="shared" si="264"/>
        <v>0</v>
      </c>
      <c r="AO178" s="119">
        <f t="shared" si="364"/>
        <v>1800</v>
      </c>
      <c r="AP178" s="118">
        <f t="shared" si="355"/>
        <v>37600</v>
      </c>
      <c r="AQ178" s="118">
        <v>0</v>
      </c>
      <c r="AR178" s="118">
        <f t="shared" si="266"/>
        <v>0</v>
      </c>
      <c r="AS178" s="118">
        <f t="shared" si="316"/>
        <v>0</v>
      </c>
      <c r="AT178" s="118">
        <f t="shared" si="320"/>
        <v>1800</v>
      </c>
      <c r="AU178" s="118">
        <f t="shared" si="321"/>
        <v>1800</v>
      </c>
      <c r="AV178" s="118"/>
      <c r="AW178" s="118">
        <v>0</v>
      </c>
      <c r="AX178" s="118">
        <v>0</v>
      </c>
      <c r="AY178" s="120"/>
      <c r="AZ178" s="120">
        <v>0</v>
      </c>
      <c r="BA178" s="118">
        <f t="shared" si="366"/>
        <v>34000</v>
      </c>
      <c r="BB178" s="31" t="s">
        <v>446</v>
      </c>
      <c r="BC178" s="34" t="s">
        <v>570</v>
      </c>
      <c r="BD178" s="34" t="s">
        <v>1089</v>
      </c>
      <c r="BE178" s="102"/>
      <c r="BF178" s="102"/>
      <c r="BG178" s="70" t="s">
        <v>48</v>
      </c>
      <c r="BH178" s="125">
        <v>0</v>
      </c>
      <c r="BI178" s="156"/>
      <c r="BJ178" s="70"/>
    </row>
    <row r="179" spans="1:62" s="13" customFormat="1" x14ac:dyDescent="0.25">
      <c r="A179" s="70">
        <f t="shared" si="367"/>
        <v>177</v>
      </c>
      <c r="B179" s="122">
        <v>2345</v>
      </c>
      <c r="C179" s="134" t="s">
        <v>1101</v>
      </c>
      <c r="D179" s="126" t="s">
        <v>1108</v>
      </c>
      <c r="E179" s="146" t="s">
        <v>1074</v>
      </c>
      <c r="F179" s="114" t="s">
        <v>1200</v>
      </c>
      <c r="G179" s="147"/>
      <c r="H179" s="122" t="s">
        <v>43</v>
      </c>
      <c r="I179" s="82">
        <v>45763</v>
      </c>
      <c r="J179" s="137"/>
      <c r="K179" s="82">
        <v>45773</v>
      </c>
      <c r="L179" s="102"/>
      <c r="M179" s="128" t="s">
        <v>44</v>
      </c>
      <c r="N179" s="117" t="s">
        <v>959</v>
      </c>
      <c r="O179" s="114" t="s">
        <v>975</v>
      </c>
      <c r="P179" s="70" t="s">
        <v>412</v>
      </c>
      <c r="Q179" s="70" t="s">
        <v>412</v>
      </c>
      <c r="R179" s="125">
        <v>20330</v>
      </c>
      <c r="S179" s="83">
        <f>+R179*0.15</f>
        <v>3049.5</v>
      </c>
      <c r="T179" s="116">
        <v>45962</v>
      </c>
      <c r="U179" s="119">
        <f>R179+S179</f>
        <v>23379.5</v>
      </c>
      <c r="V179" s="119">
        <v>21977</v>
      </c>
      <c r="W179" s="119">
        <f>+U179*0.5</f>
        <v>11689.75</v>
      </c>
      <c r="X179" s="125">
        <f t="shared" si="347"/>
        <v>5844.875</v>
      </c>
      <c r="Y179" s="118">
        <f t="shared" si="359"/>
        <v>4442.375</v>
      </c>
      <c r="Z179" s="118">
        <f t="shared" si="360"/>
        <v>21977</v>
      </c>
      <c r="AA179" s="119">
        <v>30</v>
      </c>
      <c r="AB179" s="115">
        <v>7</v>
      </c>
      <c r="AC179" s="115">
        <v>1</v>
      </c>
      <c r="AD179" s="115">
        <v>1</v>
      </c>
      <c r="AE179" s="115"/>
      <c r="AF179" s="115">
        <f t="shared" si="361"/>
        <v>7</v>
      </c>
      <c r="AG179" s="115">
        <f t="shared" si="362"/>
        <v>37</v>
      </c>
      <c r="AH179" s="101">
        <f t="shared" si="216"/>
        <v>30</v>
      </c>
      <c r="AI179" s="118">
        <f t="shared" si="363"/>
        <v>23380</v>
      </c>
      <c r="AJ179" s="118">
        <f t="shared" si="261"/>
        <v>21977</v>
      </c>
      <c r="AK179" s="118">
        <f t="shared" si="262"/>
        <v>11690</v>
      </c>
      <c r="AL179" s="118">
        <f t="shared" si="263"/>
        <v>5845</v>
      </c>
      <c r="AM179" s="118">
        <f t="shared" si="353"/>
        <v>4442</v>
      </c>
      <c r="AN179" s="119">
        <f t="shared" si="264"/>
        <v>0</v>
      </c>
      <c r="AO179" s="119">
        <f t="shared" si="364"/>
        <v>1403</v>
      </c>
      <c r="AP179" s="118">
        <f t="shared" si="355"/>
        <v>23380</v>
      </c>
      <c r="AQ179" s="118">
        <v>0</v>
      </c>
      <c r="AR179" s="118">
        <f t="shared" si="266"/>
        <v>0</v>
      </c>
      <c r="AS179" s="118">
        <f t="shared" si="316"/>
        <v>0</v>
      </c>
      <c r="AT179" s="118">
        <f t="shared" si="320"/>
        <v>1403</v>
      </c>
      <c r="AU179" s="118">
        <f t="shared" si="321"/>
        <v>1403</v>
      </c>
      <c r="AV179" s="118"/>
      <c r="AW179" s="118">
        <v>0</v>
      </c>
      <c r="AX179" s="118">
        <f t="shared" si="365"/>
        <v>0</v>
      </c>
      <c r="AY179" s="120"/>
      <c r="AZ179" s="120">
        <v>0</v>
      </c>
      <c r="BA179" s="118">
        <f t="shared" si="366"/>
        <v>20574</v>
      </c>
      <c r="BB179" s="31" t="s">
        <v>393</v>
      </c>
      <c r="BC179" s="34" t="s">
        <v>1075</v>
      </c>
      <c r="BD179" s="34" t="s">
        <v>1076</v>
      </c>
      <c r="BE179" s="102"/>
      <c r="BF179" s="102"/>
      <c r="BG179" s="70" t="s">
        <v>48</v>
      </c>
      <c r="BH179" s="125">
        <v>0</v>
      </c>
      <c r="BI179" s="156"/>
      <c r="BJ179" s="70"/>
    </row>
    <row r="180" spans="1:62" s="13" customFormat="1" x14ac:dyDescent="0.25">
      <c r="A180" s="70">
        <f t="shared" si="367"/>
        <v>178</v>
      </c>
      <c r="B180" s="122">
        <v>2346</v>
      </c>
      <c r="C180" s="134" t="s">
        <v>1102</v>
      </c>
      <c r="D180" s="126" t="s">
        <v>1109</v>
      </c>
      <c r="E180" s="146" t="s">
        <v>1072</v>
      </c>
      <c r="F180" s="114" t="s">
        <v>1092</v>
      </c>
      <c r="G180" s="147"/>
      <c r="H180" s="122" t="s">
        <v>43</v>
      </c>
      <c r="I180" s="82">
        <v>45775</v>
      </c>
      <c r="J180" s="137"/>
      <c r="K180" s="82"/>
      <c r="L180" s="102"/>
      <c r="M180" s="128" t="s">
        <v>44</v>
      </c>
      <c r="N180" s="117" t="s">
        <v>959</v>
      </c>
      <c r="O180" s="114" t="s">
        <v>998</v>
      </c>
      <c r="P180" s="70" t="s">
        <v>412</v>
      </c>
      <c r="Q180" s="70" t="s">
        <v>412</v>
      </c>
      <c r="R180" s="125">
        <v>21549</v>
      </c>
      <c r="S180" s="83"/>
      <c r="T180" s="116"/>
      <c r="U180" s="119">
        <f t="shared" si="358"/>
        <v>21549</v>
      </c>
      <c r="V180" s="119">
        <v>19531</v>
      </c>
      <c r="W180" s="119">
        <v>11530</v>
      </c>
      <c r="X180" s="125">
        <f t="shared" si="347"/>
        <v>5765</v>
      </c>
      <c r="Y180" s="118">
        <f t="shared" si="359"/>
        <v>2236</v>
      </c>
      <c r="Z180" s="118">
        <f t="shared" si="360"/>
        <v>19531</v>
      </c>
      <c r="AA180" s="119">
        <v>30</v>
      </c>
      <c r="AB180" s="115">
        <v>8</v>
      </c>
      <c r="AC180" s="115">
        <v>3</v>
      </c>
      <c r="AD180" s="115">
        <v>1</v>
      </c>
      <c r="AE180" s="115"/>
      <c r="AF180" s="115">
        <f t="shared" si="361"/>
        <v>6</v>
      </c>
      <c r="AG180" s="115">
        <f t="shared" si="362"/>
        <v>36</v>
      </c>
      <c r="AH180" s="101">
        <f t="shared" si="216"/>
        <v>30</v>
      </c>
      <c r="AI180" s="118">
        <f t="shared" si="363"/>
        <v>21549</v>
      </c>
      <c r="AJ180" s="118">
        <f t="shared" si="261"/>
        <v>19531</v>
      </c>
      <c r="AK180" s="118">
        <f t="shared" si="262"/>
        <v>11530</v>
      </c>
      <c r="AL180" s="118">
        <f t="shared" si="263"/>
        <v>5765</v>
      </c>
      <c r="AM180" s="118">
        <f t="shared" si="353"/>
        <v>2236</v>
      </c>
      <c r="AN180" s="119">
        <f t="shared" si="264"/>
        <v>635</v>
      </c>
      <c r="AO180" s="119">
        <f t="shared" si="364"/>
        <v>1384</v>
      </c>
      <c r="AP180" s="118">
        <f t="shared" si="355"/>
        <v>21550</v>
      </c>
      <c r="AQ180" s="118">
        <v>0</v>
      </c>
      <c r="AR180" s="118">
        <f t="shared" si="266"/>
        <v>147</v>
      </c>
      <c r="AS180" s="118">
        <f t="shared" si="316"/>
        <v>635</v>
      </c>
      <c r="AT180" s="118">
        <f t="shared" si="320"/>
        <v>1384</v>
      </c>
      <c r="AU180" s="118">
        <f t="shared" si="321"/>
        <v>1384</v>
      </c>
      <c r="AV180" s="118"/>
      <c r="AW180" s="118">
        <v>0</v>
      </c>
      <c r="AX180" s="118">
        <f t="shared" si="365"/>
        <v>0</v>
      </c>
      <c r="AY180" s="120"/>
      <c r="AZ180" s="120">
        <v>0</v>
      </c>
      <c r="BA180" s="118">
        <f t="shared" si="366"/>
        <v>18000</v>
      </c>
      <c r="BB180" s="31" t="s">
        <v>543</v>
      </c>
      <c r="BC180" s="34" t="s">
        <v>1090</v>
      </c>
      <c r="BD180" s="34" t="s">
        <v>1091</v>
      </c>
      <c r="BE180" s="102"/>
      <c r="BF180" s="102"/>
      <c r="BG180" s="70" t="s">
        <v>48</v>
      </c>
      <c r="BH180" s="125">
        <v>0</v>
      </c>
      <c r="BI180" s="156"/>
      <c r="BJ180" s="70"/>
    </row>
    <row r="181" spans="1:62" s="13" customFormat="1" x14ac:dyDescent="0.25">
      <c r="A181" s="70">
        <f t="shared" si="367"/>
        <v>179</v>
      </c>
      <c r="B181" s="122">
        <v>2347</v>
      </c>
      <c r="C181" s="134" t="s">
        <v>1103</v>
      </c>
      <c r="D181" s="126" t="s">
        <v>1110</v>
      </c>
      <c r="E181" s="146" t="s">
        <v>73</v>
      </c>
      <c r="F181" s="114" t="s">
        <v>1079</v>
      </c>
      <c r="G181" s="147"/>
      <c r="H181" s="122" t="s">
        <v>43</v>
      </c>
      <c r="I181" s="82">
        <v>45775</v>
      </c>
      <c r="J181" s="137"/>
      <c r="K181" s="82"/>
      <c r="L181" s="102"/>
      <c r="M181" s="128" t="s">
        <v>44</v>
      </c>
      <c r="N181" s="117" t="s">
        <v>959</v>
      </c>
      <c r="O181" s="114" t="s">
        <v>110</v>
      </c>
      <c r="P181" s="70" t="s">
        <v>412</v>
      </c>
      <c r="Q181" s="70" t="s">
        <v>412</v>
      </c>
      <c r="R181" s="125">
        <v>20329</v>
      </c>
      <c r="S181" s="83">
        <f>+R181*0.05</f>
        <v>1016.45</v>
      </c>
      <c r="T181" s="116">
        <v>45962</v>
      </c>
      <c r="U181" s="119">
        <f t="shared" si="358"/>
        <v>21345.45</v>
      </c>
      <c r="V181" s="119">
        <v>19418</v>
      </c>
      <c r="W181" s="119">
        <v>10800</v>
      </c>
      <c r="X181" s="125">
        <f t="shared" si="347"/>
        <v>5400</v>
      </c>
      <c r="Y181" s="118">
        <f t="shared" si="359"/>
        <v>3218</v>
      </c>
      <c r="Z181" s="118">
        <f t="shared" si="360"/>
        <v>19418</v>
      </c>
      <c r="AA181" s="119">
        <v>30</v>
      </c>
      <c r="AB181" s="115">
        <v>5.5</v>
      </c>
      <c r="AC181" s="115">
        <v>3</v>
      </c>
      <c r="AD181" s="115">
        <v>1</v>
      </c>
      <c r="AE181" s="115"/>
      <c r="AF181" s="115">
        <f t="shared" si="361"/>
        <v>3.5</v>
      </c>
      <c r="AG181" s="115">
        <f t="shared" si="362"/>
        <v>33.5</v>
      </c>
      <c r="AH181" s="101">
        <f t="shared" si="216"/>
        <v>30</v>
      </c>
      <c r="AI181" s="118">
        <f t="shared" si="363"/>
        <v>21345</v>
      </c>
      <c r="AJ181" s="118">
        <f t="shared" si="261"/>
        <v>19418</v>
      </c>
      <c r="AK181" s="118">
        <f t="shared" si="262"/>
        <v>10800</v>
      </c>
      <c r="AL181" s="118">
        <f t="shared" si="263"/>
        <v>5400</v>
      </c>
      <c r="AM181" s="118">
        <f t="shared" si="353"/>
        <v>3218</v>
      </c>
      <c r="AN181" s="119">
        <f t="shared" si="264"/>
        <v>632</v>
      </c>
      <c r="AO181" s="119">
        <f t="shared" si="364"/>
        <v>1296</v>
      </c>
      <c r="AP181" s="118">
        <f t="shared" si="355"/>
        <v>21346</v>
      </c>
      <c r="AQ181" s="118">
        <v>0</v>
      </c>
      <c r="AR181" s="118">
        <f t="shared" si="266"/>
        <v>146</v>
      </c>
      <c r="AS181" s="118">
        <f t="shared" si="316"/>
        <v>632</v>
      </c>
      <c r="AT181" s="118">
        <f t="shared" si="320"/>
        <v>1296</v>
      </c>
      <c r="AU181" s="118">
        <f t="shared" si="321"/>
        <v>1296</v>
      </c>
      <c r="AV181" s="118"/>
      <c r="AW181" s="118">
        <v>0</v>
      </c>
      <c r="AX181" s="118">
        <f t="shared" si="365"/>
        <v>0</v>
      </c>
      <c r="AY181" s="120"/>
      <c r="AZ181" s="120">
        <v>1000</v>
      </c>
      <c r="BA181" s="118">
        <f t="shared" si="366"/>
        <v>16976</v>
      </c>
      <c r="BB181" s="31" t="s">
        <v>425</v>
      </c>
      <c r="BC181" s="34" t="s">
        <v>1077</v>
      </c>
      <c r="BD181" s="34" t="s">
        <v>1078</v>
      </c>
      <c r="BE181" s="102"/>
      <c r="BF181" s="102"/>
      <c r="BG181" s="70" t="s">
        <v>48</v>
      </c>
      <c r="BH181" s="125">
        <v>0</v>
      </c>
      <c r="BI181" s="156"/>
      <c r="BJ181" s="70"/>
    </row>
    <row r="182" spans="1:62" s="13" customFormat="1" x14ac:dyDescent="0.25">
      <c r="A182" s="70">
        <f t="shared" si="367"/>
        <v>180</v>
      </c>
      <c r="B182" s="122">
        <v>2352</v>
      </c>
      <c r="C182" s="134" t="s">
        <v>1116</v>
      </c>
      <c r="D182" s="126" t="s">
        <v>1117</v>
      </c>
      <c r="E182" s="146" t="s">
        <v>890</v>
      </c>
      <c r="F182" s="114" t="s">
        <v>1201</v>
      </c>
      <c r="G182" s="147"/>
      <c r="H182" s="122" t="s">
        <v>43</v>
      </c>
      <c r="I182" s="82">
        <v>45748</v>
      </c>
      <c r="J182" s="137"/>
      <c r="K182" s="82"/>
      <c r="L182" s="102"/>
      <c r="M182" s="128" t="s">
        <v>44</v>
      </c>
      <c r="N182" s="117" t="s">
        <v>99</v>
      </c>
      <c r="O182" s="114" t="s">
        <v>1000</v>
      </c>
      <c r="P182" s="70" t="s">
        <v>412</v>
      </c>
      <c r="Q182" s="70" t="s">
        <v>412</v>
      </c>
      <c r="R182" s="125">
        <v>15128</v>
      </c>
      <c r="S182" s="83">
        <f>+R182*0.25</f>
        <v>3782</v>
      </c>
      <c r="T182" s="116">
        <v>45778</v>
      </c>
      <c r="U182" s="119">
        <f>R182+S182</f>
        <v>18910</v>
      </c>
      <c r="V182" s="119">
        <v>17060</v>
      </c>
      <c r="W182" s="119">
        <v>10800</v>
      </c>
      <c r="X182" s="125">
        <f>+W182*0.5</f>
        <v>5400</v>
      </c>
      <c r="Y182" s="118">
        <f>+V182-W182-X182</f>
        <v>860</v>
      </c>
      <c r="Z182" s="118">
        <f>+W182+X182+Y182</f>
        <v>17060</v>
      </c>
      <c r="AA182" s="119">
        <v>30</v>
      </c>
      <c r="AB182" s="115">
        <v>4</v>
      </c>
      <c r="AC182" s="115">
        <v>4</v>
      </c>
      <c r="AD182" s="115">
        <v>1</v>
      </c>
      <c r="AE182" s="115"/>
      <c r="AF182" s="115">
        <f>AB182+AD182+AE182-AC182</f>
        <v>1</v>
      </c>
      <c r="AG182" s="115">
        <f>+AF182+AA182</f>
        <v>31</v>
      </c>
      <c r="AH182" s="101">
        <f t="shared" si="216"/>
        <v>30</v>
      </c>
      <c r="AI182" s="118">
        <f>ROUND(U182*AH182/AA182,0)</f>
        <v>18910</v>
      </c>
      <c r="AJ182" s="118">
        <f t="shared" si="261"/>
        <v>17060</v>
      </c>
      <c r="AK182" s="118">
        <f t="shared" si="262"/>
        <v>10800</v>
      </c>
      <c r="AL182" s="118">
        <f t="shared" si="263"/>
        <v>5400</v>
      </c>
      <c r="AM182" s="118">
        <f t="shared" si="353"/>
        <v>860</v>
      </c>
      <c r="AN182" s="119">
        <f t="shared" si="264"/>
        <v>555</v>
      </c>
      <c r="AO182" s="119">
        <f>ROUND(IF(AK182&lt;15001,AK182*12%,1800),0)</f>
        <v>1296</v>
      </c>
      <c r="AP182" s="118">
        <f t="shared" si="355"/>
        <v>18911</v>
      </c>
      <c r="AQ182" s="118">
        <v>0</v>
      </c>
      <c r="AR182" s="118">
        <f t="shared" si="266"/>
        <v>128</v>
      </c>
      <c r="AS182" s="118">
        <f t="shared" si="316"/>
        <v>555</v>
      </c>
      <c r="AT182" s="118">
        <f t="shared" si="320"/>
        <v>1296</v>
      </c>
      <c r="AU182" s="118">
        <f t="shared" si="321"/>
        <v>1296</v>
      </c>
      <c r="AV182" s="118"/>
      <c r="AW182" s="118">
        <v>0</v>
      </c>
      <c r="AX182" s="118">
        <v>0</v>
      </c>
      <c r="AY182" s="120"/>
      <c r="AZ182" s="120">
        <v>1000</v>
      </c>
      <c r="BA182" s="118">
        <f>AP182-AQ182-AR182-AS182-AT182-AU182-AW182+AY182-AZ182</f>
        <v>14636</v>
      </c>
      <c r="BB182" s="31" t="s">
        <v>424</v>
      </c>
      <c r="BC182" s="34" t="s">
        <v>760</v>
      </c>
      <c r="BD182" s="34" t="s">
        <v>905</v>
      </c>
      <c r="BE182" s="102"/>
      <c r="BF182" s="102"/>
      <c r="BG182" s="70" t="s">
        <v>48</v>
      </c>
      <c r="BH182" s="125">
        <v>0</v>
      </c>
      <c r="BI182" s="156"/>
      <c r="BJ182" s="70"/>
    </row>
    <row r="183" spans="1:62" s="13" customFormat="1" x14ac:dyDescent="0.25">
      <c r="A183" s="70">
        <f t="shared" si="367"/>
        <v>181</v>
      </c>
      <c r="B183" s="122">
        <v>2350</v>
      </c>
      <c r="C183" s="134" t="s">
        <v>41</v>
      </c>
      <c r="D183" s="126" t="s">
        <v>1155</v>
      </c>
      <c r="E183" s="146" t="s">
        <v>1120</v>
      </c>
      <c r="F183" s="114" t="s">
        <v>1139</v>
      </c>
      <c r="G183" s="147"/>
      <c r="H183" s="122" t="s">
        <v>43</v>
      </c>
      <c r="I183" s="82">
        <v>45779</v>
      </c>
      <c r="J183" s="137"/>
      <c r="K183" s="82"/>
      <c r="L183" s="102"/>
      <c r="M183" s="128" t="s">
        <v>44</v>
      </c>
      <c r="N183" s="117" t="s">
        <v>960</v>
      </c>
      <c r="O183" s="114" t="s">
        <v>1143</v>
      </c>
      <c r="P183" s="70" t="s">
        <v>292</v>
      </c>
      <c r="Q183" s="70" t="s">
        <v>412</v>
      </c>
      <c r="R183" s="125">
        <v>30100</v>
      </c>
      <c r="S183" s="83"/>
      <c r="T183" s="116"/>
      <c r="U183" s="119">
        <f>R183+S183</f>
        <v>30100</v>
      </c>
      <c r="V183" s="119">
        <v>28300</v>
      </c>
      <c r="W183" s="119">
        <v>15400</v>
      </c>
      <c r="X183" s="125">
        <f t="shared" si="347"/>
        <v>7700</v>
      </c>
      <c r="Y183" s="118">
        <f>+V183-W183-X183</f>
        <v>5200</v>
      </c>
      <c r="Z183" s="118">
        <f>+W183+X183+Y183</f>
        <v>28300</v>
      </c>
      <c r="AA183" s="119">
        <v>30</v>
      </c>
      <c r="AB183" s="115">
        <v>8.5</v>
      </c>
      <c r="AC183" s="115">
        <v>1</v>
      </c>
      <c r="AD183" s="115">
        <v>2</v>
      </c>
      <c r="AE183" s="115"/>
      <c r="AF183" s="115">
        <f>AB183+AD183+AE183-AC183</f>
        <v>9.5</v>
      </c>
      <c r="AG183" s="115">
        <f>+AF183+AA183</f>
        <v>39.5</v>
      </c>
      <c r="AH183" s="101">
        <f t="shared" si="216"/>
        <v>30</v>
      </c>
      <c r="AI183" s="118">
        <f>ROUND(U183*AH183/AA183,0)</f>
        <v>30100</v>
      </c>
      <c r="AJ183" s="118">
        <f t="shared" si="261"/>
        <v>28300</v>
      </c>
      <c r="AK183" s="118">
        <f t="shared" si="262"/>
        <v>15400</v>
      </c>
      <c r="AL183" s="118">
        <f t="shared" si="263"/>
        <v>7700</v>
      </c>
      <c r="AM183" s="118">
        <f t="shared" si="353"/>
        <v>5200</v>
      </c>
      <c r="AN183" s="119">
        <f t="shared" si="264"/>
        <v>0</v>
      </c>
      <c r="AO183" s="119">
        <f>ROUND(IF(AK183&lt;15001,AK183*12%,1800),0)</f>
        <v>1800</v>
      </c>
      <c r="AP183" s="118">
        <f t="shared" si="355"/>
        <v>30100</v>
      </c>
      <c r="AQ183" s="118">
        <v>0</v>
      </c>
      <c r="AR183" s="118">
        <f t="shared" si="266"/>
        <v>0</v>
      </c>
      <c r="AS183" s="118">
        <f t="shared" si="316"/>
        <v>0</v>
      </c>
      <c r="AT183" s="118">
        <f t="shared" si="320"/>
        <v>1800</v>
      </c>
      <c r="AU183" s="118">
        <f t="shared" si="321"/>
        <v>1800</v>
      </c>
      <c r="AV183" s="118"/>
      <c r="AW183" s="118">
        <v>0</v>
      </c>
      <c r="AX183" s="118">
        <f>+AV183-AW183</f>
        <v>0</v>
      </c>
      <c r="AY183" s="120"/>
      <c r="AZ183" s="120">
        <v>0</v>
      </c>
      <c r="BA183" s="118">
        <f>AP183-AQ183-AR183-AS183-AT183-AU183-AW183+AY183-AZ183</f>
        <v>26500</v>
      </c>
      <c r="BB183" s="31" t="s">
        <v>394</v>
      </c>
      <c r="BC183" s="34" t="s">
        <v>1141</v>
      </c>
      <c r="BD183" s="34" t="s">
        <v>1140</v>
      </c>
      <c r="BE183" s="102"/>
      <c r="BF183" s="102"/>
      <c r="BG183" s="70" t="s">
        <v>48</v>
      </c>
      <c r="BH183" s="125">
        <v>0</v>
      </c>
      <c r="BI183" s="156"/>
      <c r="BJ183" s="70"/>
    </row>
    <row r="184" spans="1:62" s="13" customFormat="1" x14ac:dyDescent="0.25">
      <c r="A184" s="70">
        <f t="shared" si="367"/>
        <v>182</v>
      </c>
      <c r="B184" s="122">
        <v>2351</v>
      </c>
      <c r="C184" s="134" t="s">
        <v>41</v>
      </c>
      <c r="D184" s="126" t="s">
        <v>1156</v>
      </c>
      <c r="E184" s="146" t="s">
        <v>1121</v>
      </c>
      <c r="F184" s="114" t="s">
        <v>1137</v>
      </c>
      <c r="G184" s="147"/>
      <c r="H184" s="122" t="s">
        <v>43</v>
      </c>
      <c r="I184" s="82">
        <v>45780</v>
      </c>
      <c r="J184" s="137"/>
      <c r="K184" s="82"/>
      <c r="L184" s="102"/>
      <c r="M184" s="128" t="s">
        <v>44</v>
      </c>
      <c r="N184" s="117" t="s">
        <v>952</v>
      </c>
      <c r="O184" s="114" t="s">
        <v>388</v>
      </c>
      <c r="P184" s="70" t="s">
        <v>292</v>
      </c>
      <c r="Q184" s="70" t="s">
        <v>412</v>
      </c>
      <c r="R184" s="125">
        <v>34600</v>
      </c>
      <c r="S184" s="83"/>
      <c r="T184" s="116"/>
      <c r="U184" s="119">
        <f>R184+S184</f>
        <v>34600</v>
      </c>
      <c r="V184" s="119">
        <v>32800</v>
      </c>
      <c r="W184" s="119">
        <v>17736</v>
      </c>
      <c r="X184" s="125">
        <f t="shared" si="347"/>
        <v>8868</v>
      </c>
      <c r="Y184" s="118">
        <f t="shared" ref="Y184:Y186" si="368">+V184-W184-X184</f>
        <v>6196</v>
      </c>
      <c r="Z184" s="118">
        <f t="shared" ref="Z184:Z186" si="369">+W184+X184+Y184</f>
        <v>32800</v>
      </c>
      <c r="AA184" s="119">
        <v>30</v>
      </c>
      <c r="AB184" s="115">
        <v>12</v>
      </c>
      <c r="AC184" s="115">
        <v>1</v>
      </c>
      <c r="AD184" s="115">
        <v>2</v>
      </c>
      <c r="AE184" s="115"/>
      <c r="AF184" s="115">
        <f t="shared" ref="AF184:AF186" si="370">AB184+AD184+AE184-AC184</f>
        <v>13</v>
      </c>
      <c r="AG184" s="115">
        <f t="shared" ref="AG184:AG186" si="371">+AF184+AA184</f>
        <v>43</v>
      </c>
      <c r="AH184" s="101">
        <f t="shared" si="216"/>
        <v>30</v>
      </c>
      <c r="AI184" s="118">
        <f t="shared" ref="AI184:AI186" si="372">ROUND(U184*AH184/AA184,0)</f>
        <v>34600</v>
      </c>
      <c r="AJ184" s="118">
        <f t="shared" si="261"/>
        <v>32800</v>
      </c>
      <c r="AK184" s="118">
        <f t="shared" si="262"/>
        <v>17736</v>
      </c>
      <c r="AL184" s="118">
        <f t="shared" si="263"/>
        <v>8868</v>
      </c>
      <c r="AM184" s="118">
        <f t="shared" si="353"/>
        <v>6196</v>
      </c>
      <c r="AN184" s="119">
        <f t="shared" si="264"/>
        <v>0</v>
      </c>
      <c r="AO184" s="119">
        <f t="shared" ref="AO184:AO186" si="373">ROUND(IF(AK184&lt;15001,AK184*12%,1800),0)</f>
        <v>1800</v>
      </c>
      <c r="AP184" s="118">
        <f t="shared" si="355"/>
        <v>34600</v>
      </c>
      <c r="AQ184" s="118">
        <v>0</v>
      </c>
      <c r="AR184" s="118">
        <f t="shared" si="266"/>
        <v>0</v>
      </c>
      <c r="AS184" s="118">
        <f t="shared" si="316"/>
        <v>0</v>
      </c>
      <c r="AT184" s="118">
        <f t="shared" si="320"/>
        <v>1800</v>
      </c>
      <c r="AU184" s="118">
        <f t="shared" si="321"/>
        <v>1800</v>
      </c>
      <c r="AV184" s="118"/>
      <c r="AW184" s="118">
        <v>0</v>
      </c>
      <c r="AX184" s="118">
        <f t="shared" ref="AX184" si="374">+AV184-AW184</f>
        <v>0</v>
      </c>
      <c r="AY184" s="120"/>
      <c r="AZ184" s="120">
        <v>0</v>
      </c>
      <c r="BA184" s="118">
        <f t="shared" ref="BA184:BA186" si="375">AP184-AQ184-AR184-AS184-AT184-AU184-AW184+AY184-AZ184</f>
        <v>31000</v>
      </c>
      <c r="BB184" s="31" t="s">
        <v>1255</v>
      </c>
      <c r="BC184" s="34" t="s">
        <v>1455</v>
      </c>
      <c r="BD184" s="34" t="s">
        <v>1456</v>
      </c>
      <c r="BE184" s="102"/>
      <c r="BF184" s="102"/>
      <c r="BG184" s="70" t="s">
        <v>48</v>
      </c>
      <c r="BH184" s="125">
        <v>0</v>
      </c>
      <c r="BI184" s="156"/>
      <c r="BJ184" s="70"/>
    </row>
    <row r="185" spans="1:62" s="13" customFormat="1" x14ac:dyDescent="0.25">
      <c r="A185" s="70">
        <f t="shared" si="367"/>
        <v>183</v>
      </c>
      <c r="B185" s="122">
        <v>2353</v>
      </c>
      <c r="C185" s="134" t="s">
        <v>1146</v>
      </c>
      <c r="D185" s="126" t="s">
        <v>1157</v>
      </c>
      <c r="E185" s="146" t="s">
        <v>792</v>
      </c>
      <c r="F185" s="114" t="s">
        <v>1136</v>
      </c>
      <c r="G185" s="147"/>
      <c r="H185" s="122" t="s">
        <v>43</v>
      </c>
      <c r="I185" s="82">
        <v>45778</v>
      </c>
      <c r="J185" s="137"/>
      <c r="K185" s="82"/>
      <c r="L185" s="102"/>
      <c r="M185" s="128" t="s">
        <v>44</v>
      </c>
      <c r="N185" s="117" t="s">
        <v>99</v>
      </c>
      <c r="O185" s="114" t="s">
        <v>1001</v>
      </c>
      <c r="P185" s="70" t="s">
        <v>412</v>
      </c>
      <c r="Q185" s="70" t="s">
        <v>412</v>
      </c>
      <c r="R185" s="125">
        <v>17397</v>
      </c>
      <c r="S185" s="83">
        <f>+R185*0.1</f>
        <v>1739.7</v>
      </c>
      <c r="T185" s="116" t="s">
        <v>1501</v>
      </c>
      <c r="U185" s="119">
        <f>R185+S185</f>
        <v>19136.7</v>
      </c>
      <c r="V185" s="119">
        <v>17279</v>
      </c>
      <c r="W185" s="119">
        <v>10800</v>
      </c>
      <c r="X185" s="125">
        <f>+W185*0.5</f>
        <v>5400</v>
      </c>
      <c r="Y185" s="118">
        <f>+V185-W185-X185</f>
        <v>1079</v>
      </c>
      <c r="Z185" s="118">
        <f>+W185+X185+Y185</f>
        <v>17279</v>
      </c>
      <c r="AA185" s="119">
        <v>30</v>
      </c>
      <c r="AB185" s="115">
        <v>19.5</v>
      </c>
      <c r="AC185" s="115">
        <v>0</v>
      </c>
      <c r="AD185" s="115">
        <v>1</v>
      </c>
      <c r="AE185" s="115"/>
      <c r="AF185" s="115">
        <f>AB185+AD185+AE185-AC185</f>
        <v>20.5</v>
      </c>
      <c r="AG185" s="115">
        <f>+AF185+AA185</f>
        <v>50.5</v>
      </c>
      <c r="AH185" s="101">
        <f t="shared" si="216"/>
        <v>30</v>
      </c>
      <c r="AI185" s="118">
        <f>ROUND(U185*AH185/AA185,0)</f>
        <v>19137</v>
      </c>
      <c r="AJ185" s="118">
        <f t="shared" si="261"/>
        <v>17279</v>
      </c>
      <c r="AK185" s="118">
        <f t="shared" si="262"/>
        <v>10800</v>
      </c>
      <c r="AL185" s="118">
        <f t="shared" si="263"/>
        <v>5400</v>
      </c>
      <c r="AM185" s="118">
        <f t="shared" si="353"/>
        <v>1079</v>
      </c>
      <c r="AN185" s="119">
        <f t="shared" si="264"/>
        <v>562</v>
      </c>
      <c r="AO185" s="119">
        <f>ROUND(IF(AK185&lt;15001,AK185*12%,1800),0)</f>
        <v>1296</v>
      </c>
      <c r="AP185" s="118">
        <f t="shared" si="355"/>
        <v>19137</v>
      </c>
      <c r="AQ185" s="118">
        <v>0</v>
      </c>
      <c r="AR185" s="118">
        <f t="shared" si="266"/>
        <v>130</v>
      </c>
      <c r="AS185" s="118">
        <f t="shared" si="316"/>
        <v>562</v>
      </c>
      <c r="AT185" s="118">
        <f t="shared" si="320"/>
        <v>1296</v>
      </c>
      <c r="AU185" s="118">
        <f t="shared" si="321"/>
        <v>1296</v>
      </c>
      <c r="AV185" s="118"/>
      <c r="AW185" s="118">
        <v>0</v>
      </c>
      <c r="AX185" s="118">
        <f>+AV185-AW185</f>
        <v>0</v>
      </c>
      <c r="AY185" s="120"/>
      <c r="AZ185" s="120">
        <v>1000</v>
      </c>
      <c r="BA185" s="118">
        <f>AP185-AQ185-AR185-AS185-AT185-AU185-AW185+AY185-AZ185</f>
        <v>14853</v>
      </c>
      <c r="BB185" s="31" t="s">
        <v>809</v>
      </c>
      <c r="BC185" s="34" t="s">
        <v>325</v>
      </c>
      <c r="BD185" s="34" t="s">
        <v>1202</v>
      </c>
      <c r="BE185" s="102"/>
      <c r="BF185" s="102"/>
      <c r="BG185" s="70" t="s">
        <v>48</v>
      </c>
      <c r="BH185" s="125">
        <v>0</v>
      </c>
      <c r="BI185" s="156"/>
      <c r="BJ185" s="70"/>
    </row>
    <row r="186" spans="1:62" s="13" customFormat="1" x14ac:dyDescent="0.25">
      <c r="A186" s="70">
        <f t="shared" si="367"/>
        <v>184</v>
      </c>
      <c r="B186" s="122">
        <v>2354</v>
      </c>
      <c r="C186" s="134" t="s">
        <v>1147</v>
      </c>
      <c r="D186" s="126" t="s">
        <v>1158</v>
      </c>
      <c r="E186" s="146" t="s">
        <v>1123</v>
      </c>
      <c r="F186" s="114" t="s">
        <v>1130</v>
      </c>
      <c r="G186" s="147"/>
      <c r="H186" s="122" t="s">
        <v>43</v>
      </c>
      <c r="I186" s="82">
        <v>45791</v>
      </c>
      <c r="J186" s="137"/>
      <c r="K186" s="82"/>
      <c r="L186" s="102"/>
      <c r="M186" s="128" t="s">
        <v>44</v>
      </c>
      <c r="N186" s="117" t="s">
        <v>959</v>
      </c>
      <c r="O186" s="114" t="s">
        <v>1143</v>
      </c>
      <c r="P186" s="70" t="s">
        <v>412</v>
      </c>
      <c r="Q186" s="70" t="s">
        <v>412</v>
      </c>
      <c r="R186" s="125">
        <v>21550</v>
      </c>
      <c r="S186" s="83">
        <f>+R186*0.1</f>
        <v>2155</v>
      </c>
      <c r="T186" s="116"/>
      <c r="U186" s="119">
        <f t="shared" ref="U186" si="376">R186+S186</f>
        <v>23705</v>
      </c>
      <c r="V186" s="119">
        <v>19531</v>
      </c>
      <c r="W186" s="119">
        <v>11530</v>
      </c>
      <c r="X186" s="125">
        <f t="shared" si="347"/>
        <v>5765</v>
      </c>
      <c r="Y186" s="118">
        <f t="shared" si="368"/>
        <v>2236</v>
      </c>
      <c r="Z186" s="118">
        <f t="shared" si="369"/>
        <v>19531</v>
      </c>
      <c r="AA186" s="119">
        <v>30</v>
      </c>
      <c r="AB186" s="115">
        <v>9</v>
      </c>
      <c r="AC186" s="115">
        <v>3</v>
      </c>
      <c r="AD186" s="115">
        <v>1</v>
      </c>
      <c r="AE186" s="115"/>
      <c r="AF186" s="115">
        <f t="shared" si="370"/>
        <v>7</v>
      </c>
      <c r="AG186" s="115">
        <f t="shared" si="371"/>
        <v>37</v>
      </c>
      <c r="AH186" s="101">
        <f t="shared" si="216"/>
        <v>30</v>
      </c>
      <c r="AI186" s="118">
        <f t="shared" si="372"/>
        <v>23705</v>
      </c>
      <c r="AJ186" s="118">
        <f t="shared" si="261"/>
        <v>19531</v>
      </c>
      <c r="AK186" s="118">
        <f t="shared" si="262"/>
        <v>11530</v>
      </c>
      <c r="AL186" s="118">
        <f t="shared" si="263"/>
        <v>5765</v>
      </c>
      <c r="AM186" s="118">
        <f t="shared" si="353"/>
        <v>2236</v>
      </c>
      <c r="AN186" s="119">
        <f t="shared" si="264"/>
        <v>635</v>
      </c>
      <c r="AO186" s="119">
        <f t="shared" si="373"/>
        <v>1384</v>
      </c>
      <c r="AP186" s="118">
        <f t="shared" si="355"/>
        <v>21550</v>
      </c>
      <c r="AQ186" s="118">
        <v>0</v>
      </c>
      <c r="AR186" s="118">
        <f t="shared" si="266"/>
        <v>147</v>
      </c>
      <c r="AS186" s="118">
        <f t="shared" si="316"/>
        <v>635</v>
      </c>
      <c r="AT186" s="118">
        <f t="shared" si="320"/>
        <v>1384</v>
      </c>
      <c r="AU186" s="118">
        <f t="shared" si="321"/>
        <v>1384</v>
      </c>
      <c r="AV186" s="118"/>
      <c r="AW186" s="118">
        <v>0</v>
      </c>
      <c r="AX186" s="118">
        <v>0</v>
      </c>
      <c r="AY186" s="120"/>
      <c r="AZ186" s="120">
        <v>1000</v>
      </c>
      <c r="BA186" s="118">
        <f t="shared" si="375"/>
        <v>17000</v>
      </c>
      <c r="BB186" s="31" t="s">
        <v>394</v>
      </c>
      <c r="BC186" s="34" t="s">
        <v>250</v>
      </c>
      <c r="BD186" s="34" t="s">
        <v>1135</v>
      </c>
      <c r="BE186" s="102"/>
      <c r="BF186" s="102"/>
      <c r="BG186" s="70" t="s">
        <v>48</v>
      </c>
      <c r="BH186" s="125">
        <v>0</v>
      </c>
      <c r="BI186" s="156"/>
      <c r="BJ186" s="70"/>
    </row>
    <row r="187" spans="1:62" s="13" customFormat="1" x14ac:dyDescent="0.25">
      <c r="A187" s="70">
        <f t="shared" si="367"/>
        <v>185</v>
      </c>
      <c r="B187" s="122">
        <v>2358</v>
      </c>
      <c r="C187" s="134" t="s">
        <v>1148</v>
      </c>
      <c r="D187" s="126" t="s">
        <v>1159</v>
      </c>
      <c r="E187" s="146" t="s">
        <v>1125</v>
      </c>
      <c r="F187" s="114" t="s">
        <v>1129</v>
      </c>
      <c r="G187" s="147"/>
      <c r="H187" s="122" t="s">
        <v>43</v>
      </c>
      <c r="I187" s="82">
        <v>45804</v>
      </c>
      <c r="J187" s="137"/>
      <c r="K187" s="82"/>
      <c r="L187" s="102"/>
      <c r="M187" s="128" t="s">
        <v>44</v>
      </c>
      <c r="N187" s="117" t="s">
        <v>959</v>
      </c>
      <c r="O187" s="114" t="s">
        <v>454</v>
      </c>
      <c r="P187" s="70" t="s">
        <v>412</v>
      </c>
      <c r="Q187" s="70" t="s">
        <v>412</v>
      </c>
      <c r="R187" s="125">
        <v>22741</v>
      </c>
      <c r="S187" s="83"/>
      <c r="T187" s="116"/>
      <c r="U187" s="119">
        <f>R187+S187</f>
        <v>22741</v>
      </c>
      <c r="V187" s="119">
        <v>20613</v>
      </c>
      <c r="W187" s="119">
        <v>12150</v>
      </c>
      <c r="X187" s="125">
        <f t="shared" ref="X187" si="377">+W187*0.5</f>
        <v>6075</v>
      </c>
      <c r="Y187" s="118">
        <f t="shared" ref="Y187" si="378">+V187-W187-X187</f>
        <v>2388</v>
      </c>
      <c r="Z187" s="118">
        <f t="shared" ref="Z187" si="379">+W187+X187+Y187</f>
        <v>20613</v>
      </c>
      <c r="AA187" s="119">
        <v>30</v>
      </c>
      <c r="AB187" s="115">
        <v>7.5</v>
      </c>
      <c r="AC187" s="115">
        <v>3</v>
      </c>
      <c r="AD187" s="115">
        <v>1</v>
      </c>
      <c r="AE187" s="115"/>
      <c r="AF187" s="115">
        <f t="shared" ref="AF187" si="380">AB187+AD187+AE187-AC187</f>
        <v>5.5</v>
      </c>
      <c r="AG187" s="115">
        <f t="shared" ref="AG187" si="381">+AF187+AA187</f>
        <v>35.5</v>
      </c>
      <c r="AH187" s="101">
        <f t="shared" si="216"/>
        <v>30</v>
      </c>
      <c r="AI187" s="118">
        <f t="shared" ref="AI187" si="382">ROUND(U187*AH187/AA187,0)</f>
        <v>22741</v>
      </c>
      <c r="AJ187" s="118">
        <f t="shared" ref="AJ187" si="383">ROUND(Z187*AH187/AA187,0)</f>
        <v>20613</v>
      </c>
      <c r="AK187" s="118">
        <f t="shared" ref="AK187" si="384">ROUND(W187*AH187/AA187,0)</f>
        <v>12150</v>
      </c>
      <c r="AL187" s="118">
        <f t="shared" ref="AL187" si="385">ROUND(X187*AH187/AA187,0)</f>
        <v>6075</v>
      </c>
      <c r="AM187" s="118">
        <f t="shared" ref="AM187" si="386">ROUND(Y187*AH187/AA187,0)</f>
        <v>2388</v>
      </c>
      <c r="AN187" s="119">
        <f t="shared" ref="AN187" si="387">ROUNDUP(IF(V187&gt;=21000,0,AJ187*3.25%),0)</f>
        <v>670</v>
      </c>
      <c r="AO187" s="119">
        <f t="shared" ref="AO187" si="388">ROUND(IF(AK187&lt;15001,AK187*12%,1800),0)</f>
        <v>1458</v>
      </c>
      <c r="AP187" s="118">
        <f t="shared" ref="AP187" si="389">SUM(AK187:AO187)</f>
        <v>22741</v>
      </c>
      <c r="AQ187" s="118">
        <v>0</v>
      </c>
      <c r="AR187" s="118">
        <f t="shared" ref="AR187" si="390">ROUNDUP(IF(V187&gt;=21000,0,AJ187*0.75%),0)</f>
        <v>155</v>
      </c>
      <c r="AS187" s="118">
        <f t="shared" ref="AS187" si="391">AN187</f>
        <v>670</v>
      </c>
      <c r="AT187" s="118">
        <f t="shared" ref="AT187" si="392">AO187</f>
        <v>1458</v>
      </c>
      <c r="AU187" s="118">
        <f t="shared" ref="AU187" si="393">AO187</f>
        <v>1458</v>
      </c>
      <c r="AV187" s="118"/>
      <c r="AW187" s="118">
        <v>0</v>
      </c>
      <c r="AX187" s="118">
        <f t="shared" ref="AX187" si="394">+AV187-AW187</f>
        <v>0</v>
      </c>
      <c r="AY187" s="120"/>
      <c r="AZ187" s="120">
        <v>0</v>
      </c>
      <c r="BA187" s="118">
        <f t="shared" ref="BA187" si="395">AP187-AQ187-AR187-AS187-AT187-AU187-AW187+AY187-AZ187</f>
        <v>19000</v>
      </c>
      <c r="BB187" s="31" t="s">
        <v>532</v>
      </c>
      <c r="BC187" s="34" t="s">
        <v>1149</v>
      </c>
      <c r="BD187" s="34" t="s">
        <v>1150</v>
      </c>
      <c r="BE187" s="102"/>
      <c r="BF187" s="102"/>
      <c r="BG187" s="70" t="s">
        <v>48</v>
      </c>
      <c r="BH187" s="125">
        <v>0</v>
      </c>
      <c r="BI187" s="156"/>
      <c r="BJ187" s="70"/>
    </row>
    <row r="188" spans="1:62" s="13" customFormat="1" x14ac:dyDescent="0.25">
      <c r="A188" s="70">
        <f t="shared" si="367"/>
        <v>186</v>
      </c>
      <c r="B188" s="122">
        <v>2359</v>
      </c>
      <c r="C188" s="134" t="s">
        <v>41</v>
      </c>
      <c r="D188" s="126" t="s">
        <v>1195</v>
      </c>
      <c r="E188" s="146" t="s">
        <v>1161</v>
      </c>
      <c r="F188" s="114" t="s">
        <v>1184</v>
      </c>
      <c r="G188" s="147"/>
      <c r="H188" s="122" t="s">
        <v>43</v>
      </c>
      <c r="I188" s="82">
        <v>45810</v>
      </c>
      <c r="J188" s="137"/>
      <c r="K188" s="82"/>
      <c r="L188" s="102"/>
      <c r="M188" s="128" t="s">
        <v>44</v>
      </c>
      <c r="N188" s="117" t="s">
        <v>945</v>
      </c>
      <c r="O188" s="114" t="s">
        <v>306</v>
      </c>
      <c r="P188" s="70" t="s">
        <v>292</v>
      </c>
      <c r="Q188" s="70" t="s">
        <v>412</v>
      </c>
      <c r="R188" s="125">
        <v>80533</v>
      </c>
      <c r="S188" s="83"/>
      <c r="T188" s="116"/>
      <c r="U188" s="119">
        <f t="shared" ref="U188:U189" si="396">R188+S188</f>
        <v>80533</v>
      </c>
      <c r="V188" s="119">
        <v>76800</v>
      </c>
      <c r="W188" s="119">
        <v>40200</v>
      </c>
      <c r="X188" s="125">
        <f t="shared" ref="X188:X189" si="397">+W188*0.5</f>
        <v>20100</v>
      </c>
      <c r="Y188" s="118">
        <f t="shared" ref="Y188:Y189" si="398">+V188-W188-X188</f>
        <v>16500</v>
      </c>
      <c r="Z188" s="118">
        <f t="shared" ref="Z188:Z189" si="399">+W188+X188+Y188</f>
        <v>76800</v>
      </c>
      <c r="AA188" s="119">
        <v>30</v>
      </c>
      <c r="AB188" s="115">
        <v>4.5</v>
      </c>
      <c r="AC188" s="115">
        <v>5</v>
      </c>
      <c r="AD188" s="115">
        <v>2</v>
      </c>
      <c r="AE188" s="115"/>
      <c r="AF188" s="115">
        <f t="shared" ref="AF188:AF189" si="400">AB188+AD188+AE188-AC188</f>
        <v>1.5</v>
      </c>
      <c r="AG188" s="115">
        <f t="shared" ref="AG188:AG189" si="401">+AF188+AA188</f>
        <v>31.5</v>
      </c>
      <c r="AH188" s="101">
        <f t="shared" si="216"/>
        <v>30</v>
      </c>
      <c r="AI188" s="118">
        <f t="shared" ref="AI188:AI189" si="402">ROUND(U188*AH188/AA188,0)</f>
        <v>80533</v>
      </c>
      <c r="AJ188" s="118">
        <f t="shared" ref="AJ188:AJ189" si="403">ROUND(Z188*AH188/AA188,0)</f>
        <v>76800</v>
      </c>
      <c r="AK188" s="118">
        <f t="shared" ref="AK188:AK189" si="404">ROUND(W188*AH188/AA188,0)</f>
        <v>40200</v>
      </c>
      <c r="AL188" s="118">
        <f t="shared" ref="AL188:AL189" si="405">ROUND(X188*AH188/AA188,0)</f>
        <v>20100</v>
      </c>
      <c r="AM188" s="118">
        <f t="shared" ref="AM188:AM189" si="406">ROUND(Y188*AH188/AA188,0)</f>
        <v>16500</v>
      </c>
      <c r="AN188" s="119">
        <f t="shared" ref="AN188:AN189" si="407">ROUNDUP(IF(V188&gt;=21000,0,AJ188*3.25%),0)</f>
        <v>0</v>
      </c>
      <c r="AO188" s="119">
        <f t="shared" ref="AO188:AO189" si="408">ROUND(IF(AK188&lt;15001,AK188*12%,1800),0)</f>
        <v>1800</v>
      </c>
      <c r="AP188" s="118">
        <f t="shared" ref="AP188:AP189" si="409">SUM(AK188:AO188)</f>
        <v>78600</v>
      </c>
      <c r="AQ188" s="118">
        <v>0</v>
      </c>
      <c r="AR188" s="118">
        <f t="shared" ref="AR188:AR189" si="410">ROUNDUP(IF(V188&gt;=21000,0,AJ188*0.75%),0)</f>
        <v>0</v>
      </c>
      <c r="AS188" s="118">
        <f t="shared" ref="AS188:AS189" si="411">AN188</f>
        <v>0</v>
      </c>
      <c r="AT188" s="118">
        <f t="shared" ref="AT188:AT189" si="412">AO188</f>
        <v>1800</v>
      </c>
      <c r="AU188" s="118">
        <f t="shared" ref="AU188:AU189" si="413">AO188</f>
        <v>1800</v>
      </c>
      <c r="AV188" s="118"/>
      <c r="AW188" s="118">
        <v>0</v>
      </c>
      <c r="AX188" s="118">
        <f t="shared" ref="AX188:AX189" si="414">+AV188-AW188</f>
        <v>0</v>
      </c>
      <c r="AY188" s="120"/>
      <c r="AZ188" s="120">
        <v>0</v>
      </c>
      <c r="BA188" s="118">
        <f t="shared" ref="BA188:BA189" si="415">AP188-AQ188-AR188-AS188-AT188-AU188-AW188+AY188-AZ188</f>
        <v>75000</v>
      </c>
      <c r="BB188" s="31" t="s">
        <v>455</v>
      </c>
      <c r="BC188" s="34" t="s">
        <v>913</v>
      </c>
      <c r="BD188" s="34" t="s">
        <v>1185</v>
      </c>
      <c r="BE188" s="102"/>
      <c r="BF188" s="102"/>
      <c r="BG188" s="70" t="s">
        <v>48</v>
      </c>
      <c r="BH188" s="125">
        <v>0</v>
      </c>
      <c r="BI188" s="156"/>
      <c r="BJ188" s="70"/>
    </row>
    <row r="189" spans="1:62" s="13" customFormat="1" x14ac:dyDescent="0.25">
      <c r="A189" s="70">
        <f t="shared" si="367"/>
        <v>187</v>
      </c>
      <c r="B189" s="122">
        <v>2360</v>
      </c>
      <c r="C189" s="134" t="s">
        <v>41</v>
      </c>
      <c r="D189" s="126" t="s">
        <v>1196</v>
      </c>
      <c r="E189" s="146" t="s">
        <v>1163</v>
      </c>
      <c r="F189" s="114" t="s">
        <v>1175</v>
      </c>
      <c r="G189" s="147"/>
      <c r="H189" s="122" t="s">
        <v>43</v>
      </c>
      <c r="I189" s="82">
        <v>45811</v>
      </c>
      <c r="J189" s="137"/>
      <c r="K189" s="82"/>
      <c r="L189" s="102"/>
      <c r="M189" s="128" t="s">
        <v>44</v>
      </c>
      <c r="N189" s="117" t="s">
        <v>952</v>
      </c>
      <c r="O189" s="114" t="s">
        <v>388</v>
      </c>
      <c r="P189" s="70" t="s">
        <v>292</v>
      </c>
      <c r="Q189" s="70" t="s">
        <v>412</v>
      </c>
      <c r="R189" s="125">
        <v>41760</v>
      </c>
      <c r="S189" s="83"/>
      <c r="T189" s="116"/>
      <c r="U189" s="119">
        <f t="shared" si="396"/>
        <v>41760</v>
      </c>
      <c r="V189" s="119">
        <v>38956</v>
      </c>
      <c r="W189" s="119">
        <f>+U189*0.5</f>
        <v>20880</v>
      </c>
      <c r="X189" s="125">
        <f t="shared" si="397"/>
        <v>10440</v>
      </c>
      <c r="Y189" s="118">
        <f t="shared" si="398"/>
        <v>7636</v>
      </c>
      <c r="Z189" s="118">
        <f t="shared" si="399"/>
        <v>38956</v>
      </c>
      <c r="AA189" s="119">
        <v>30</v>
      </c>
      <c r="AB189" s="115">
        <v>11.5</v>
      </c>
      <c r="AC189" s="115">
        <v>1</v>
      </c>
      <c r="AD189" s="115">
        <v>1</v>
      </c>
      <c r="AE189" s="115"/>
      <c r="AF189" s="115">
        <f t="shared" si="400"/>
        <v>11.5</v>
      </c>
      <c r="AG189" s="115">
        <f t="shared" si="401"/>
        <v>41.5</v>
      </c>
      <c r="AH189" s="101">
        <f t="shared" si="216"/>
        <v>30</v>
      </c>
      <c r="AI189" s="118">
        <f t="shared" si="402"/>
        <v>41760</v>
      </c>
      <c r="AJ189" s="118">
        <f t="shared" si="403"/>
        <v>38956</v>
      </c>
      <c r="AK189" s="118">
        <f t="shared" si="404"/>
        <v>20880</v>
      </c>
      <c r="AL189" s="118">
        <f t="shared" si="405"/>
        <v>10440</v>
      </c>
      <c r="AM189" s="118">
        <f t="shared" si="406"/>
        <v>7636</v>
      </c>
      <c r="AN189" s="119">
        <f t="shared" si="407"/>
        <v>0</v>
      </c>
      <c r="AO189" s="119">
        <f t="shared" si="408"/>
        <v>1800</v>
      </c>
      <c r="AP189" s="118">
        <f t="shared" si="409"/>
        <v>40756</v>
      </c>
      <c r="AQ189" s="118">
        <v>0</v>
      </c>
      <c r="AR189" s="118">
        <f t="shared" si="410"/>
        <v>0</v>
      </c>
      <c r="AS189" s="118">
        <f t="shared" si="411"/>
        <v>0</v>
      </c>
      <c r="AT189" s="118">
        <f t="shared" si="412"/>
        <v>1800</v>
      </c>
      <c r="AU189" s="118">
        <f t="shared" si="413"/>
        <v>1800</v>
      </c>
      <c r="AV189" s="118"/>
      <c r="AW189" s="118">
        <v>0</v>
      </c>
      <c r="AX189" s="118">
        <f t="shared" si="414"/>
        <v>0</v>
      </c>
      <c r="AY189" s="120"/>
      <c r="AZ189" s="120">
        <v>0</v>
      </c>
      <c r="BA189" s="118">
        <f t="shared" si="415"/>
        <v>37156</v>
      </c>
      <c r="BB189" s="31" t="s">
        <v>851</v>
      </c>
      <c r="BC189" s="34" t="s">
        <v>1188</v>
      </c>
      <c r="BD189" s="34" t="s">
        <v>1189</v>
      </c>
      <c r="BE189" s="102"/>
      <c r="BF189" s="102"/>
      <c r="BG189" s="70" t="s">
        <v>48</v>
      </c>
      <c r="BH189" s="125">
        <v>0</v>
      </c>
      <c r="BI189" s="156"/>
      <c r="BJ189" s="70"/>
    </row>
    <row r="190" spans="1:62" s="13" customFormat="1" x14ac:dyDescent="0.25">
      <c r="A190" s="70">
        <f t="shared" si="367"/>
        <v>188</v>
      </c>
      <c r="B190" s="122">
        <v>2362</v>
      </c>
      <c r="C190" s="134" t="s">
        <v>41</v>
      </c>
      <c r="D190" s="126" t="s">
        <v>1197</v>
      </c>
      <c r="E190" s="146" t="s">
        <v>1166</v>
      </c>
      <c r="F190" s="114" t="s">
        <v>1174</v>
      </c>
      <c r="G190" s="147"/>
      <c r="H190" s="122" t="s">
        <v>43</v>
      </c>
      <c r="I190" s="82">
        <v>45817</v>
      </c>
      <c r="J190" s="137"/>
      <c r="K190" s="82"/>
      <c r="L190" s="102"/>
      <c r="M190" s="128" t="s">
        <v>44</v>
      </c>
      <c r="N190" s="117" t="s">
        <v>959</v>
      </c>
      <c r="O190" s="114" t="s">
        <v>1143</v>
      </c>
      <c r="P190" s="70" t="s">
        <v>292</v>
      </c>
      <c r="Q190" s="70" t="s">
        <v>412</v>
      </c>
      <c r="R190" s="125">
        <v>23864</v>
      </c>
      <c r="S190" s="83"/>
      <c r="T190" s="116"/>
      <c r="U190" s="119">
        <f t="shared" ref="U190:U191" si="416">R190+S190</f>
        <v>23864</v>
      </c>
      <c r="V190" s="119">
        <v>22432</v>
      </c>
      <c r="W190" s="119">
        <f>+U190*0.5</f>
        <v>11932</v>
      </c>
      <c r="X190" s="125">
        <f t="shared" ref="X190:X200" si="417">+W190*0.5</f>
        <v>5966</v>
      </c>
      <c r="Y190" s="118">
        <f t="shared" ref="Y190:Y191" si="418">+V190-W190-X190</f>
        <v>4534</v>
      </c>
      <c r="Z190" s="118">
        <f t="shared" ref="Z190:Z191" si="419">+W190+X190+Y190</f>
        <v>22432</v>
      </c>
      <c r="AA190" s="119">
        <v>30</v>
      </c>
      <c r="AB190" s="115">
        <v>0</v>
      </c>
      <c r="AC190" s="115">
        <v>1</v>
      </c>
      <c r="AD190" s="115">
        <v>1</v>
      </c>
      <c r="AE190" s="115"/>
      <c r="AF190" s="115">
        <f t="shared" ref="AF190:AF191" si="420">AB190+AD190+AE190-AC190</f>
        <v>0</v>
      </c>
      <c r="AG190" s="115">
        <f t="shared" ref="AG190:AG191" si="421">+AF190+AA190</f>
        <v>30</v>
      </c>
      <c r="AH190" s="101">
        <f t="shared" si="216"/>
        <v>30</v>
      </c>
      <c r="AI190" s="118">
        <f t="shared" ref="AI190:AI191" si="422">ROUND(U190*AH190/AA190,0)</f>
        <v>23864</v>
      </c>
      <c r="AJ190" s="118">
        <f t="shared" ref="AJ190:AJ191" si="423">ROUND(Z190*AH190/AA190,0)</f>
        <v>22432</v>
      </c>
      <c r="AK190" s="118">
        <f t="shared" ref="AK190:AK191" si="424">ROUND(W190*AH190/AA190,0)</f>
        <v>11932</v>
      </c>
      <c r="AL190" s="118">
        <f t="shared" ref="AL190:AL191" si="425">ROUND(X190*AH190/AA190,0)</f>
        <v>5966</v>
      </c>
      <c r="AM190" s="118">
        <f t="shared" ref="AM190:AM191" si="426">ROUND(Y190*AH190/AA190,0)</f>
        <v>4534</v>
      </c>
      <c r="AN190" s="119">
        <f t="shared" ref="AN190:AN191" si="427">ROUNDUP(IF(V190&gt;=21000,0,AJ190*3.25%),0)</f>
        <v>0</v>
      </c>
      <c r="AO190" s="119">
        <f t="shared" ref="AO190:AO191" si="428">ROUND(IF(AK190&lt;15001,AK190*12%,1800),0)</f>
        <v>1432</v>
      </c>
      <c r="AP190" s="118">
        <f t="shared" ref="AP190:AP191" si="429">SUM(AK190:AO190)</f>
        <v>23864</v>
      </c>
      <c r="AQ190" s="118">
        <v>0</v>
      </c>
      <c r="AR190" s="118">
        <f t="shared" ref="AR190:AR191" si="430">ROUNDUP(IF(V190&gt;=21000,0,AJ190*0.75%),0)</f>
        <v>0</v>
      </c>
      <c r="AS190" s="118">
        <f t="shared" ref="AS190:AS191" si="431">AN190</f>
        <v>0</v>
      </c>
      <c r="AT190" s="118">
        <f t="shared" ref="AT190:AT191" si="432">AO190</f>
        <v>1432</v>
      </c>
      <c r="AU190" s="118">
        <f t="shared" ref="AU190:AU191" si="433">AO190</f>
        <v>1432</v>
      </c>
      <c r="AV190" s="118"/>
      <c r="AW190" s="118">
        <v>0</v>
      </c>
      <c r="AX190" s="118">
        <f t="shared" ref="AX190:AX191" si="434">+AV190-AW190</f>
        <v>0</v>
      </c>
      <c r="AY190" s="120"/>
      <c r="AZ190" s="120">
        <v>0</v>
      </c>
      <c r="BA190" s="118">
        <f t="shared" ref="BA190:BA191" si="435">AP190-AQ190-AR190-AS190-AT190-AU190-AW190+AY190-AZ190</f>
        <v>21000</v>
      </c>
      <c r="BB190" s="31" t="s">
        <v>1255</v>
      </c>
      <c r="BC190" s="34" t="s">
        <v>1285</v>
      </c>
      <c r="BD190" s="34" t="s">
        <v>1339</v>
      </c>
      <c r="BE190" s="102"/>
      <c r="BF190" s="102"/>
      <c r="BG190" s="70" t="s">
        <v>48</v>
      </c>
      <c r="BH190" s="125">
        <v>0</v>
      </c>
      <c r="BI190" s="156"/>
      <c r="BJ190" s="70"/>
    </row>
    <row r="191" spans="1:62" s="13" customFormat="1" x14ac:dyDescent="0.25">
      <c r="A191" s="70">
        <f t="shared" si="367"/>
        <v>189</v>
      </c>
      <c r="B191" s="122">
        <v>2364</v>
      </c>
      <c r="C191" s="134" t="s">
        <v>41</v>
      </c>
      <c r="D191" s="126" t="s">
        <v>1198</v>
      </c>
      <c r="E191" s="146" t="s">
        <v>1169</v>
      </c>
      <c r="F191" s="114" t="s">
        <v>1173</v>
      </c>
      <c r="G191" s="147"/>
      <c r="H191" s="122" t="s">
        <v>43</v>
      </c>
      <c r="I191" s="82">
        <v>45824</v>
      </c>
      <c r="J191" s="137"/>
      <c r="K191" s="82"/>
      <c r="L191" s="102"/>
      <c r="M191" s="128" t="s">
        <v>44</v>
      </c>
      <c r="N191" s="117" t="s">
        <v>959</v>
      </c>
      <c r="O191" s="114" t="s">
        <v>388</v>
      </c>
      <c r="P191" s="70" t="s">
        <v>292</v>
      </c>
      <c r="Q191" s="70" t="s">
        <v>412</v>
      </c>
      <c r="R191" s="125">
        <v>26136</v>
      </c>
      <c r="S191" s="83"/>
      <c r="T191" s="116"/>
      <c r="U191" s="119">
        <f t="shared" si="416"/>
        <v>26136</v>
      </c>
      <c r="V191" s="119">
        <v>24568</v>
      </c>
      <c r="W191" s="119">
        <f>+U191*0.5</f>
        <v>13068</v>
      </c>
      <c r="X191" s="125">
        <f t="shared" si="417"/>
        <v>6534</v>
      </c>
      <c r="Y191" s="118">
        <f t="shared" si="418"/>
        <v>4966</v>
      </c>
      <c r="Z191" s="118">
        <f t="shared" si="419"/>
        <v>24568</v>
      </c>
      <c r="AA191" s="119">
        <v>30</v>
      </c>
      <c r="AB191" s="115">
        <v>7.5</v>
      </c>
      <c r="AC191" s="115">
        <v>0</v>
      </c>
      <c r="AD191" s="115">
        <v>0</v>
      </c>
      <c r="AE191" s="115"/>
      <c r="AF191" s="115">
        <f t="shared" si="420"/>
        <v>7.5</v>
      </c>
      <c r="AG191" s="115">
        <f t="shared" si="421"/>
        <v>37.5</v>
      </c>
      <c r="AH191" s="101">
        <f t="shared" si="216"/>
        <v>30</v>
      </c>
      <c r="AI191" s="118">
        <f t="shared" si="422"/>
        <v>26136</v>
      </c>
      <c r="AJ191" s="118">
        <f t="shared" si="423"/>
        <v>24568</v>
      </c>
      <c r="AK191" s="118">
        <f t="shared" si="424"/>
        <v>13068</v>
      </c>
      <c r="AL191" s="118">
        <f t="shared" si="425"/>
        <v>6534</v>
      </c>
      <c r="AM191" s="118">
        <f t="shared" si="426"/>
        <v>4966</v>
      </c>
      <c r="AN191" s="119">
        <f t="shared" si="427"/>
        <v>0</v>
      </c>
      <c r="AO191" s="119">
        <f t="shared" si="428"/>
        <v>1568</v>
      </c>
      <c r="AP191" s="118">
        <f t="shared" si="429"/>
        <v>26136</v>
      </c>
      <c r="AQ191" s="118">
        <v>0</v>
      </c>
      <c r="AR191" s="118">
        <f t="shared" si="430"/>
        <v>0</v>
      </c>
      <c r="AS191" s="118">
        <f t="shared" si="431"/>
        <v>0</v>
      </c>
      <c r="AT191" s="118">
        <f t="shared" si="432"/>
        <v>1568</v>
      </c>
      <c r="AU191" s="118">
        <f t="shared" si="433"/>
        <v>1568</v>
      </c>
      <c r="AV191" s="118"/>
      <c r="AW191" s="118">
        <v>0</v>
      </c>
      <c r="AX191" s="118">
        <f t="shared" si="434"/>
        <v>0</v>
      </c>
      <c r="AY191" s="120"/>
      <c r="AZ191" s="120">
        <v>0</v>
      </c>
      <c r="BA191" s="118">
        <f t="shared" si="435"/>
        <v>23000</v>
      </c>
      <c r="BB191" s="31" t="s">
        <v>394</v>
      </c>
      <c r="BC191" s="34" t="s">
        <v>1190</v>
      </c>
      <c r="BD191" s="34" t="s">
        <v>1331</v>
      </c>
      <c r="BE191" s="102"/>
      <c r="BF191" s="102"/>
      <c r="BG191" s="70" t="s">
        <v>48</v>
      </c>
      <c r="BH191" s="125"/>
      <c r="BI191" s="156"/>
      <c r="BJ191" s="70"/>
    </row>
    <row r="192" spans="1:62" s="196" customFormat="1" x14ac:dyDescent="0.25">
      <c r="A192" s="197">
        <f t="shared" si="367"/>
        <v>190</v>
      </c>
      <c r="B192" s="198">
        <v>2365</v>
      </c>
      <c r="C192" s="218" t="s">
        <v>1194</v>
      </c>
      <c r="D192" s="217" t="s">
        <v>1199</v>
      </c>
      <c r="E192" s="215" t="s">
        <v>1172</v>
      </c>
      <c r="F192" s="201" t="s">
        <v>1187</v>
      </c>
      <c r="G192" s="216"/>
      <c r="H192" s="198" t="s">
        <v>43</v>
      </c>
      <c r="I192" s="182">
        <v>45833</v>
      </c>
      <c r="J192" s="137"/>
      <c r="K192" s="182"/>
      <c r="L192" s="102"/>
      <c r="M192" s="204" t="s">
        <v>44</v>
      </c>
      <c r="N192" s="205" t="s">
        <v>959</v>
      </c>
      <c r="O192" s="201" t="s">
        <v>454</v>
      </c>
      <c r="P192" s="197" t="s">
        <v>412</v>
      </c>
      <c r="Q192" s="197" t="s">
        <v>412</v>
      </c>
      <c r="R192" s="206">
        <v>16168</v>
      </c>
      <c r="S192" s="207"/>
      <c r="T192" s="208"/>
      <c r="U192" s="209">
        <f>R192+S192</f>
        <v>16168</v>
      </c>
      <c r="V192" s="209">
        <v>14405</v>
      </c>
      <c r="W192" s="209">
        <v>10800</v>
      </c>
      <c r="X192" s="206">
        <v>3605</v>
      </c>
      <c r="Y192" s="210">
        <f>+V192-W192-X192</f>
        <v>0</v>
      </c>
      <c r="Z192" s="210">
        <f>+W192+X192+Y192</f>
        <v>14405</v>
      </c>
      <c r="AA192" s="209">
        <v>30</v>
      </c>
      <c r="AB192" s="202"/>
      <c r="AC192" s="202">
        <v>8.5</v>
      </c>
      <c r="AD192" s="202">
        <v>1</v>
      </c>
      <c r="AE192" s="202"/>
      <c r="AF192" s="202">
        <f>AB192+AD192+AE192-AC192</f>
        <v>-7.5</v>
      </c>
      <c r="AG192" s="202">
        <f>+AF192+AA192</f>
        <v>22.5</v>
      </c>
      <c r="AH192" s="211">
        <f t="shared" si="216"/>
        <v>22.5</v>
      </c>
      <c r="AI192" s="210">
        <f>ROUND(U192*AH192/AA192,0)</f>
        <v>12126</v>
      </c>
      <c r="AJ192" s="210">
        <f>ROUND(Z192*AH192/AA192,0)</f>
        <v>10804</v>
      </c>
      <c r="AK192" s="210">
        <f>ROUND(W192*AH192/AA192,0)</f>
        <v>8100</v>
      </c>
      <c r="AL192" s="210">
        <f>ROUND(X192*AH192/AA192,0)</f>
        <v>2704</v>
      </c>
      <c r="AM192" s="210">
        <f>ROUND(Y192*AH192/AA192,0)</f>
        <v>0</v>
      </c>
      <c r="AN192" s="209">
        <f>ROUNDUP(IF(V192&gt;=21000,0,AJ192*3.25%),0)</f>
        <v>352</v>
      </c>
      <c r="AO192" s="209">
        <f>ROUND(IF(AK192&lt;15001,AK192*12%,1800),0)</f>
        <v>972</v>
      </c>
      <c r="AP192" s="210">
        <f>SUM(AK192:AO192)</f>
        <v>12128</v>
      </c>
      <c r="AQ192" s="210">
        <v>0</v>
      </c>
      <c r="AR192" s="210">
        <f>ROUNDUP(IF(V192&gt;=21000,0,AJ192*0.75%),0)</f>
        <v>82</v>
      </c>
      <c r="AS192" s="210">
        <f>AN192</f>
        <v>352</v>
      </c>
      <c r="AT192" s="210">
        <f>AO192</f>
        <v>972</v>
      </c>
      <c r="AU192" s="210">
        <f>AO192</f>
        <v>972</v>
      </c>
      <c r="AV192" s="210"/>
      <c r="AW192" s="210">
        <v>0</v>
      </c>
      <c r="AX192" s="210">
        <f>+AV192-AW192</f>
        <v>0</v>
      </c>
      <c r="AY192" s="212"/>
      <c r="AZ192" s="212">
        <v>0</v>
      </c>
      <c r="BA192" s="210">
        <f>AP192-AQ192-AR192-AS192-AT192-AU192-AW192+AY192-AZ192</f>
        <v>9750</v>
      </c>
      <c r="BB192" s="219" t="s">
        <v>543</v>
      </c>
      <c r="BC192" s="220" t="s">
        <v>218</v>
      </c>
      <c r="BD192" s="220" t="s">
        <v>1186</v>
      </c>
      <c r="BE192" s="214"/>
      <c r="BF192" s="102"/>
      <c r="BG192" s="197" t="s">
        <v>1480</v>
      </c>
      <c r="BH192" s="206" t="s">
        <v>1484</v>
      </c>
      <c r="BI192" s="156"/>
      <c r="BJ192" s="70"/>
    </row>
    <row r="193" spans="1:62" s="196" customFormat="1" x14ac:dyDescent="0.25">
      <c r="A193" s="197">
        <f t="shared" si="367"/>
        <v>191</v>
      </c>
      <c r="B193" s="198">
        <v>2366</v>
      </c>
      <c r="C193" s="218" t="s">
        <v>41</v>
      </c>
      <c r="D193" s="218" t="s">
        <v>1289</v>
      </c>
      <c r="E193" s="215" t="s">
        <v>1206</v>
      </c>
      <c r="F193" s="201" t="s">
        <v>1246</v>
      </c>
      <c r="G193" s="216"/>
      <c r="H193" s="198" t="s">
        <v>43</v>
      </c>
      <c r="I193" s="182">
        <v>45839</v>
      </c>
      <c r="J193" s="137"/>
      <c r="K193" s="182"/>
      <c r="L193" s="102"/>
      <c r="M193" s="204" t="s">
        <v>44</v>
      </c>
      <c r="N193" s="205" t="s">
        <v>966</v>
      </c>
      <c r="O193" s="201" t="s">
        <v>388</v>
      </c>
      <c r="P193" s="197" t="s">
        <v>46</v>
      </c>
      <c r="Q193" s="197" t="s">
        <v>412</v>
      </c>
      <c r="R193" s="206">
        <v>43600</v>
      </c>
      <c r="S193" s="207"/>
      <c r="T193" s="208"/>
      <c r="U193" s="209">
        <f t="shared" ref="U193:U198" si="436">R193+S193</f>
        <v>43600</v>
      </c>
      <c r="V193" s="209">
        <v>41800</v>
      </c>
      <c r="W193" s="209">
        <f t="shared" ref="W193:W198" si="437">+U193*0.5</f>
        <v>21800</v>
      </c>
      <c r="X193" s="206">
        <f t="shared" si="417"/>
        <v>10900</v>
      </c>
      <c r="Y193" s="210">
        <f t="shared" ref="Y193:Y198" si="438">+V193-W193-X193</f>
        <v>9100</v>
      </c>
      <c r="Z193" s="210">
        <f t="shared" ref="Z193:Z198" si="439">+W193+X193+Y193</f>
        <v>41800</v>
      </c>
      <c r="AA193" s="209">
        <v>30</v>
      </c>
      <c r="AB193" s="202"/>
      <c r="AC193" s="202">
        <v>9</v>
      </c>
      <c r="AD193" s="202">
        <v>1</v>
      </c>
      <c r="AE193" s="202"/>
      <c r="AF193" s="202">
        <f t="shared" ref="AF193:AF198" si="440">AB193+AD193+AE193-AC193</f>
        <v>-8</v>
      </c>
      <c r="AG193" s="202">
        <f t="shared" ref="AG193:AG198" si="441">+AF193+AA193</f>
        <v>22</v>
      </c>
      <c r="AH193" s="211">
        <f t="shared" si="216"/>
        <v>22</v>
      </c>
      <c r="AI193" s="210">
        <f t="shared" ref="AI193:AI198" si="442">ROUND(U193*AH193/AA193,0)</f>
        <v>31973</v>
      </c>
      <c r="AJ193" s="210">
        <f t="shared" ref="AJ193:AJ198" si="443">ROUND(Z193*AH193/AA193,0)</f>
        <v>30653</v>
      </c>
      <c r="AK193" s="210">
        <f t="shared" ref="AK193:AK198" si="444">ROUND(W193*AH193/AA193,0)</f>
        <v>15987</v>
      </c>
      <c r="AL193" s="210">
        <f t="shared" ref="AL193:AL198" si="445">ROUND(X193*AH193/AA193,0)</f>
        <v>7993</v>
      </c>
      <c r="AM193" s="210">
        <f t="shared" ref="AM193:AM198" si="446">ROUND(Y193*AH193/AA193,0)</f>
        <v>6673</v>
      </c>
      <c r="AN193" s="209">
        <f t="shared" ref="AN193:AN198" si="447">ROUNDUP(IF(V193&gt;=21000,0,AJ193*3.25%),0)</f>
        <v>0</v>
      </c>
      <c r="AO193" s="209">
        <f t="shared" ref="AO193:AO198" si="448">ROUND(IF(AK193&lt;15001,AK193*12%,1800),0)</f>
        <v>1800</v>
      </c>
      <c r="AP193" s="210">
        <f t="shared" ref="AP193:AP198" si="449">SUM(AK193:AO193)</f>
        <v>32453</v>
      </c>
      <c r="AQ193" s="210">
        <v>0</v>
      </c>
      <c r="AR193" s="210">
        <f t="shared" ref="AR193:AR198" si="450">ROUNDUP(IF(V193&gt;=21000,0,AJ193*0.75%),0)</f>
        <v>0</v>
      </c>
      <c r="AS193" s="210">
        <f t="shared" ref="AS193:AS198" si="451">AN193</f>
        <v>0</v>
      </c>
      <c r="AT193" s="210">
        <f t="shared" ref="AT193:AT198" si="452">AO193</f>
        <v>1800</v>
      </c>
      <c r="AU193" s="210">
        <f t="shared" ref="AU193:AU198" si="453">AO193</f>
        <v>1800</v>
      </c>
      <c r="AV193" s="210"/>
      <c r="AW193" s="210">
        <v>0</v>
      </c>
      <c r="AX193" s="210">
        <f t="shared" ref="AX193:AX198" si="454">+AV193-AW193</f>
        <v>0</v>
      </c>
      <c r="AY193" s="212"/>
      <c r="AZ193" s="212">
        <v>0</v>
      </c>
      <c r="BA193" s="210">
        <f t="shared" ref="BA193:BA198" si="455">AP193-AQ193-AR193-AS193-AT193-AU193-AW193+AY193-AZ193</f>
        <v>28853</v>
      </c>
      <c r="BB193" s="219" t="s">
        <v>1249</v>
      </c>
      <c r="BC193" s="220" t="s">
        <v>1247</v>
      </c>
      <c r="BD193" s="220" t="s">
        <v>1248</v>
      </c>
      <c r="BE193" s="214"/>
      <c r="BF193" s="102"/>
      <c r="BG193" s="197" t="s">
        <v>1480</v>
      </c>
      <c r="BH193" s="206" t="s">
        <v>1484</v>
      </c>
      <c r="BI193" s="156"/>
      <c r="BJ193" s="70"/>
    </row>
    <row r="194" spans="1:62" s="13" customFormat="1" x14ac:dyDescent="0.25">
      <c r="A194" s="70">
        <f t="shared" si="367"/>
        <v>192</v>
      </c>
      <c r="B194" s="122">
        <v>2368</v>
      </c>
      <c r="C194" s="134" t="s">
        <v>41</v>
      </c>
      <c r="D194" s="134" t="s">
        <v>1290</v>
      </c>
      <c r="E194" s="146" t="s">
        <v>1207</v>
      </c>
      <c r="F194" s="114" t="s">
        <v>1241</v>
      </c>
      <c r="G194" s="147"/>
      <c r="H194" s="122" t="s">
        <v>43</v>
      </c>
      <c r="I194" s="82">
        <v>45839</v>
      </c>
      <c r="J194" s="137"/>
      <c r="K194" s="82"/>
      <c r="L194" s="102"/>
      <c r="M194" s="128" t="s">
        <v>44</v>
      </c>
      <c r="N194" s="117" t="s">
        <v>959</v>
      </c>
      <c r="O194" s="114" t="s">
        <v>1143</v>
      </c>
      <c r="P194" s="70" t="s">
        <v>46</v>
      </c>
      <c r="Q194" s="70" t="s">
        <v>412</v>
      </c>
      <c r="R194" s="125">
        <v>26136</v>
      </c>
      <c r="S194" s="83"/>
      <c r="T194" s="116"/>
      <c r="U194" s="119">
        <f t="shared" si="436"/>
        <v>26136</v>
      </c>
      <c r="V194" s="119">
        <v>24568</v>
      </c>
      <c r="W194" s="119">
        <f t="shared" si="437"/>
        <v>13068</v>
      </c>
      <c r="X194" s="125">
        <f t="shared" si="417"/>
        <v>6534</v>
      </c>
      <c r="Y194" s="118">
        <f t="shared" si="438"/>
        <v>4966</v>
      </c>
      <c r="Z194" s="118">
        <f t="shared" si="439"/>
        <v>24568</v>
      </c>
      <c r="AA194" s="119">
        <v>30</v>
      </c>
      <c r="AB194" s="115">
        <v>0</v>
      </c>
      <c r="AC194" s="115">
        <v>6.5</v>
      </c>
      <c r="AD194" s="115">
        <v>1</v>
      </c>
      <c r="AE194" s="115"/>
      <c r="AF194" s="115">
        <f t="shared" si="440"/>
        <v>-5.5</v>
      </c>
      <c r="AG194" s="115">
        <f t="shared" si="441"/>
        <v>24.5</v>
      </c>
      <c r="AH194" s="101">
        <f t="shared" ref="AH194:AH215" si="456">IF(AG194&gt;30,30,IF(AG194&lt;=30,AG194))</f>
        <v>24.5</v>
      </c>
      <c r="AI194" s="118">
        <f t="shared" si="442"/>
        <v>21344</v>
      </c>
      <c r="AJ194" s="118">
        <f t="shared" si="443"/>
        <v>20064</v>
      </c>
      <c r="AK194" s="118">
        <f t="shared" si="444"/>
        <v>10672</v>
      </c>
      <c r="AL194" s="118">
        <f t="shared" si="445"/>
        <v>5336</v>
      </c>
      <c r="AM194" s="118">
        <f t="shared" si="446"/>
        <v>4056</v>
      </c>
      <c r="AN194" s="119">
        <f t="shared" si="447"/>
        <v>0</v>
      </c>
      <c r="AO194" s="119">
        <f t="shared" si="448"/>
        <v>1281</v>
      </c>
      <c r="AP194" s="118">
        <f t="shared" si="449"/>
        <v>21345</v>
      </c>
      <c r="AQ194" s="118">
        <v>0</v>
      </c>
      <c r="AR194" s="118">
        <f t="shared" si="450"/>
        <v>0</v>
      </c>
      <c r="AS194" s="118">
        <f t="shared" si="451"/>
        <v>0</v>
      </c>
      <c r="AT194" s="118">
        <f t="shared" si="452"/>
        <v>1281</v>
      </c>
      <c r="AU194" s="118">
        <f t="shared" si="453"/>
        <v>1281</v>
      </c>
      <c r="AV194" s="118"/>
      <c r="AW194" s="118">
        <v>0</v>
      </c>
      <c r="AX194" s="118">
        <f t="shared" si="454"/>
        <v>0</v>
      </c>
      <c r="AY194" s="120"/>
      <c r="AZ194" s="120">
        <v>0</v>
      </c>
      <c r="BA194" s="118">
        <f t="shared" si="455"/>
        <v>18783</v>
      </c>
      <c r="BB194" s="31" t="s">
        <v>394</v>
      </c>
      <c r="BC194" s="34" t="s">
        <v>1242</v>
      </c>
      <c r="BD194" s="34" t="s">
        <v>1243</v>
      </c>
      <c r="BE194" s="102"/>
      <c r="BF194" s="102"/>
      <c r="BG194" s="70" t="s">
        <v>48</v>
      </c>
      <c r="BH194" s="125">
        <v>0</v>
      </c>
      <c r="BI194" s="156"/>
      <c r="BJ194" s="70"/>
    </row>
    <row r="195" spans="1:62" s="196" customFormat="1" x14ac:dyDescent="0.25">
      <c r="A195" s="197">
        <f t="shared" si="367"/>
        <v>193</v>
      </c>
      <c r="B195" s="198">
        <v>2369</v>
      </c>
      <c r="C195" s="218" t="s">
        <v>41</v>
      </c>
      <c r="D195" s="218" t="s">
        <v>1291</v>
      </c>
      <c r="E195" s="215" t="s">
        <v>1210</v>
      </c>
      <c r="F195" s="201" t="s">
        <v>1253</v>
      </c>
      <c r="G195" s="216"/>
      <c r="H195" s="198" t="s">
        <v>43</v>
      </c>
      <c r="I195" s="182">
        <v>45842</v>
      </c>
      <c r="J195" s="137"/>
      <c r="K195" s="182"/>
      <c r="L195" s="102"/>
      <c r="M195" s="204" t="s">
        <v>44</v>
      </c>
      <c r="N195" s="205" t="s">
        <v>959</v>
      </c>
      <c r="O195" s="201" t="s">
        <v>1170</v>
      </c>
      <c r="P195" s="197" t="s">
        <v>46</v>
      </c>
      <c r="Q195" s="197" t="s">
        <v>412</v>
      </c>
      <c r="R195" s="206">
        <v>23864</v>
      </c>
      <c r="S195" s="207"/>
      <c r="T195" s="208"/>
      <c r="U195" s="209">
        <f t="shared" si="436"/>
        <v>23864</v>
      </c>
      <c r="V195" s="209">
        <v>22432</v>
      </c>
      <c r="W195" s="209">
        <f t="shared" si="437"/>
        <v>11932</v>
      </c>
      <c r="X195" s="206">
        <f t="shared" si="417"/>
        <v>5966</v>
      </c>
      <c r="Y195" s="210">
        <f t="shared" si="438"/>
        <v>4534</v>
      </c>
      <c r="Z195" s="210">
        <f t="shared" si="439"/>
        <v>22432</v>
      </c>
      <c r="AA195" s="209">
        <v>30</v>
      </c>
      <c r="AB195" s="202"/>
      <c r="AC195" s="202">
        <f>19+2</f>
        <v>21</v>
      </c>
      <c r="AD195" s="202">
        <v>0</v>
      </c>
      <c r="AE195" s="202"/>
      <c r="AF195" s="202">
        <f t="shared" si="440"/>
        <v>-21</v>
      </c>
      <c r="AG195" s="202">
        <f t="shared" si="441"/>
        <v>9</v>
      </c>
      <c r="AH195" s="211">
        <f t="shared" si="456"/>
        <v>9</v>
      </c>
      <c r="AI195" s="210">
        <f t="shared" si="442"/>
        <v>7159</v>
      </c>
      <c r="AJ195" s="210">
        <f t="shared" si="443"/>
        <v>6730</v>
      </c>
      <c r="AK195" s="210">
        <f t="shared" si="444"/>
        <v>3580</v>
      </c>
      <c r="AL195" s="210">
        <f t="shared" si="445"/>
        <v>1790</v>
      </c>
      <c r="AM195" s="210">
        <f t="shared" si="446"/>
        <v>1360</v>
      </c>
      <c r="AN195" s="209">
        <f t="shared" si="447"/>
        <v>0</v>
      </c>
      <c r="AO195" s="209">
        <f t="shared" si="448"/>
        <v>430</v>
      </c>
      <c r="AP195" s="210">
        <f t="shared" si="449"/>
        <v>7160</v>
      </c>
      <c r="AQ195" s="210">
        <v>0</v>
      </c>
      <c r="AR195" s="210">
        <f t="shared" si="450"/>
        <v>0</v>
      </c>
      <c r="AS195" s="210">
        <f t="shared" si="451"/>
        <v>0</v>
      </c>
      <c r="AT195" s="210">
        <f t="shared" si="452"/>
        <v>430</v>
      </c>
      <c r="AU195" s="210">
        <f t="shared" si="453"/>
        <v>430</v>
      </c>
      <c r="AV195" s="210"/>
      <c r="AW195" s="210">
        <v>0</v>
      </c>
      <c r="AX195" s="210">
        <f t="shared" si="454"/>
        <v>0</v>
      </c>
      <c r="AY195" s="212"/>
      <c r="AZ195" s="212">
        <v>0</v>
      </c>
      <c r="BA195" s="210">
        <f t="shared" si="455"/>
        <v>6300</v>
      </c>
      <c r="BB195" s="219" t="s">
        <v>851</v>
      </c>
      <c r="BC195" s="220" t="s">
        <v>1258</v>
      </c>
      <c r="BD195" s="220" t="s">
        <v>1259</v>
      </c>
      <c r="BE195" s="214"/>
      <c r="BF195" s="102"/>
      <c r="BG195" s="197" t="s">
        <v>1480</v>
      </c>
      <c r="BH195" s="206" t="s">
        <v>1484</v>
      </c>
      <c r="BI195" s="156"/>
      <c r="BJ195" s="70"/>
    </row>
    <row r="196" spans="1:62" s="13" customFormat="1" x14ac:dyDescent="0.25">
      <c r="A196" s="70">
        <f t="shared" si="367"/>
        <v>194</v>
      </c>
      <c r="B196" s="122">
        <v>2371</v>
      </c>
      <c r="C196" s="134" t="s">
        <v>41</v>
      </c>
      <c r="D196" s="134" t="s">
        <v>1292</v>
      </c>
      <c r="E196" s="146" t="s">
        <v>1213</v>
      </c>
      <c r="F196" s="114" t="s">
        <v>1431</v>
      </c>
      <c r="G196" s="147"/>
      <c r="H196" s="122" t="s">
        <v>43</v>
      </c>
      <c r="I196" s="82">
        <v>45845</v>
      </c>
      <c r="J196" s="137"/>
      <c r="K196" s="82"/>
      <c r="L196" s="102"/>
      <c r="M196" s="128" t="s">
        <v>44</v>
      </c>
      <c r="N196" s="117" t="s">
        <v>961</v>
      </c>
      <c r="O196" s="114" t="s">
        <v>69</v>
      </c>
      <c r="P196" s="70" t="s">
        <v>46</v>
      </c>
      <c r="Q196" s="70" t="s">
        <v>412</v>
      </c>
      <c r="R196" s="125">
        <v>100000</v>
      </c>
      <c r="S196" s="83"/>
      <c r="T196" s="116"/>
      <c r="U196" s="119">
        <f t="shared" si="436"/>
        <v>100000</v>
      </c>
      <c r="V196" s="119">
        <v>98200</v>
      </c>
      <c r="W196" s="119">
        <f t="shared" si="437"/>
        <v>50000</v>
      </c>
      <c r="X196" s="125">
        <f t="shared" si="417"/>
        <v>25000</v>
      </c>
      <c r="Y196" s="118">
        <f t="shared" si="438"/>
        <v>23200</v>
      </c>
      <c r="Z196" s="118">
        <f t="shared" si="439"/>
        <v>98200</v>
      </c>
      <c r="AA196" s="119">
        <v>30</v>
      </c>
      <c r="AB196" s="115">
        <v>3.5</v>
      </c>
      <c r="AC196" s="115">
        <v>0</v>
      </c>
      <c r="AD196" s="115">
        <v>1</v>
      </c>
      <c r="AE196" s="115"/>
      <c r="AF196" s="115">
        <f t="shared" si="440"/>
        <v>4.5</v>
      </c>
      <c r="AG196" s="115">
        <f t="shared" si="441"/>
        <v>34.5</v>
      </c>
      <c r="AH196" s="101">
        <f t="shared" si="456"/>
        <v>30</v>
      </c>
      <c r="AI196" s="118">
        <f t="shared" si="442"/>
        <v>100000</v>
      </c>
      <c r="AJ196" s="118">
        <f t="shared" si="443"/>
        <v>98200</v>
      </c>
      <c r="AK196" s="118">
        <f t="shared" si="444"/>
        <v>50000</v>
      </c>
      <c r="AL196" s="118">
        <f t="shared" si="445"/>
        <v>25000</v>
      </c>
      <c r="AM196" s="118">
        <f t="shared" si="446"/>
        <v>23200</v>
      </c>
      <c r="AN196" s="119">
        <f t="shared" si="447"/>
        <v>0</v>
      </c>
      <c r="AO196" s="119">
        <f t="shared" si="448"/>
        <v>1800</v>
      </c>
      <c r="AP196" s="118">
        <f t="shared" si="449"/>
        <v>100000</v>
      </c>
      <c r="AQ196" s="118">
        <v>0</v>
      </c>
      <c r="AR196" s="118">
        <f t="shared" si="450"/>
        <v>0</v>
      </c>
      <c r="AS196" s="118">
        <f t="shared" si="451"/>
        <v>0</v>
      </c>
      <c r="AT196" s="118">
        <f t="shared" si="452"/>
        <v>1800</v>
      </c>
      <c r="AU196" s="118">
        <f t="shared" si="453"/>
        <v>1800</v>
      </c>
      <c r="AV196" s="118"/>
      <c r="AW196" s="118">
        <v>96400</v>
      </c>
      <c r="AX196" s="118">
        <v>0</v>
      </c>
      <c r="AY196" s="120"/>
      <c r="AZ196" s="120">
        <v>0</v>
      </c>
      <c r="BA196" s="118">
        <f t="shared" si="455"/>
        <v>0</v>
      </c>
      <c r="BB196" s="31" t="s">
        <v>455</v>
      </c>
      <c r="BC196" s="34" t="s">
        <v>1281</v>
      </c>
      <c r="BD196" s="34" t="s">
        <v>1282</v>
      </c>
      <c r="BE196" s="102"/>
      <c r="BF196" s="102"/>
      <c r="BG196" s="70" t="s">
        <v>48</v>
      </c>
      <c r="BH196" s="125">
        <v>0</v>
      </c>
      <c r="BI196" s="156"/>
      <c r="BJ196" s="70"/>
    </row>
    <row r="197" spans="1:62" s="13" customFormat="1" x14ac:dyDescent="0.25">
      <c r="A197" s="70">
        <f t="shared" si="367"/>
        <v>195</v>
      </c>
      <c r="B197" s="122">
        <v>2372</v>
      </c>
      <c r="C197" s="134" t="s">
        <v>41</v>
      </c>
      <c r="D197" s="134" t="s">
        <v>1293</v>
      </c>
      <c r="E197" s="146" t="s">
        <v>1214</v>
      </c>
      <c r="F197" s="114" t="s">
        <v>1254</v>
      </c>
      <c r="G197" s="147"/>
      <c r="H197" s="122" t="s">
        <v>43</v>
      </c>
      <c r="I197" s="82">
        <v>45848</v>
      </c>
      <c r="J197" s="137"/>
      <c r="K197" s="82"/>
      <c r="L197" s="102"/>
      <c r="M197" s="128" t="s">
        <v>44</v>
      </c>
      <c r="N197" s="117" t="s">
        <v>959</v>
      </c>
      <c r="O197" s="114" t="s">
        <v>1143</v>
      </c>
      <c r="P197" s="70" t="s">
        <v>46</v>
      </c>
      <c r="Q197" s="70" t="s">
        <v>412</v>
      </c>
      <c r="R197" s="125">
        <v>30000</v>
      </c>
      <c r="S197" s="83"/>
      <c r="T197" s="116"/>
      <c r="U197" s="119">
        <f t="shared" si="436"/>
        <v>30000</v>
      </c>
      <c r="V197" s="119">
        <v>28200</v>
      </c>
      <c r="W197" s="119">
        <f t="shared" si="437"/>
        <v>15000</v>
      </c>
      <c r="X197" s="125">
        <f t="shared" si="417"/>
        <v>7500</v>
      </c>
      <c r="Y197" s="118">
        <f t="shared" si="438"/>
        <v>5700</v>
      </c>
      <c r="Z197" s="118">
        <f t="shared" si="439"/>
        <v>28200</v>
      </c>
      <c r="AA197" s="119">
        <v>30</v>
      </c>
      <c r="AB197" s="115">
        <v>6.5</v>
      </c>
      <c r="AC197" s="115">
        <v>0</v>
      </c>
      <c r="AD197" s="115">
        <v>2</v>
      </c>
      <c r="AE197" s="115"/>
      <c r="AF197" s="115">
        <f t="shared" si="440"/>
        <v>8.5</v>
      </c>
      <c r="AG197" s="115">
        <f t="shared" si="441"/>
        <v>38.5</v>
      </c>
      <c r="AH197" s="101">
        <f t="shared" si="456"/>
        <v>30</v>
      </c>
      <c r="AI197" s="118">
        <f t="shared" si="442"/>
        <v>30000</v>
      </c>
      <c r="AJ197" s="118">
        <f t="shared" si="443"/>
        <v>28200</v>
      </c>
      <c r="AK197" s="118">
        <f t="shared" si="444"/>
        <v>15000</v>
      </c>
      <c r="AL197" s="118">
        <f t="shared" si="445"/>
        <v>7500</v>
      </c>
      <c r="AM197" s="118">
        <f t="shared" si="446"/>
        <v>5700</v>
      </c>
      <c r="AN197" s="119">
        <f t="shared" si="447"/>
        <v>0</v>
      </c>
      <c r="AO197" s="119">
        <f t="shared" si="448"/>
        <v>1800</v>
      </c>
      <c r="AP197" s="118">
        <f t="shared" si="449"/>
        <v>30000</v>
      </c>
      <c r="AQ197" s="118">
        <v>0</v>
      </c>
      <c r="AR197" s="118">
        <f t="shared" si="450"/>
        <v>0</v>
      </c>
      <c r="AS197" s="118">
        <f t="shared" si="451"/>
        <v>0</v>
      </c>
      <c r="AT197" s="118">
        <f t="shared" si="452"/>
        <v>1800</v>
      </c>
      <c r="AU197" s="118">
        <f t="shared" si="453"/>
        <v>1800</v>
      </c>
      <c r="AV197" s="118"/>
      <c r="AW197" s="118">
        <v>0</v>
      </c>
      <c r="AX197" s="118">
        <f t="shared" si="454"/>
        <v>0</v>
      </c>
      <c r="AY197" s="120"/>
      <c r="AZ197" s="120">
        <v>1000</v>
      </c>
      <c r="BA197" s="118">
        <f t="shared" si="455"/>
        <v>25400</v>
      </c>
      <c r="BB197" s="31" t="s">
        <v>1255</v>
      </c>
      <c r="BC197" s="34" t="s">
        <v>1256</v>
      </c>
      <c r="BD197" s="34" t="s">
        <v>1257</v>
      </c>
      <c r="BE197" s="102"/>
      <c r="BF197" s="102"/>
      <c r="BG197" s="70" t="s">
        <v>48</v>
      </c>
      <c r="BH197" s="125">
        <v>0</v>
      </c>
      <c r="BI197" s="156"/>
      <c r="BJ197" s="70"/>
    </row>
    <row r="198" spans="1:62" s="196" customFormat="1" x14ac:dyDescent="0.25">
      <c r="A198" s="197">
        <f t="shared" si="367"/>
        <v>196</v>
      </c>
      <c r="B198" s="198">
        <v>2373</v>
      </c>
      <c r="C198" s="218" t="s">
        <v>41</v>
      </c>
      <c r="D198" s="218" t="s">
        <v>1294</v>
      </c>
      <c r="E198" s="215" t="s">
        <v>1217</v>
      </c>
      <c r="F198" s="201" t="s">
        <v>1233</v>
      </c>
      <c r="G198" s="216"/>
      <c r="H198" s="198" t="s">
        <v>43</v>
      </c>
      <c r="I198" s="182">
        <v>45852</v>
      </c>
      <c r="J198" s="137"/>
      <c r="K198" s="182"/>
      <c r="L198" s="102"/>
      <c r="M198" s="204" t="s">
        <v>44</v>
      </c>
      <c r="N198" s="205" t="s">
        <v>1218</v>
      </c>
      <c r="O198" s="205" t="s">
        <v>306</v>
      </c>
      <c r="P198" s="197" t="s">
        <v>46</v>
      </c>
      <c r="Q198" s="197" t="s">
        <v>412</v>
      </c>
      <c r="R198" s="206">
        <v>73600</v>
      </c>
      <c r="S198" s="207"/>
      <c r="T198" s="208"/>
      <c r="U198" s="209">
        <f t="shared" si="436"/>
        <v>73600</v>
      </c>
      <c r="V198" s="209">
        <v>71800</v>
      </c>
      <c r="W198" s="209">
        <f t="shared" si="437"/>
        <v>36800</v>
      </c>
      <c r="X198" s="206">
        <f t="shared" si="417"/>
        <v>18400</v>
      </c>
      <c r="Y198" s="210">
        <f t="shared" si="438"/>
        <v>16600</v>
      </c>
      <c r="Z198" s="210">
        <f t="shared" si="439"/>
        <v>71800</v>
      </c>
      <c r="AA198" s="209">
        <v>30</v>
      </c>
      <c r="AB198" s="202"/>
      <c r="AC198" s="202">
        <v>30</v>
      </c>
      <c r="AD198" s="202">
        <v>0</v>
      </c>
      <c r="AE198" s="202"/>
      <c r="AF198" s="202">
        <f t="shared" si="440"/>
        <v>-30</v>
      </c>
      <c r="AG198" s="202">
        <f t="shared" si="441"/>
        <v>0</v>
      </c>
      <c r="AH198" s="211">
        <f t="shared" si="456"/>
        <v>0</v>
      </c>
      <c r="AI198" s="210">
        <f t="shared" si="442"/>
        <v>0</v>
      </c>
      <c r="AJ198" s="210">
        <f t="shared" si="443"/>
        <v>0</v>
      </c>
      <c r="AK198" s="210">
        <f t="shared" si="444"/>
        <v>0</v>
      </c>
      <c r="AL198" s="210">
        <f t="shared" si="445"/>
        <v>0</v>
      </c>
      <c r="AM198" s="210">
        <f t="shared" si="446"/>
        <v>0</v>
      </c>
      <c r="AN198" s="209">
        <f t="shared" si="447"/>
        <v>0</v>
      </c>
      <c r="AO198" s="209">
        <f t="shared" si="448"/>
        <v>0</v>
      </c>
      <c r="AP198" s="210">
        <f t="shared" si="449"/>
        <v>0</v>
      </c>
      <c r="AQ198" s="210">
        <v>0</v>
      </c>
      <c r="AR198" s="210">
        <f t="shared" si="450"/>
        <v>0</v>
      </c>
      <c r="AS198" s="210">
        <f t="shared" si="451"/>
        <v>0</v>
      </c>
      <c r="AT198" s="210">
        <f t="shared" si="452"/>
        <v>0</v>
      </c>
      <c r="AU198" s="210">
        <f t="shared" si="453"/>
        <v>0</v>
      </c>
      <c r="AV198" s="210"/>
      <c r="AW198" s="210">
        <v>0</v>
      </c>
      <c r="AX198" s="210">
        <f t="shared" si="454"/>
        <v>0</v>
      </c>
      <c r="AY198" s="212"/>
      <c r="AZ198" s="212">
        <v>0</v>
      </c>
      <c r="BA198" s="210">
        <f t="shared" si="455"/>
        <v>0</v>
      </c>
      <c r="BB198" s="219" t="s">
        <v>543</v>
      </c>
      <c r="BC198" s="220" t="s">
        <v>1283</v>
      </c>
      <c r="BD198" s="220" t="s">
        <v>1284</v>
      </c>
      <c r="BE198" s="214"/>
      <c r="BF198" s="102"/>
      <c r="BG198" s="197" t="s">
        <v>1480</v>
      </c>
      <c r="BH198" s="206" t="s">
        <v>1484</v>
      </c>
      <c r="BI198" s="156"/>
      <c r="BJ198" s="70"/>
    </row>
    <row r="199" spans="1:62" s="13" customFormat="1" x14ac:dyDescent="0.25">
      <c r="A199" s="70">
        <f t="shared" si="367"/>
        <v>197</v>
      </c>
      <c r="B199" s="122">
        <v>2374</v>
      </c>
      <c r="C199" s="134" t="s">
        <v>41</v>
      </c>
      <c r="D199" s="134" t="s">
        <v>1296</v>
      </c>
      <c r="E199" s="146" t="s">
        <v>1222</v>
      </c>
      <c r="F199" s="114" t="s">
        <v>1432</v>
      </c>
      <c r="G199" s="147"/>
      <c r="H199" s="122" t="s">
        <v>43</v>
      </c>
      <c r="I199" s="82">
        <v>45859</v>
      </c>
      <c r="J199" s="137"/>
      <c r="K199" s="82"/>
      <c r="L199" s="102"/>
      <c r="M199" s="128" t="s">
        <v>44</v>
      </c>
      <c r="N199" s="117" t="s">
        <v>959</v>
      </c>
      <c r="O199" s="114" t="s">
        <v>388</v>
      </c>
      <c r="P199" s="70" t="s">
        <v>46</v>
      </c>
      <c r="Q199" s="70" t="s">
        <v>412</v>
      </c>
      <c r="R199" s="125">
        <v>27000</v>
      </c>
      <c r="S199" s="83"/>
      <c r="T199" s="116"/>
      <c r="U199" s="119">
        <f t="shared" ref="U199:U200" si="457">R199+S199</f>
        <v>27000</v>
      </c>
      <c r="V199" s="119">
        <v>25380</v>
      </c>
      <c r="W199" s="119">
        <f t="shared" ref="W199" si="458">+U199*0.5</f>
        <v>13500</v>
      </c>
      <c r="X199" s="125">
        <f t="shared" si="417"/>
        <v>6750</v>
      </c>
      <c r="Y199" s="118">
        <f t="shared" ref="Y199:Y200" si="459">+V199-W199-X199</f>
        <v>5130</v>
      </c>
      <c r="Z199" s="118">
        <f t="shared" ref="Z199:Z200" si="460">+W199+X199+Y199</f>
        <v>25380</v>
      </c>
      <c r="AA199" s="119">
        <v>30</v>
      </c>
      <c r="AB199" s="115">
        <v>8</v>
      </c>
      <c r="AC199" s="115">
        <v>0</v>
      </c>
      <c r="AD199" s="115">
        <v>1</v>
      </c>
      <c r="AE199" s="115"/>
      <c r="AF199" s="115">
        <f t="shared" ref="AF199:AF200" si="461">AB199+AD199+AE199-AC199</f>
        <v>9</v>
      </c>
      <c r="AG199" s="115">
        <f t="shared" ref="AG199:AG200" si="462">+AF199+AA199</f>
        <v>39</v>
      </c>
      <c r="AH199" s="101">
        <f t="shared" si="456"/>
        <v>30</v>
      </c>
      <c r="AI199" s="118">
        <f t="shared" ref="AI199:AI200" si="463">ROUND(U199*AH199/AA199,0)</f>
        <v>27000</v>
      </c>
      <c r="AJ199" s="118">
        <f t="shared" ref="AJ199:AJ200" si="464">ROUND(Z199*AH199/AA199,0)</f>
        <v>25380</v>
      </c>
      <c r="AK199" s="118">
        <f t="shared" ref="AK199:AK200" si="465">ROUND(W199*AH199/AA199,0)</f>
        <v>13500</v>
      </c>
      <c r="AL199" s="118">
        <f t="shared" ref="AL199:AL200" si="466">ROUND(X199*AH199/AA199,0)</f>
        <v>6750</v>
      </c>
      <c r="AM199" s="118">
        <f t="shared" ref="AM199:AM200" si="467">ROUND(Y199*AH199/AA199,0)</f>
        <v>5130</v>
      </c>
      <c r="AN199" s="119">
        <f t="shared" ref="AN199:AN200" si="468">ROUNDUP(IF(V199&gt;=21000,0,AJ199*3.25%),0)</f>
        <v>0</v>
      </c>
      <c r="AO199" s="119">
        <f t="shared" ref="AO199:AO200" si="469">ROUND(IF(AK199&lt;15001,AK199*12%,1800),0)</f>
        <v>1620</v>
      </c>
      <c r="AP199" s="118">
        <f t="shared" ref="AP199:AP200" si="470">SUM(AK199:AO199)</f>
        <v>27000</v>
      </c>
      <c r="AQ199" s="118">
        <v>0</v>
      </c>
      <c r="AR199" s="118">
        <f t="shared" ref="AR199:AR200" si="471">ROUNDUP(IF(V199&gt;=21000,0,AJ199*0.75%),0)</f>
        <v>0</v>
      </c>
      <c r="AS199" s="118">
        <f t="shared" ref="AS199:AS200" si="472">AN199</f>
        <v>0</v>
      </c>
      <c r="AT199" s="118">
        <f t="shared" ref="AT199:AT200" si="473">AO199</f>
        <v>1620</v>
      </c>
      <c r="AU199" s="118">
        <f t="shared" ref="AU199:AU200" si="474">AO199</f>
        <v>1620</v>
      </c>
      <c r="AV199" s="118"/>
      <c r="AW199" s="118">
        <v>0</v>
      </c>
      <c r="AX199" s="118">
        <f t="shared" ref="AX199:AX200" si="475">+AV199-AW199</f>
        <v>0</v>
      </c>
      <c r="AY199" s="120"/>
      <c r="AZ199" s="120">
        <v>0</v>
      </c>
      <c r="BA199" s="118">
        <f t="shared" ref="BA199:BA200" si="476">AP199-AQ199-AR199-AS199-AT199-AU199-AW199+AY199-AZ199</f>
        <v>23760</v>
      </c>
      <c r="BB199" s="31" t="s">
        <v>1263</v>
      </c>
      <c r="BC199" s="34" t="s">
        <v>218</v>
      </c>
      <c r="BD199" s="34" t="s">
        <v>1264</v>
      </c>
      <c r="BE199" s="102"/>
      <c r="BF199" s="102"/>
      <c r="BG199" s="70" t="s">
        <v>48</v>
      </c>
      <c r="BH199" s="125">
        <v>0</v>
      </c>
      <c r="BI199" s="156"/>
      <c r="BJ199" s="70"/>
    </row>
    <row r="200" spans="1:62" s="13" customFormat="1" x14ac:dyDescent="0.25">
      <c r="A200" s="70">
        <f t="shared" si="367"/>
        <v>198</v>
      </c>
      <c r="B200" s="122">
        <v>2375</v>
      </c>
      <c r="C200" s="134" t="s">
        <v>1351</v>
      </c>
      <c r="D200" s="134" t="s">
        <v>1362</v>
      </c>
      <c r="E200" s="146" t="s">
        <v>1297</v>
      </c>
      <c r="F200" s="114" t="s">
        <v>1322</v>
      </c>
      <c r="G200" s="147"/>
      <c r="H200" s="122" t="s">
        <v>43</v>
      </c>
      <c r="I200" s="82">
        <v>45870</v>
      </c>
      <c r="J200" s="137"/>
      <c r="K200" s="82"/>
      <c r="L200" s="102"/>
      <c r="M200" s="128" t="s">
        <v>44</v>
      </c>
      <c r="N200" s="117" t="s">
        <v>959</v>
      </c>
      <c r="O200" s="114" t="s">
        <v>739</v>
      </c>
      <c r="P200" s="70" t="s">
        <v>412</v>
      </c>
      <c r="Q200" s="70" t="s">
        <v>412</v>
      </c>
      <c r="R200" s="125">
        <v>20378</v>
      </c>
      <c r="S200" s="83"/>
      <c r="T200" s="116"/>
      <c r="U200" s="119">
        <f t="shared" si="457"/>
        <v>20378</v>
      </c>
      <c r="V200" s="119">
        <v>18459</v>
      </c>
      <c r="W200" s="119">
        <v>11000</v>
      </c>
      <c r="X200" s="125">
        <f t="shared" si="417"/>
        <v>5500</v>
      </c>
      <c r="Y200" s="118">
        <f t="shared" si="459"/>
        <v>1959</v>
      </c>
      <c r="Z200" s="118">
        <f t="shared" si="460"/>
        <v>18459</v>
      </c>
      <c r="AA200" s="119">
        <v>30</v>
      </c>
      <c r="AB200" s="115">
        <v>4.5</v>
      </c>
      <c r="AC200" s="115">
        <v>4</v>
      </c>
      <c r="AD200" s="115">
        <v>1</v>
      </c>
      <c r="AE200" s="115"/>
      <c r="AF200" s="115">
        <f t="shared" si="461"/>
        <v>1.5</v>
      </c>
      <c r="AG200" s="115">
        <f t="shared" si="462"/>
        <v>31.5</v>
      </c>
      <c r="AH200" s="101">
        <f t="shared" si="456"/>
        <v>30</v>
      </c>
      <c r="AI200" s="118">
        <f t="shared" si="463"/>
        <v>20378</v>
      </c>
      <c r="AJ200" s="118">
        <f t="shared" si="464"/>
        <v>18459</v>
      </c>
      <c r="AK200" s="118">
        <f t="shared" si="465"/>
        <v>11000</v>
      </c>
      <c r="AL200" s="118">
        <f t="shared" si="466"/>
        <v>5500</v>
      </c>
      <c r="AM200" s="118">
        <f t="shared" si="467"/>
        <v>1959</v>
      </c>
      <c r="AN200" s="119">
        <f t="shared" si="468"/>
        <v>600</v>
      </c>
      <c r="AO200" s="119">
        <f t="shared" si="469"/>
        <v>1320</v>
      </c>
      <c r="AP200" s="118">
        <f t="shared" si="470"/>
        <v>20379</v>
      </c>
      <c r="AQ200" s="118">
        <v>0</v>
      </c>
      <c r="AR200" s="118">
        <f t="shared" si="471"/>
        <v>139</v>
      </c>
      <c r="AS200" s="118">
        <f t="shared" si="472"/>
        <v>600</v>
      </c>
      <c r="AT200" s="118">
        <f t="shared" si="473"/>
        <v>1320</v>
      </c>
      <c r="AU200" s="118">
        <f t="shared" si="474"/>
        <v>1320</v>
      </c>
      <c r="AV200" s="118"/>
      <c r="AW200" s="118">
        <v>0</v>
      </c>
      <c r="AX200" s="118">
        <f t="shared" si="475"/>
        <v>0</v>
      </c>
      <c r="AY200" s="120"/>
      <c r="AZ200" s="120">
        <v>1000</v>
      </c>
      <c r="BA200" s="118">
        <f t="shared" si="476"/>
        <v>16000</v>
      </c>
      <c r="BB200" s="31" t="s">
        <v>1313</v>
      </c>
      <c r="BC200" s="34" t="s">
        <v>1314</v>
      </c>
      <c r="BD200" s="34" t="s">
        <v>1326</v>
      </c>
      <c r="BE200" s="102"/>
      <c r="BF200" s="102"/>
      <c r="BG200" s="70" t="s">
        <v>48</v>
      </c>
      <c r="BH200" s="125">
        <v>0</v>
      </c>
      <c r="BI200" s="156"/>
      <c r="BJ200" s="70"/>
    </row>
    <row r="201" spans="1:62" s="196" customFormat="1" x14ac:dyDescent="0.25">
      <c r="A201" s="197">
        <f t="shared" si="367"/>
        <v>199</v>
      </c>
      <c r="B201" s="198">
        <v>2378</v>
      </c>
      <c r="C201" s="218" t="s">
        <v>1353</v>
      </c>
      <c r="D201" s="218" t="s">
        <v>1363</v>
      </c>
      <c r="E201" s="215" t="s">
        <v>1300</v>
      </c>
      <c r="F201" s="201" t="s">
        <v>1312</v>
      </c>
      <c r="G201" s="216"/>
      <c r="H201" s="198" t="s">
        <v>43</v>
      </c>
      <c r="I201" s="182">
        <v>45870</v>
      </c>
      <c r="J201" s="137"/>
      <c r="K201" s="182">
        <v>45871</v>
      </c>
      <c r="L201" s="102"/>
      <c r="M201" s="204" t="s">
        <v>44</v>
      </c>
      <c r="N201" s="205" t="s">
        <v>959</v>
      </c>
      <c r="O201" s="201" t="s">
        <v>110</v>
      </c>
      <c r="P201" s="197" t="s">
        <v>412</v>
      </c>
      <c r="Q201" s="197" t="s">
        <v>412</v>
      </c>
      <c r="R201" s="206">
        <v>18542</v>
      </c>
      <c r="S201" s="207"/>
      <c r="T201" s="208"/>
      <c r="U201" s="209">
        <f t="shared" ref="U201" si="477">R201+S201</f>
        <v>18542</v>
      </c>
      <c r="V201" s="209">
        <v>16565</v>
      </c>
      <c r="W201" s="209">
        <v>12000</v>
      </c>
      <c r="X201" s="206">
        <f>+V201-W201</f>
        <v>4565</v>
      </c>
      <c r="Y201" s="210">
        <f t="shared" ref="Y201" si="478">+V201-W201-X201</f>
        <v>0</v>
      </c>
      <c r="Z201" s="210">
        <f t="shared" ref="Z201:Z206" si="479">+W201+X201+Y201</f>
        <v>16565</v>
      </c>
      <c r="AA201" s="209">
        <v>30</v>
      </c>
      <c r="AB201" s="202"/>
      <c r="AC201" s="202">
        <v>16.5</v>
      </c>
      <c r="AD201" s="202">
        <v>1</v>
      </c>
      <c r="AE201" s="202"/>
      <c r="AF201" s="202">
        <f t="shared" ref="AF201:AF206" si="480">AB201+AD201+AE201-AC201</f>
        <v>-15.5</v>
      </c>
      <c r="AG201" s="202">
        <f t="shared" ref="AG201:AG206" si="481">+AF201+AA201</f>
        <v>14.5</v>
      </c>
      <c r="AH201" s="211">
        <f t="shared" si="456"/>
        <v>14.5</v>
      </c>
      <c r="AI201" s="210">
        <f t="shared" ref="AI201:AI206" si="482">ROUND(U201*AH201/AA201,0)</f>
        <v>8962</v>
      </c>
      <c r="AJ201" s="210">
        <f t="shared" ref="AJ201:AJ206" si="483">ROUND(Z201*AH201/AA201,0)</f>
        <v>8006</v>
      </c>
      <c r="AK201" s="210">
        <f t="shared" ref="AK201:AK206" si="484">ROUND(W201*AH201/AA201,0)</f>
        <v>5800</v>
      </c>
      <c r="AL201" s="210">
        <f t="shared" ref="AL201:AL206" si="485">ROUND(X201*AH201/AA201,0)</f>
        <v>2206</v>
      </c>
      <c r="AM201" s="210">
        <f t="shared" ref="AM201:AM206" si="486">ROUND(Y201*AH201/AA201,0)</f>
        <v>0</v>
      </c>
      <c r="AN201" s="209">
        <f t="shared" ref="AN201:AN206" si="487">ROUNDUP(IF(V201&gt;=21000,0,AJ201*3.25%),0)</f>
        <v>261</v>
      </c>
      <c r="AO201" s="209">
        <f t="shared" ref="AO201:AO206" si="488">ROUND(IF(AK201&lt;15001,AK201*12%,1800),0)</f>
        <v>696</v>
      </c>
      <c r="AP201" s="210">
        <f t="shared" ref="AP201:AP206" si="489">SUM(AK201:AO201)</f>
        <v>8963</v>
      </c>
      <c r="AQ201" s="210">
        <v>0</v>
      </c>
      <c r="AR201" s="210">
        <f t="shared" ref="AR201:AR206" si="490">ROUNDUP(IF(V201&gt;=21000,0,AJ201*0.75%),0)</f>
        <v>61</v>
      </c>
      <c r="AS201" s="210">
        <f t="shared" ref="AS201:AS206" si="491">AN201</f>
        <v>261</v>
      </c>
      <c r="AT201" s="210">
        <f t="shared" ref="AT201:AT206" si="492">AO201</f>
        <v>696</v>
      </c>
      <c r="AU201" s="210">
        <f t="shared" ref="AU201:AU206" si="493">AO201</f>
        <v>696</v>
      </c>
      <c r="AV201" s="210"/>
      <c r="AW201" s="210">
        <v>0</v>
      </c>
      <c r="AX201" s="210">
        <f t="shared" ref="AX201:AX206" si="494">+AV201-AW201</f>
        <v>0</v>
      </c>
      <c r="AY201" s="212"/>
      <c r="AZ201" s="212">
        <v>0</v>
      </c>
      <c r="BA201" s="210">
        <f t="shared" ref="BA201:BA206" si="495">AP201-AQ201-AR201-AS201-AT201-AU201-AW201+AY201-AZ201</f>
        <v>7249</v>
      </c>
      <c r="BB201" s="219" t="s">
        <v>1315</v>
      </c>
      <c r="BC201" s="220" t="s">
        <v>1316</v>
      </c>
      <c r="BD201" s="220" t="s">
        <v>1327</v>
      </c>
      <c r="BE201" s="214"/>
      <c r="BF201" s="102"/>
      <c r="BG201" s="197" t="s">
        <v>1480</v>
      </c>
      <c r="BH201" s="206" t="s">
        <v>1484</v>
      </c>
      <c r="BI201" s="156"/>
      <c r="BJ201" s="70"/>
    </row>
    <row r="202" spans="1:62" s="13" customFormat="1" x14ac:dyDescent="0.25">
      <c r="A202" s="70">
        <f t="shared" si="367"/>
        <v>200</v>
      </c>
      <c r="B202" s="122">
        <v>2379</v>
      </c>
      <c r="C202" s="134" t="s">
        <v>41</v>
      </c>
      <c r="D202" s="134" t="s">
        <v>1364</v>
      </c>
      <c r="E202" s="146" t="s">
        <v>1303</v>
      </c>
      <c r="F202" s="114" t="s">
        <v>1323</v>
      </c>
      <c r="G202" s="147"/>
      <c r="H202" s="122" t="s">
        <v>43</v>
      </c>
      <c r="I202" s="82">
        <v>45881</v>
      </c>
      <c r="J202" s="137"/>
      <c r="K202" s="82"/>
      <c r="L202" s="102"/>
      <c r="M202" s="128" t="s">
        <v>44</v>
      </c>
      <c r="N202" s="117" t="s">
        <v>968</v>
      </c>
      <c r="O202" s="114" t="s">
        <v>1304</v>
      </c>
      <c r="P202" s="70" t="s">
        <v>46</v>
      </c>
      <c r="Q202" s="70" t="s">
        <v>412</v>
      </c>
      <c r="R202" s="125">
        <v>25000</v>
      </c>
      <c r="S202" s="83"/>
      <c r="T202" s="116"/>
      <c r="U202" s="119">
        <f t="shared" ref="U202:U206" si="496">R202+S202</f>
        <v>25000</v>
      </c>
      <c r="V202" s="119">
        <v>23500</v>
      </c>
      <c r="W202" s="119">
        <f t="shared" ref="W202:W203" si="497">+U202*0.5</f>
        <v>12500</v>
      </c>
      <c r="X202" s="125">
        <f t="shared" ref="X202:X206" si="498">+W202*0.5</f>
        <v>6250</v>
      </c>
      <c r="Y202" s="118">
        <f t="shared" ref="Y202:Y206" si="499">+V202-W202-X202</f>
        <v>4750</v>
      </c>
      <c r="Z202" s="118">
        <f t="shared" si="479"/>
        <v>23500</v>
      </c>
      <c r="AA202" s="119">
        <v>30</v>
      </c>
      <c r="AB202" s="115">
        <v>2.5</v>
      </c>
      <c r="AC202" s="115">
        <v>1</v>
      </c>
      <c r="AD202" s="115">
        <v>1</v>
      </c>
      <c r="AE202" s="115"/>
      <c r="AF202" s="115">
        <f t="shared" si="480"/>
        <v>2.5</v>
      </c>
      <c r="AG202" s="115">
        <f t="shared" si="481"/>
        <v>32.5</v>
      </c>
      <c r="AH202" s="101">
        <f t="shared" si="456"/>
        <v>30</v>
      </c>
      <c r="AI202" s="118">
        <f t="shared" si="482"/>
        <v>25000</v>
      </c>
      <c r="AJ202" s="118">
        <f t="shared" si="483"/>
        <v>23500</v>
      </c>
      <c r="AK202" s="118">
        <f t="shared" si="484"/>
        <v>12500</v>
      </c>
      <c r="AL202" s="118">
        <f t="shared" si="485"/>
        <v>6250</v>
      </c>
      <c r="AM202" s="118">
        <f t="shared" si="486"/>
        <v>4750</v>
      </c>
      <c r="AN202" s="119">
        <f t="shared" si="487"/>
        <v>0</v>
      </c>
      <c r="AO202" s="119">
        <f t="shared" si="488"/>
        <v>1500</v>
      </c>
      <c r="AP202" s="118">
        <f t="shared" si="489"/>
        <v>25000</v>
      </c>
      <c r="AQ202" s="118">
        <v>0</v>
      </c>
      <c r="AR202" s="118">
        <f t="shared" si="490"/>
        <v>0</v>
      </c>
      <c r="AS202" s="118">
        <f t="shared" si="491"/>
        <v>0</v>
      </c>
      <c r="AT202" s="118">
        <f t="shared" si="492"/>
        <v>1500</v>
      </c>
      <c r="AU202" s="118">
        <f t="shared" si="493"/>
        <v>1500</v>
      </c>
      <c r="AV202" s="118"/>
      <c r="AW202" s="118">
        <v>0</v>
      </c>
      <c r="AX202" s="118">
        <f t="shared" si="494"/>
        <v>0</v>
      </c>
      <c r="AY202" s="120"/>
      <c r="AZ202" s="120">
        <v>0</v>
      </c>
      <c r="BA202" s="118">
        <f t="shared" si="495"/>
        <v>22000</v>
      </c>
      <c r="BB202" s="31" t="s">
        <v>445</v>
      </c>
      <c r="BC202" s="34" t="s">
        <v>1317</v>
      </c>
      <c r="BD202" s="34" t="s">
        <v>1318</v>
      </c>
      <c r="BE202" s="102"/>
      <c r="BF202" s="102"/>
      <c r="BG202" s="70" t="s">
        <v>48</v>
      </c>
      <c r="BH202" s="125">
        <v>0</v>
      </c>
      <c r="BI202" s="156"/>
      <c r="BJ202" s="70"/>
    </row>
    <row r="203" spans="1:62" s="13" customFormat="1" x14ac:dyDescent="0.25">
      <c r="A203" s="70">
        <f t="shared" si="367"/>
        <v>201</v>
      </c>
      <c r="B203" s="122">
        <v>2381</v>
      </c>
      <c r="C203" s="134" t="s">
        <v>41</v>
      </c>
      <c r="D203" s="134" t="s">
        <v>1365</v>
      </c>
      <c r="E203" s="146" t="s">
        <v>1301</v>
      </c>
      <c r="F203" s="114" t="s">
        <v>1324</v>
      </c>
      <c r="G203" s="147"/>
      <c r="H203" s="122" t="s">
        <v>43</v>
      </c>
      <c r="I203" s="82">
        <v>45887</v>
      </c>
      <c r="J203" s="137"/>
      <c r="K203" s="82"/>
      <c r="L203" s="102"/>
      <c r="M203" s="128" t="s">
        <v>44</v>
      </c>
      <c r="N203" s="117" t="s">
        <v>963</v>
      </c>
      <c r="O203" s="114" t="s">
        <v>1302</v>
      </c>
      <c r="P203" s="70" t="s">
        <v>46</v>
      </c>
      <c r="Q203" s="70" t="s">
        <v>412</v>
      </c>
      <c r="R203" s="125">
        <v>41667</v>
      </c>
      <c r="S203" s="83"/>
      <c r="T203" s="116"/>
      <c r="U203" s="119">
        <f t="shared" si="496"/>
        <v>41667</v>
      </c>
      <c r="V203" s="119">
        <v>39867</v>
      </c>
      <c r="W203" s="119">
        <f t="shared" si="497"/>
        <v>20833.5</v>
      </c>
      <c r="X203" s="125">
        <f t="shared" si="498"/>
        <v>10416.75</v>
      </c>
      <c r="Y203" s="118">
        <f t="shared" si="499"/>
        <v>8616.75</v>
      </c>
      <c r="Z203" s="118">
        <f t="shared" si="479"/>
        <v>39867</v>
      </c>
      <c r="AA203" s="119">
        <v>30</v>
      </c>
      <c r="AB203" s="115">
        <v>3</v>
      </c>
      <c r="AC203" s="115">
        <v>4</v>
      </c>
      <c r="AD203" s="115">
        <v>1</v>
      </c>
      <c r="AE203" s="115"/>
      <c r="AF203" s="115">
        <f t="shared" si="480"/>
        <v>0</v>
      </c>
      <c r="AG203" s="115">
        <f t="shared" si="481"/>
        <v>30</v>
      </c>
      <c r="AH203" s="101">
        <f t="shared" si="456"/>
        <v>30</v>
      </c>
      <c r="AI203" s="118">
        <f t="shared" si="482"/>
        <v>41667</v>
      </c>
      <c r="AJ203" s="118">
        <f t="shared" si="483"/>
        <v>39867</v>
      </c>
      <c r="AK203" s="118">
        <f t="shared" si="484"/>
        <v>20834</v>
      </c>
      <c r="AL203" s="118">
        <f t="shared" si="485"/>
        <v>10417</v>
      </c>
      <c r="AM203" s="118">
        <f t="shared" si="486"/>
        <v>8617</v>
      </c>
      <c r="AN203" s="119">
        <f t="shared" si="487"/>
        <v>0</v>
      </c>
      <c r="AO203" s="119">
        <f t="shared" si="488"/>
        <v>1800</v>
      </c>
      <c r="AP203" s="118">
        <f t="shared" si="489"/>
        <v>41668</v>
      </c>
      <c r="AQ203" s="118">
        <v>0</v>
      </c>
      <c r="AR203" s="118">
        <f t="shared" si="490"/>
        <v>0</v>
      </c>
      <c r="AS203" s="118">
        <f t="shared" si="491"/>
        <v>0</v>
      </c>
      <c r="AT203" s="118">
        <f t="shared" si="492"/>
        <v>1800</v>
      </c>
      <c r="AU203" s="118">
        <f t="shared" si="493"/>
        <v>1800</v>
      </c>
      <c r="AV203" s="118"/>
      <c r="AW203" s="118">
        <v>0</v>
      </c>
      <c r="AX203" s="118">
        <f t="shared" si="494"/>
        <v>0</v>
      </c>
      <c r="AY203" s="120"/>
      <c r="AZ203" s="120">
        <v>0</v>
      </c>
      <c r="BA203" s="118">
        <f t="shared" si="495"/>
        <v>38068</v>
      </c>
      <c r="BB203" s="31" t="s">
        <v>455</v>
      </c>
      <c r="BC203" s="34" t="s">
        <v>1319</v>
      </c>
      <c r="BD203" s="34" t="s">
        <v>1320</v>
      </c>
      <c r="BE203" s="102"/>
      <c r="BF203" s="102"/>
      <c r="BG203" s="70" t="s">
        <v>48</v>
      </c>
      <c r="BH203" s="125">
        <v>0</v>
      </c>
      <c r="BI203" s="156"/>
      <c r="BJ203" s="70"/>
    </row>
    <row r="204" spans="1:62" s="196" customFormat="1" x14ac:dyDescent="0.25">
      <c r="A204" s="197">
        <f t="shared" si="367"/>
        <v>202</v>
      </c>
      <c r="B204" s="198">
        <v>2382</v>
      </c>
      <c r="C204" s="218" t="s">
        <v>1352</v>
      </c>
      <c r="D204" s="218" t="s">
        <v>1366</v>
      </c>
      <c r="E204" s="215" t="s">
        <v>1305</v>
      </c>
      <c r="F204" s="201" t="s">
        <v>1321</v>
      </c>
      <c r="G204" s="216"/>
      <c r="H204" s="198" t="s">
        <v>43</v>
      </c>
      <c r="I204" s="182">
        <v>45882</v>
      </c>
      <c r="J204" s="137"/>
      <c r="K204" s="182">
        <v>45889</v>
      </c>
      <c r="L204" s="102"/>
      <c r="M204" s="204" t="s">
        <v>44</v>
      </c>
      <c r="N204" s="205" t="s">
        <v>959</v>
      </c>
      <c r="O204" s="201" t="s">
        <v>1304</v>
      </c>
      <c r="P204" s="197" t="s">
        <v>412</v>
      </c>
      <c r="Q204" s="197" t="s">
        <v>412</v>
      </c>
      <c r="R204" s="206">
        <v>21664</v>
      </c>
      <c r="S204" s="207"/>
      <c r="T204" s="208"/>
      <c r="U204" s="209">
        <f t="shared" si="496"/>
        <v>21664</v>
      </c>
      <c r="V204" s="209">
        <v>19587</v>
      </c>
      <c r="W204" s="209">
        <v>12000</v>
      </c>
      <c r="X204" s="206">
        <f t="shared" si="498"/>
        <v>6000</v>
      </c>
      <c r="Y204" s="210">
        <f t="shared" si="499"/>
        <v>1587</v>
      </c>
      <c r="Z204" s="210">
        <f t="shared" si="479"/>
        <v>19587</v>
      </c>
      <c r="AA204" s="209">
        <v>30</v>
      </c>
      <c r="AB204" s="202"/>
      <c r="AC204" s="202">
        <v>21</v>
      </c>
      <c r="AD204" s="202">
        <v>0</v>
      </c>
      <c r="AE204" s="202"/>
      <c r="AF204" s="202">
        <f t="shared" si="480"/>
        <v>-21</v>
      </c>
      <c r="AG204" s="202">
        <f t="shared" si="481"/>
        <v>9</v>
      </c>
      <c r="AH204" s="211">
        <f t="shared" si="456"/>
        <v>9</v>
      </c>
      <c r="AI204" s="210">
        <f t="shared" si="482"/>
        <v>6499</v>
      </c>
      <c r="AJ204" s="210">
        <f t="shared" si="483"/>
        <v>5876</v>
      </c>
      <c r="AK204" s="210">
        <f t="shared" si="484"/>
        <v>3600</v>
      </c>
      <c r="AL204" s="210">
        <f t="shared" si="485"/>
        <v>1800</v>
      </c>
      <c r="AM204" s="210">
        <f t="shared" si="486"/>
        <v>476</v>
      </c>
      <c r="AN204" s="209">
        <f t="shared" si="487"/>
        <v>191</v>
      </c>
      <c r="AO204" s="209">
        <f t="shared" si="488"/>
        <v>432</v>
      </c>
      <c r="AP204" s="210">
        <f t="shared" si="489"/>
        <v>6499</v>
      </c>
      <c r="AQ204" s="210">
        <v>0</v>
      </c>
      <c r="AR204" s="210">
        <f t="shared" si="490"/>
        <v>45</v>
      </c>
      <c r="AS204" s="210">
        <f t="shared" si="491"/>
        <v>191</v>
      </c>
      <c r="AT204" s="210">
        <f t="shared" si="492"/>
        <v>432</v>
      </c>
      <c r="AU204" s="210">
        <f t="shared" si="493"/>
        <v>432</v>
      </c>
      <c r="AV204" s="210"/>
      <c r="AW204" s="210">
        <v>0</v>
      </c>
      <c r="AX204" s="210">
        <v>0</v>
      </c>
      <c r="AY204" s="212"/>
      <c r="AZ204" s="212">
        <v>0</v>
      </c>
      <c r="BA204" s="210">
        <f t="shared" si="495"/>
        <v>5399</v>
      </c>
      <c r="BB204" s="219" t="s">
        <v>1325</v>
      </c>
      <c r="BC204" s="220" t="s">
        <v>1138</v>
      </c>
      <c r="BD204" s="220" t="s">
        <v>1335</v>
      </c>
      <c r="BE204" s="214"/>
      <c r="BF204" s="102"/>
      <c r="BG204" s="197" t="s">
        <v>1480</v>
      </c>
      <c r="BH204" s="206" t="s">
        <v>1484</v>
      </c>
      <c r="BI204" s="156"/>
      <c r="BJ204" s="70"/>
    </row>
    <row r="205" spans="1:62" s="13" customFormat="1" x14ac:dyDescent="0.25">
      <c r="A205" s="70">
        <f t="shared" si="367"/>
        <v>203</v>
      </c>
      <c r="B205" s="122">
        <v>2383</v>
      </c>
      <c r="C205" s="134" t="s">
        <v>1354</v>
      </c>
      <c r="D205" s="134" t="s">
        <v>1367</v>
      </c>
      <c r="E205" s="146" t="s">
        <v>1308</v>
      </c>
      <c r="F205" s="114" t="s">
        <v>1433</v>
      </c>
      <c r="G205" s="147"/>
      <c r="H205" s="122" t="s">
        <v>43</v>
      </c>
      <c r="I205" s="82">
        <v>45881</v>
      </c>
      <c r="J205" s="137"/>
      <c r="K205" s="82">
        <v>45885</v>
      </c>
      <c r="L205" s="102"/>
      <c r="M205" s="128" t="s">
        <v>44</v>
      </c>
      <c r="N205" s="117" t="s">
        <v>959</v>
      </c>
      <c r="O205" s="114" t="s">
        <v>1307</v>
      </c>
      <c r="P205" s="70" t="s">
        <v>412</v>
      </c>
      <c r="Q205" s="70" t="s">
        <v>412</v>
      </c>
      <c r="R205" s="125">
        <v>18542</v>
      </c>
      <c r="S205" s="83"/>
      <c r="T205" s="116"/>
      <c r="U205" s="119">
        <f t="shared" si="496"/>
        <v>18542</v>
      </c>
      <c r="V205" s="119">
        <v>16565</v>
      </c>
      <c r="W205" s="119">
        <v>12000</v>
      </c>
      <c r="X205" s="125">
        <f>+V205-W205</f>
        <v>4565</v>
      </c>
      <c r="Y205" s="118">
        <f t="shared" si="499"/>
        <v>0</v>
      </c>
      <c r="Z205" s="118">
        <f t="shared" si="479"/>
        <v>16565</v>
      </c>
      <c r="AA205" s="119">
        <v>30</v>
      </c>
      <c r="AB205" s="115">
        <v>9</v>
      </c>
      <c r="AC205" s="115">
        <v>0</v>
      </c>
      <c r="AD205" s="115">
        <v>2</v>
      </c>
      <c r="AE205" s="115"/>
      <c r="AF205" s="115">
        <f t="shared" si="480"/>
        <v>11</v>
      </c>
      <c r="AG205" s="115">
        <f t="shared" si="481"/>
        <v>41</v>
      </c>
      <c r="AH205" s="101">
        <f t="shared" si="456"/>
        <v>30</v>
      </c>
      <c r="AI205" s="118">
        <f t="shared" si="482"/>
        <v>18542</v>
      </c>
      <c r="AJ205" s="118">
        <f t="shared" si="483"/>
        <v>16565</v>
      </c>
      <c r="AK205" s="118">
        <f t="shared" si="484"/>
        <v>12000</v>
      </c>
      <c r="AL205" s="118">
        <f t="shared" si="485"/>
        <v>4565</v>
      </c>
      <c r="AM205" s="118">
        <f t="shared" si="486"/>
        <v>0</v>
      </c>
      <c r="AN205" s="119">
        <f t="shared" si="487"/>
        <v>539</v>
      </c>
      <c r="AO205" s="119">
        <f t="shared" si="488"/>
        <v>1440</v>
      </c>
      <c r="AP205" s="118">
        <f t="shared" si="489"/>
        <v>18544</v>
      </c>
      <c r="AQ205" s="118">
        <v>0</v>
      </c>
      <c r="AR205" s="118">
        <f t="shared" si="490"/>
        <v>125</v>
      </c>
      <c r="AS205" s="118">
        <f t="shared" si="491"/>
        <v>539</v>
      </c>
      <c r="AT205" s="118">
        <f t="shared" si="492"/>
        <v>1440</v>
      </c>
      <c r="AU205" s="118">
        <f t="shared" si="493"/>
        <v>1440</v>
      </c>
      <c r="AV205" s="118"/>
      <c r="AW205" s="118">
        <v>0</v>
      </c>
      <c r="AX205" s="118">
        <f t="shared" si="494"/>
        <v>0</v>
      </c>
      <c r="AY205" s="120"/>
      <c r="AZ205" s="120">
        <v>0</v>
      </c>
      <c r="BA205" s="118">
        <f t="shared" si="495"/>
        <v>15000</v>
      </c>
      <c r="BB205" s="165" t="s">
        <v>1329</v>
      </c>
      <c r="BC205" s="34" t="s">
        <v>1328</v>
      </c>
      <c r="BD205" s="166" t="s">
        <v>1330</v>
      </c>
      <c r="BE205" s="102"/>
      <c r="BF205" s="102"/>
      <c r="BG205" s="70" t="s">
        <v>48</v>
      </c>
      <c r="BH205" s="125">
        <v>0</v>
      </c>
      <c r="BI205" s="156"/>
      <c r="BJ205" s="70"/>
    </row>
    <row r="206" spans="1:62" s="13" customFormat="1" x14ac:dyDescent="0.25">
      <c r="A206" s="70">
        <f t="shared" si="367"/>
        <v>204</v>
      </c>
      <c r="B206" s="122">
        <v>2384</v>
      </c>
      <c r="C206" s="134">
        <v>6725028368</v>
      </c>
      <c r="D206" s="134" t="s">
        <v>1368</v>
      </c>
      <c r="E206" s="146" t="s">
        <v>362</v>
      </c>
      <c r="F206" s="114" t="s">
        <v>1434</v>
      </c>
      <c r="G206" s="147"/>
      <c r="H206" s="122" t="s">
        <v>43</v>
      </c>
      <c r="I206" s="82">
        <v>45895</v>
      </c>
      <c r="J206" s="137"/>
      <c r="K206" s="82"/>
      <c r="L206" s="102"/>
      <c r="M206" s="128" t="s">
        <v>44</v>
      </c>
      <c r="N206" s="117" t="s">
        <v>959</v>
      </c>
      <c r="O206" s="114" t="s">
        <v>1000</v>
      </c>
      <c r="P206" s="70" t="s">
        <v>412</v>
      </c>
      <c r="Q206" s="70" t="s">
        <v>412</v>
      </c>
      <c r="R206" s="125">
        <v>20378</v>
      </c>
      <c r="S206" s="83"/>
      <c r="T206" s="116"/>
      <c r="U206" s="119">
        <f t="shared" si="496"/>
        <v>20378</v>
      </c>
      <c r="V206" s="119">
        <v>18459</v>
      </c>
      <c r="W206" s="119">
        <v>11000</v>
      </c>
      <c r="X206" s="125">
        <f t="shared" si="498"/>
        <v>5500</v>
      </c>
      <c r="Y206" s="118">
        <f t="shared" si="499"/>
        <v>1959</v>
      </c>
      <c r="Z206" s="118">
        <f t="shared" si="479"/>
        <v>18459</v>
      </c>
      <c r="AA206" s="119">
        <v>30</v>
      </c>
      <c r="AB206" s="115">
        <v>7.5</v>
      </c>
      <c r="AC206" s="115">
        <v>2.5</v>
      </c>
      <c r="AD206" s="115">
        <v>1</v>
      </c>
      <c r="AE206" s="115"/>
      <c r="AF206" s="115">
        <f t="shared" si="480"/>
        <v>6</v>
      </c>
      <c r="AG206" s="115">
        <f t="shared" si="481"/>
        <v>36</v>
      </c>
      <c r="AH206" s="101">
        <f t="shared" si="456"/>
        <v>30</v>
      </c>
      <c r="AI206" s="118">
        <f t="shared" si="482"/>
        <v>20378</v>
      </c>
      <c r="AJ206" s="118">
        <f t="shared" si="483"/>
        <v>18459</v>
      </c>
      <c r="AK206" s="118">
        <f t="shared" si="484"/>
        <v>11000</v>
      </c>
      <c r="AL206" s="118">
        <f t="shared" si="485"/>
        <v>5500</v>
      </c>
      <c r="AM206" s="118">
        <f t="shared" si="486"/>
        <v>1959</v>
      </c>
      <c r="AN206" s="119">
        <f t="shared" si="487"/>
        <v>600</v>
      </c>
      <c r="AO206" s="119">
        <f t="shared" si="488"/>
        <v>1320</v>
      </c>
      <c r="AP206" s="118">
        <f t="shared" si="489"/>
        <v>20379</v>
      </c>
      <c r="AQ206" s="118">
        <v>0</v>
      </c>
      <c r="AR206" s="118">
        <f t="shared" si="490"/>
        <v>139</v>
      </c>
      <c r="AS206" s="118">
        <f t="shared" si="491"/>
        <v>600</v>
      </c>
      <c r="AT206" s="118">
        <f t="shared" si="492"/>
        <v>1320</v>
      </c>
      <c r="AU206" s="118">
        <f t="shared" si="493"/>
        <v>1320</v>
      </c>
      <c r="AV206" s="118"/>
      <c r="AW206" s="118">
        <v>0</v>
      </c>
      <c r="AX206" s="118">
        <f t="shared" si="494"/>
        <v>0</v>
      </c>
      <c r="AY206" s="120"/>
      <c r="AZ206" s="120">
        <v>0</v>
      </c>
      <c r="BA206" s="118">
        <f t="shared" si="495"/>
        <v>17000</v>
      </c>
      <c r="BB206" s="31" t="s">
        <v>543</v>
      </c>
      <c r="BC206" s="34" t="s">
        <v>1347</v>
      </c>
      <c r="BD206" s="34" t="s">
        <v>1348</v>
      </c>
      <c r="BE206" s="102"/>
      <c r="BF206" s="102"/>
      <c r="BG206" s="70" t="s">
        <v>48</v>
      </c>
      <c r="BH206" s="125">
        <v>0</v>
      </c>
      <c r="BI206" s="156"/>
      <c r="BJ206" s="70"/>
    </row>
    <row r="207" spans="1:62" s="13" customFormat="1" x14ac:dyDescent="0.25">
      <c r="A207" s="70">
        <f t="shared" si="367"/>
        <v>205</v>
      </c>
      <c r="B207" s="122">
        <v>2385</v>
      </c>
      <c r="C207" s="134" t="s">
        <v>1311</v>
      </c>
      <c r="D207" s="134" t="s">
        <v>1369</v>
      </c>
      <c r="E207" s="146" t="s">
        <v>1310</v>
      </c>
      <c r="F207" s="114" t="s">
        <v>1435</v>
      </c>
      <c r="G207" s="147"/>
      <c r="H207" s="122" t="s">
        <v>43</v>
      </c>
      <c r="I207" s="82">
        <v>45895</v>
      </c>
      <c r="J207" s="137"/>
      <c r="K207" s="82"/>
      <c r="L207" s="102"/>
      <c r="M207" s="128" t="s">
        <v>44</v>
      </c>
      <c r="N207" s="117" t="s">
        <v>959</v>
      </c>
      <c r="O207" s="114" t="s">
        <v>110</v>
      </c>
      <c r="P207" s="70" t="s">
        <v>412</v>
      </c>
      <c r="Q207" s="70" t="s">
        <v>412</v>
      </c>
      <c r="R207" s="125">
        <v>20378</v>
      </c>
      <c r="S207" s="83">
        <f>+R207*0.08</f>
        <v>1630.24</v>
      </c>
      <c r="T207" s="116">
        <v>45962</v>
      </c>
      <c r="U207" s="119">
        <f t="shared" ref="U207" si="500">R207+S207</f>
        <v>22008.240000000002</v>
      </c>
      <c r="V207" s="119">
        <v>20037</v>
      </c>
      <c r="W207" s="119">
        <v>11000</v>
      </c>
      <c r="X207" s="125">
        <f t="shared" ref="X207" si="501">+W207*0.5</f>
        <v>5500</v>
      </c>
      <c r="Y207" s="118">
        <f t="shared" ref="Y207" si="502">+V207-W207-X207</f>
        <v>3537</v>
      </c>
      <c r="Z207" s="118">
        <f t="shared" ref="Z207" si="503">+W207+X207+Y207</f>
        <v>20037</v>
      </c>
      <c r="AA207" s="119">
        <v>30</v>
      </c>
      <c r="AB207" s="115">
        <v>0.5</v>
      </c>
      <c r="AC207" s="115">
        <v>1.5</v>
      </c>
      <c r="AD207" s="115">
        <v>1</v>
      </c>
      <c r="AE207" s="115"/>
      <c r="AF207" s="115">
        <f t="shared" ref="AF207" si="504">AB207+AD207+AE207-AC207</f>
        <v>0</v>
      </c>
      <c r="AG207" s="115">
        <f t="shared" ref="AG207" si="505">+AF207+AA207</f>
        <v>30</v>
      </c>
      <c r="AH207" s="101">
        <f t="shared" si="456"/>
        <v>30</v>
      </c>
      <c r="AI207" s="118">
        <f t="shared" ref="AI207" si="506">ROUND(U207*AH207/AA207,0)</f>
        <v>22008</v>
      </c>
      <c r="AJ207" s="118">
        <f t="shared" ref="AJ207" si="507">ROUND(Z207*AH207/AA207,0)</f>
        <v>20037</v>
      </c>
      <c r="AK207" s="118">
        <f t="shared" ref="AK207" si="508">ROUND(W207*AH207/AA207,0)</f>
        <v>11000</v>
      </c>
      <c r="AL207" s="118">
        <f t="shared" ref="AL207" si="509">ROUND(X207*AH207/AA207,0)</f>
        <v>5500</v>
      </c>
      <c r="AM207" s="118">
        <f t="shared" ref="AM207" si="510">ROUND(Y207*AH207/AA207,0)</f>
        <v>3537</v>
      </c>
      <c r="AN207" s="119">
        <f t="shared" ref="AN207" si="511">ROUNDUP(IF(V207&gt;=21000,0,AJ207*3.25%),0)</f>
        <v>652</v>
      </c>
      <c r="AO207" s="119">
        <f t="shared" ref="AO207" si="512">ROUND(IF(AK207&lt;15001,AK207*12%,1800),0)</f>
        <v>1320</v>
      </c>
      <c r="AP207" s="118">
        <f t="shared" ref="AP207" si="513">SUM(AK207:AO207)</f>
        <v>22009</v>
      </c>
      <c r="AQ207" s="118">
        <v>0</v>
      </c>
      <c r="AR207" s="118">
        <f t="shared" ref="AR207" si="514">ROUNDUP(IF(V207&gt;=21000,0,AJ207*0.75%),0)</f>
        <v>151</v>
      </c>
      <c r="AS207" s="118">
        <f t="shared" ref="AS207" si="515">AN207</f>
        <v>652</v>
      </c>
      <c r="AT207" s="118">
        <f t="shared" ref="AT207" si="516">AO207</f>
        <v>1320</v>
      </c>
      <c r="AU207" s="118">
        <f t="shared" ref="AU207" si="517">AO207</f>
        <v>1320</v>
      </c>
      <c r="AV207" s="118"/>
      <c r="AW207" s="118">
        <v>0</v>
      </c>
      <c r="AX207" s="118">
        <f t="shared" ref="AX207" si="518">+AV207-AW207</f>
        <v>0</v>
      </c>
      <c r="AY207" s="120"/>
      <c r="AZ207" s="120">
        <v>0</v>
      </c>
      <c r="BA207" s="118">
        <f t="shared" ref="BA207" si="519">AP207-AQ207-AR207-AS207-AT207-AU207-AW207+AY207-AZ207</f>
        <v>18566</v>
      </c>
      <c r="BB207" s="31" t="s">
        <v>525</v>
      </c>
      <c r="BC207" s="34" t="s">
        <v>1332</v>
      </c>
      <c r="BD207" s="34" t="s">
        <v>1361</v>
      </c>
      <c r="BE207" s="102"/>
      <c r="BF207" s="102"/>
      <c r="BG207" s="70" t="s">
        <v>48</v>
      </c>
      <c r="BH207" s="125">
        <v>0</v>
      </c>
      <c r="BI207" s="156"/>
      <c r="BJ207" s="70"/>
    </row>
    <row r="208" spans="1:62" s="13" customFormat="1" x14ac:dyDescent="0.25">
      <c r="A208" s="70">
        <f t="shared" si="367"/>
        <v>206</v>
      </c>
      <c r="B208" s="122">
        <v>2386</v>
      </c>
      <c r="C208" s="134" t="s">
        <v>41</v>
      </c>
      <c r="D208" s="134" t="s">
        <v>1401</v>
      </c>
      <c r="E208" s="146" t="s">
        <v>1219</v>
      </c>
      <c r="F208" s="114" t="s">
        <v>1436</v>
      </c>
      <c r="G208" s="147"/>
      <c r="H208" s="122" t="s">
        <v>43</v>
      </c>
      <c r="I208" s="82">
        <v>45901</v>
      </c>
      <c r="J208" s="137"/>
      <c r="K208" s="82"/>
      <c r="L208" s="102"/>
      <c r="M208" s="128" t="s">
        <v>44</v>
      </c>
      <c r="N208" s="117" t="s">
        <v>963</v>
      </c>
      <c r="O208" s="114" t="s">
        <v>388</v>
      </c>
      <c r="P208" s="70" t="s">
        <v>46</v>
      </c>
      <c r="Q208" s="70" t="s">
        <v>412</v>
      </c>
      <c r="R208" s="125">
        <v>66667</v>
      </c>
      <c r="S208" s="83"/>
      <c r="T208" s="116"/>
      <c r="U208" s="119">
        <f t="shared" ref="U208:U213" si="520">R208+S208</f>
        <v>66667</v>
      </c>
      <c r="V208" s="119">
        <v>64867</v>
      </c>
      <c r="W208" s="119">
        <v>33333</v>
      </c>
      <c r="X208" s="125">
        <f t="shared" ref="X208:X213" si="521">+W208*0.5</f>
        <v>16666.5</v>
      </c>
      <c r="Y208" s="118">
        <f t="shared" ref="Y208:Y213" si="522">+V208-W208-X208</f>
        <v>14867.5</v>
      </c>
      <c r="Z208" s="118">
        <f t="shared" ref="Z208:Z213" si="523">+W208+X208+Y208</f>
        <v>64867</v>
      </c>
      <c r="AA208" s="119">
        <v>30</v>
      </c>
      <c r="AB208" s="115">
        <v>4.5</v>
      </c>
      <c r="AC208" s="115">
        <v>1</v>
      </c>
      <c r="AD208" s="115">
        <v>1</v>
      </c>
      <c r="AE208" s="115"/>
      <c r="AF208" s="115">
        <f t="shared" ref="AF208:AF213" si="524">AB208+AD208+AE208-AC208</f>
        <v>4.5</v>
      </c>
      <c r="AG208" s="115">
        <f t="shared" ref="AG208:AG213" si="525">+AF208+AA208</f>
        <v>34.5</v>
      </c>
      <c r="AH208" s="101">
        <f t="shared" si="456"/>
        <v>30</v>
      </c>
      <c r="AI208" s="118">
        <f t="shared" ref="AI208:AI213" si="526">ROUND(U208*AH208/AA208,0)</f>
        <v>66667</v>
      </c>
      <c r="AJ208" s="118">
        <f t="shared" ref="AJ208:AJ213" si="527">ROUND(Z208*AH208/AA208,0)</f>
        <v>64867</v>
      </c>
      <c r="AK208" s="118">
        <f t="shared" ref="AK208:AK213" si="528">ROUND(W208*AH208/AA208,0)</f>
        <v>33333</v>
      </c>
      <c r="AL208" s="118">
        <f t="shared" ref="AL208:AL213" si="529">ROUND(X208*AH208/AA208,0)</f>
        <v>16667</v>
      </c>
      <c r="AM208" s="118">
        <f t="shared" ref="AM208:AM213" si="530">ROUND(Y208*AH208/AA208,0)</f>
        <v>14868</v>
      </c>
      <c r="AN208" s="119">
        <f t="shared" ref="AN208:AN213" si="531">ROUNDUP(IF(V208&gt;=21000,0,AJ208*3.25%),0)</f>
        <v>0</v>
      </c>
      <c r="AO208" s="119">
        <f t="shared" ref="AO208:AO213" si="532">ROUND(IF(AK208&lt;15001,AK208*12%,1800),0)</f>
        <v>1800</v>
      </c>
      <c r="AP208" s="118">
        <f t="shared" ref="AP208:AP213" si="533">SUM(AK208:AO208)</f>
        <v>66668</v>
      </c>
      <c r="AQ208" s="118">
        <v>0</v>
      </c>
      <c r="AR208" s="118">
        <f t="shared" ref="AR208:AR213" si="534">ROUNDUP(IF(V208&gt;=21000,0,AJ208*0.75%),0)</f>
        <v>0</v>
      </c>
      <c r="AS208" s="118">
        <f t="shared" ref="AS208:AT213" si="535">AN208</f>
        <v>0</v>
      </c>
      <c r="AT208" s="118">
        <f t="shared" si="535"/>
        <v>1800</v>
      </c>
      <c r="AU208" s="118">
        <f t="shared" ref="AU208:AU213" si="536">AO208</f>
        <v>1800</v>
      </c>
      <c r="AV208" s="118"/>
      <c r="AW208" s="118">
        <v>0</v>
      </c>
      <c r="AX208" s="118">
        <f t="shared" ref="AX208:AX213" si="537">+AV208-AW208</f>
        <v>0</v>
      </c>
      <c r="AY208" s="120"/>
      <c r="AZ208" s="120">
        <v>0</v>
      </c>
      <c r="BA208" s="118">
        <f t="shared" ref="BA208:BA213" si="538">AP208-AQ208-AR208-AS208-AT208-AU208-AW208+AY208-AZ208</f>
        <v>63068</v>
      </c>
      <c r="BB208" s="31" t="s">
        <v>1396</v>
      </c>
      <c r="BC208" s="34" t="s">
        <v>1395</v>
      </c>
      <c r="BD208" s="34" t="s">
        <v>1397</v>
      </c>
      <c r="BE208" s="102"/>
      <c r="BF208" s="102"/>
      <c r="BG208" s="70" t="s">
        <v>48</v>
      </c>
      <c r="BH208" s="125">
        <v>0</v>
      </c>
      <c r="BI208" s="156"/>
      <c r="BJ208" s="70"/>
    </row>
    <row r="209" spans="1:62" s="13" customFormat="1" x14ac:dyDescent="0.25">
      <c r="A209" s="70">
        <f t="shared" si="367"/>
        <v>207</v>
      </c>
      <c r="B209" s="122">
        <v>2387</v>
      </c>
      <c r="C209" s="134" t="s">
        <v>1398</v>
      </c>
      <c r="D209" s="134" t="s">
        <v>1402</v>
      </c>
      <c r="E209" s="146" t="s">
        <v>1371</v>
      </c>
      <c r="F209" s="114" t="s">
        <v>1437</v>
      </c>
      <c r="G209" s="147"/>
      <c r="H209" s="122" t="s">
        <v>43</v>
      </c>
      <c r="I209" s="82">
        <v>45902</v>
      </c>
      <c r="J209" s="137"/>
      <c r="K209" s="82"/>
      <c r="L209" s="102"/>
      <c r="M209" s="128" t="s">
        <v>44</v>
      </c>
      <c r="N209" s="117" t="s">
        <v>959</v>
      </c>
      <c r="O209" s="114" t="s">
        <v>1372</v>
      </c>
      <c r="P209" s="70" t="s">
        <v>412</v>
      </c>
      <c r="Q209" s="70" t="s">
        <v>412</v>
      </c>
      <c r="R209" s="125">
        <v>21664</v>
      </c>
      <c r="S209" s="83"/>
      <c r="T209" s="116"/>
      <c r="U209" s="119">
        <f t="shared" si="520"/>
        <v>21664</v>
      </c>
      <c r="V209" s="119">
        <v>19587</v>
      </c>
      <c r="W209" s="119">
        <v>12000</v>
      </c>
      <c r="X209" s="125">
        <f t="shared" si="521"/>
        <v>6000</v>
      </c>
      <c r="Y209" s="118">
        <f t="shared" si="522"/>
        <v>1587</v>
      </c>
      <c r="Z209" s="118">
        <f t="shared" si="523"/>
        <v>19587</v>
      </c>
      <c r="AA209" s="119">
        <v>30</v>
      </c>
      <c r="AB209" s="115">
        <v>3.5</v>
      </c>
      <c r="AC209" s="115">
        <v>1</v>
      </c>
      <c r="AD209" s="115">
        <v>1</v>
      </c>
      <c r="AE209" s="115"/>
      <c r="AF209" s="115">
        <f t="shared" si="524"/>
        <v>3.5</v>
      </c>
      <c r="AG209" s="115">
        <f t="shared" si="525"/>
        <v>33.5</v>
      </c>
      <c r="AH209" s="101">
        <f t="shared" si="456"/>
        <v>30</v>
      </c>
      <c r="AI209" s="118">
        <f t="shared" si="526"/>
        <v>21664</v>
      </c>
      <c r="AJ209" s="118">
        <f t="shared" si="527"/>
        <v>19587</v>
      </c>
      <c r="AK209" s="118">
        <f t="shared" si="528"/>
        <v>12000</v>
      </c>
      <c r="AL209" s="118">
        <f t="shared" si="529"/>
        <v>6000</v>
      </c>
      <c r="AM209" s="118">
        <f t="shared" si="530"/>
        <v>1587</v>
      </c>
      <c r="AN209" s="119">
        <f t="shared" si="531"/>
        <v>637</v>
      </c>
      <c r="AO209" s="119">
        <f t="shared" si="532"/>
        <v>1440</v>
      </c>
      <c r="AP209" s="118">
        <f t="shared" si="533"/>
        <v>21664</v>
      </c>
      <c r="AQ209" s="118">
        <v>0</v>
      </c>
      <c r="AR209" s="118">
        <f t="shared" si="534"/>
        <v>147</v>
      </c>
      <c r="AS209" s="118">
        <f t="shared" si="535"/>
        <v>637</v>
      </c>
      <c r="AT209" s="118">
        <f t="shared" si="535"/>
        <v>1440</v>
      </c>
      <c r="AU209" s="118">
        <f t="shared" si="536"/>
        <v>1440</v>
      </c>
      <c r="AV209" s="118"/>
      <c r="AW209" s="118">
        <v>0</v>
      </c>
      <c r="AX209" s="118">
        <f t="shared" si="537"/>
        <v>0</v>
      </c>
      <c r="AY209" s="120"/>
      <c r="AZ209" s="120">
        <v>0</v>
      </c>
      <c r="BA209" s="118">
        <f t="shared" si="538"/>
        <v>18000</v>
      </c>
      <c r="BB209" s="31" t="s">
        <v>455</v>
      </c>
      <c r="BC209" s="34" t="s">
        <v>1392</v>
      </c>
      <c r="BD209" s="34" t="s">
        <v>1393</v>
      </c>
      <c r="BE209" s="102"/>
      <c r="BF209" s="102"/>
      <c r="BG209" s="70" t="s">
        <v>48</v>
      </c>
      <c r="BH209" s="125">
        <v>0</v>
      </c>
      <c r="BI209" s="156"/>
      <c r="BJ209" s="70"/>
    </row>
    <row r="210" spans="1:62" s="13" customFormat="1" x14ac:dyDescent="0.25">
      <c r="A210" s="70">
        <f t="shared" si="367"/>
        <v>208</v>
      </c>
      <c r="B210" s="122">
        <v>2388</v>
      </c>
      <c r="C210" s="134" t="s">
        <v>41</v>
      </c>
      <c r="D210" s="134" t="s">
        <v>1403</v>
      </c>
      <c r="E210" s="146" t="s">
        <v>1373</v>
      </c>
      <c r="F210" s="114" t="s">
        <v>1438</v>
      </c>
      <c r="G210" s="147"/>
      <c r="H210" s="122" t="s">
        <v>43</v>
      </c>
      <c r="I210" s="82">
        <v>45908</v>
      </c>
      <c r="J210" s="137"/>
      <c r="K210" s="82"/>
      <c r="L210" s="102"/>
      <c r="M210" s="128" t="s">
        <v>44</v>
      </c>
      <c r="N210" s="117" t="s">
        <v>963</v>
      </c>
      <c r="O210" s="114" t="s">
        <v>69</v>
      </c>
      <c r="P210" s="70" t="s">
        <v>46</v>
      </c>
      <c r="Q210" s="70" t="s">
        <v>412</v>
      </c>
      <c r="R210" s="125">
        <v>40000</v>
      </c>
      <c r="S210" s="83"/>
      <c r="T210" s="116"/>
      <c r="U210" s="119">
        <f t="shared" si="520"/>
        <v>40000</v>
      </c>
      <c r="V210" s="119">
        <v>38200</v>
      </c>
      <c r="W210" s="119">
        <f>+U210*0.5</f>
        <v>20000</v>
      </c>
      <c r="X210" s="125">
        <f t="shared" si="521"/>
        <v>10000</v>
      </c>
      <c r="Y210" s="118">
        <f t="shared" si="522"/>
        <v>8200</v>
      </c>
      <c r="Z210" s="118">
        <f t="shared" si="523"/>
        <v>38200</v>
      </c>
      <c r="AA210" s="119">
        <v>30</v>
      </c>
      <c r="AB210" s="115">
        <v>6.5</v>
      </c>
      <c r="AC210" s="115">
        <v>1.5</v>
      </c>
      <c r="AD210" s="115">
        <v>1</v>
      </c>
      <c r="AE210" s="115"/>
      <c r="AF210" s="115">
        <f t="shared" si="524"/>
        <v>6</v>
      </c>
      <c r="AG210" s="115">
        <f t="shared" si="525"/>
        <v>36</v>
      </c>
      <c r="AH210" s="101">
        <f t="shared" si="456"/>
        <v>30</v>
      </c>
      <c r="AI210" s="118">
        <f t="shared" si="526"/>
        <v>40000</v>
      </c>
      <c r="AJ210" s="118">
        <f t="shared" si="527"/>
        <v>38200</v>
      </c>
      <c r="AK210" s="118">
        <f t="shared" si="528"/>
        <v>20000</v>
      </c>
      <c r="AL210" s="118">
        <f t="shared" si="529"/>
        <v>10000</v>
      </c>
      <c r="AM210" s="118">
        <f t="shared" si="530"/>
        <v>8200</v>
      </c>
      <c r="AN210" s="119">
        <f t="shared" si="531"/>
        <v>0</v>
      </c>
      <c r="AO210" s="119">
        <f t="shared" si="532"/>
        <v>1800</v>
      </c>
      <c r="AP210" s="118">
        <f t="shared" si="533"/>
        <v>40000</v>
      </c>
      <c r="AQ210" s="118">
        <v>0</v>
      </c>
      <c r="AR210" s="118">
        <f t="shared" si="534"/>
        <v>0</v>
      </c>
      <c r="AS210" s="118">
        <f t="shared" si="535"/>
        <v>0</v>
      </c>
      <c r="AT210" s="118">
        <f t="shared" si="535"/>
        <v>1800</v>
      </c>
      <c r="AU210" s="118">
        <f t="shared" si="536"/>
        <v>1800</v>
      </c>
      <c r="AV210" s="118">
        <v>194000</v>
      </c>
      <c r="AW210" s="118">
        <v>6000</v>
      </c>
      <c r="AX210" s="118">
        <f t="shared" si="537"/>
        <v>188000</v>
      </c>
      <c r="AY210" s="120"/>
      <c r="AZ210" s="120">
        <v>0</v>
      </c>
      <c r="BA210" s="118">
        <f t="shared" si="538"/>
        <v>30400</v>
      </c>
      <c r="BB210" s="31" t="s">
        <v>139</v>
      </c>
      <c r="BC210" s="34" t="s">
        <v>1380</v>
      </c>
      <c r="BD210" s="34" t="s">
        <v>1381</v>
      </c>
      <c r="BE210" s="102"/>
      <c r="BF210" s="102"/>
      <c r="BG210" s="70" t="s">
        <v>48</v>
      </c>
      <c r="BH210" s="125">
        <v>0</v>
      </c>
      <c r="BI210" s="156"/>
      <c r="BJ210" s="70"/>
    </row>
    <row r="211" spans="1:62" s="13" customFormat="1" x14ac:dyDescent="0.25">
      <c r="A211" s="70">
        <f t="shared" si="367"/>
        <v>209</v>
      </c>
      <c r="B211" s="122">
        <v>2389</v>
      </c>
      <c r="C211" s="134" t="s">
        <v>1399</v>
      </c>
      <c r="D211" s="134" t="s">
        <v>1404</v>
      </c>
      <c r="E211" s="146" t="s">
        <v>1032</v>
      </c>
      <c r="F211" s="114" t="s">
        <v>1439</v>
      </c>
      <c r="G211" s="147"/>
      <c r="H211" s="122" t="s">
        <v>43</v>
      </c>
      <c r="I211" s="82">
        <v>45901</v>
      </c>
      <c r="J211" s="137"/>
      <c r="K211" s="82"/>
      <c r="L211" s="102"/>
      <c r="M211" s="128" t="s">
        <v>44</v>
      </c>
      <c r="N211" s="117" t="s">
        <v>1377</v>
      </c>
      <c r="O211" s="114" t="s">
        <v>739</v>
      </c>
      <c r="P211" s="70" t="s">
        <v>412</v>
      </c>
      <c r="Q211" s="70" t="s">
        <v>412</v>
      </c>
      <c r="R211" s="125">
        <v>21664</v>
      </c>
      <c r="S211" s="83"/>
      <c r="T211" s="116"/>
      <c r="U211" s="119">
        <f t="shared" si="520"/>
        <v>21664</v>
      </c>
      <c r="V211" s="119">
        <v>19587</v>
      </c>
      <c r="W211" s="119">
        <v>12000</v>
      </c>
      <c r="X211" s="125">
        <f t="shared" si="521"/>
        <v>6000</v>
      </c>
      <c r="Y211" s="118">
        <f t="shared" si="522"/>
        <v>1587</v>
      </c>
      <c r="Z211" s="118">
        <f t="shared" si="523"/>
        <v>19587</v>
      </c>
      <c r="AA211" s="119">
        <v>30</v>
      </c>
      <c r="AB211" s="115">
        <v>5.5</v>
      </c>
      <c r="AC211" s="115">
        <v>1</v>
      </c>
      <c r="AD211" s="115">
        <v>1</v>
      </c>
      <c r="AE211" s="115"/>
      <c r="AF211" s="115">
        <f t="shared" si="524"/>
        <v>5.5</v>
      </c>
      <c r="AG211" s="115">
        <f t="shared" si="525"/>
        <v>35.5</v>
      </c>
      <c r="AH211" s="101">
        <f t="shared" si="456"/>
        <v>30</v>
      </c>
      <c r="AI211" s="118">
        <f t="shared" si="526"/>
        <v>21664</v>
      </c>
      <c r="AJ211" s="118">
        <f t="shared" si="527"/>
        <v>19587</v>
      </c>
      <c r="AK211" s="118">
        <f t="shared" si="528"/>
        <v>12000</v>
      </c>
      <c r="AL211" s="118">
        <f t="shared" si="529"/>
        <v>6000</v>
      </c>
      <c r="AM211" s="118">
        <f t="shared" si="530"/>
        <v>1587</v>
      </c>
      <c r="AN211" s="119">
        <f t="shared" si="531"/>
        <v>637</v>
      </c>
      <c r="AO211" s="119">
        <f t="shared" si="532"/>
        <v>1440</v>
      </c>
      <c r="AP211" s="118">
        <f t="shared" si="533"/>
        <v>21664</v>
      </c>
      <c r="AQ211" s="118">
        <v>0</v>
      </c>
      <c r="AR211" s="118">
        <f t="shared" si="534"/>
        <v>147</v>
      </c>
      <c r="AS211" s="118">
        <f t="shared" si="535"/>
        <v>637</v>
      </c>
      <c r="AT211" s="118">
        <f t="shared" si="535"/>
        <v>1440</v>
      </c>
      <c r="AU211" s="118">
        <f t="shared" si="536"/>
        <v>1440</v>
      </c>
      <c r="AV211" s="118"/>
      <c r="AW211" s="118">
        <v>0</v>
      </c>
      <c r="AX211" s="118">
        <f t="shared" si="537"/>
        <v>0</v>
      </c>
      <c r="AY211" s="120"/>
      <c r="AZ211" s="120">
        <v>0</v>
      </c>
      <c r="BA211" s="118">
        <f t="shared" si="538"/>
        <v>18000</v>
      </c>
      <c r="BB211" s="31" t="s">
        <v>1255</v>
      </c>
      <c r="BC211" s="34" t="s">
        <v>1285</v>
      </c>
      <c r="BD211" s="34" t="s">
        <v>1452</v>
      </c>
      <c r="BE211" s="102"/>
      <c r="BF211" s="102"/>
      <c r="BG211" s="70" t="s">
        <v>48</v>
      </c>
      <c r="BH211" s="125">
        <v>0</v>
      </c>
      <c r="BI211" s="156"/>
      <c r="BJ211" s="70"/>
    </row>
    <row r="212" spans="1:62" s="13" customFormat="1" x14ac:dyDescent="0.25">
      <c r="A212" s="70">
        <f t="shared" si="367"/>
        <v>210</v>
      </c>
      <c r="B212" s="122">
        <v>2390</v>
      </c>
      <c r="C212" s="134" t="s">
        <v>41</v>
      </c>
      <c r="D212" s="134" t="s">
        <v>1405</v>
      </c>
      <c r="E212" s="146" t="s">
        <v>1376</v>
      </c>
      <c r="F212" s="114" t="s">
        <v>1440</v>
      </c>
      <c r="G212" s="147"/>
      <c r="H212" s="122" t="s">
        <v>43</v>
      </c>
      <c r="I212" s="82">
        <v>45915</v>
      </c>
      <c r="J212" s="137"/>
      <c r="K212" s="82"/>
      <c r="L212" s="102"/>
      <c r="M212" s="128" t="s">
        <v>44</v>
      </c>
      <c r="N212" s="117" t="s">
        <v>959</v>
      </c>
      <c r="O212" s="114" t="s">
        <v>69</v>
      </c>
      <c r="P212" s="70" t="s">
        <v>46</v>
      </c>
      <c r="Q212" s="70" t="s">
        <v>412</v>
      </c>
      <c r="R212" s="125">
        <v>26136</v>
      </c>
      <c r="S212" s="83"/>
      <c r="T212" s="116"/>
      <c r="U212" s="119">
        <f t="shared" si="520"/>
        <v>26136</v>
      </c>
      <c r="V212" s="119">
        <v>24568</v>
      </c>
      <c r="W212" s="119">
        <f>+U212*0.5</f>
        <v>13068</v>
      </c>
      <c r="X212" s="125">
        <f t="shared" si="521"/>
        <v>6534</v>
      </c>
      <c r="Y212" s="118">
        <f t="shared" si="522"/>
        <v>4966</v>
      </c>
      <c r="Z212" s="118">
        <f t="shared" si="523"/>
        <v>24568</v>
      </c>
      <c r="AA212" s="119">
        <v>30</v>
      </c>
      <c r="AB212" s="115">
        <v>7.5</v>
      </c>
      <c r="AC212" s="115">
        <v>3.5</v>
      </c>
      <c r="AD212" s="115">
        <v>1</v>
      </c>
      <c r="AE212" s="115"/>
      <c r="AF212" s="115">
        <f t="shared" si="524"/>
        <v>5</v>
      </c>
      <c r="AG212" s="115">
        <f t="shared" si="525"/>
        <v>35</v>
      </c>
      <c r="AH212" s="101">
        <f t="shared" si="456"/>
        <v>30</v>
      </c>
      <c r="AI212" s="118">
        <f t="shared" si="526"/>
        <v>26136</v>
      </c>
      <c r="AJ212" s="118">
        <f t="shared" si="527"/>
        <v>24568</v>
      </c>
      <c r="AK212" s="118">
        <f t="shared" si="528"/>
        <v>13068</v>
      </c>
      <c r="AL212" s="118">
        <f t="shared" si="529"/>
        <v>6534</v>
      </c>
      <c r="AM212" s="118">
        <f t="shared" si="530"/>
        <v>4966</v>
      </c>
      <c r="AN212" s="119">
        <f t="shared" si="531"/>
        <v>0</v>
      </c>
      <c r="AO212" s="119">
        <f t="shared" si="532"/>
        <v>1568</v>
      </c>
      <c r="AP212" s="118">
        <f t="shared" si="533"/>
        <v>26136</v>
      </c>
      <c r="AQ212" s="118">
        <v>0</v>
      </c>
      <c r="AR212" s="118">
        <f t="shared" si="534"/>
        <v>0</v>
      </c>
      <c r="AS212" s="118">
        <f t="shared" si="535"/>
        <v>0</v>
      </c>
      <c r="AT212" s="118">
        <f t="shared" si="535"/>
        <v>1568</v>
      </c>
      <c r="AU212" s="118">
        <f t="shared" si="536"/>
        <v>1568</v>
      </c>
      <c r="AV212" s="118"/>
      <c r="AW212" s="118">
        <v>0</v>
      </c>
      <c r="AX212" s="118">
        <f t="shared" si="537"/>
        <v>0</v>
      </c>
      <c r="AY212" s="120"/>
      <c r="AZ212" s="120">
        <v>1000</v>
      </c>
      <c r="BA212" s="118">
        <f t="shared" si="538"/>
        <v>22000</v>
      </c>
      <c r="BB212" s="31" t="s">
        <v>455</v>
      </c>
      <c r="BC212" s="34" t="s">
        <v>1384</v>
      </c>
      <c r="BD212" s="34" t="s">
        <v>1383</v>
      </c>
      <c r="BE212" s="102"/>
      <c r="BF212" s="102"/>
      <c r="BG212" s="70" t="s">
        <v>48</v>
      </c>
      <c r="BH212" s="125">
        <v>0</v>
      </c>
      <c r="BI212" s="156"/>
      <c r="BJ212" s="70"/>
    </row>
    <row r="213" spans="1:62" s="13" customFormat="1" x14ac:dyDescent="0.25">
      <c r="A213" s="70">
        <f t="shared" si="367"/>
        <v>211</v>
      </c>
      <c r="B213" s="122">
        <v>2391</v>
      </c>
      <c r="C213" s="134" t="s">
        <v>1400</v>
      </c>
      <c r="D213" s="134" t="s">
        <v>1406</v>
      </c>
      <c r="E213" s="146" t="s">
        <v>1378</v>
      </c>
      <c r="F213" s="114" t="s">
        <v>1441</v>
      </c>
      <c r="G213" s="147"/>
      <c r="H213" s="122" t="s">
        <v>43</v>
      </c>
      <c r="I213" s="82">
        <v>45916</v>
      </c>
      <c r="J213" s="137"/>
      <c r="K213" s="82"/>
      <c r="L213" s="102"/>
      <c r="M213" s="128" t="s">
        <v>44</v>
      </c>
      <c r="N213" s="117" t="s">
        <v>959</v>
      </c>
      <c r="O213" s="114" t="s">
        <v>1128</v>
      </c>
      <c r="P213" s="70" t="s">
        <v>412</v>
      </c>
      <c r="Q213" s="70" t="s">
        <v>412</v>
      </c>
      <c r="R213" s="125">
        <v>21664</v>
      </c>
      <c r="S213" s="83"/>
      <c r="T213" s="116"/>
      <c r="U213" s="119">
        <f t="shared" si="520"/>
        <v>21664</v>
      </c>
      <c r="V213" s="119">
        <v>19587</v>
      </c>
      <c r="W213" s="119">
        <v>12000</v>
      </c>
      <c r="X213" s="125">
        <f t="shared" si="521"/>
        <v>6000</v>
      </c>
      <c r="Y213" s="118">
        <f t="shared" si="522"/>
        <v>1587</v>
      </c>
      <c r="Z213" s="118">
        <f t="shared" si="523"/>
        <v>19587</v>
      </c>
      <c r="AA213" s="119">
        <v>30</v>
      </c>
      <c r="AB213" s="115">
        <v>1.5</v>
      </c>
      <c r="AC213" s="115">
        <v>3</v>
      </c>
      <c r="AD213" s="115">
        <v>1</v>
      </c>
      <c r="AE213" s="115"/>
      <c r="AF213" s="115">
        <f t="shared" si="524"/>
        <v>-0.5</v>
      </c>
      <c r="AG213" s="115">
        <f t="shared" si="525"/>
        <v>29.5</v>
      </c>
      <c r="AH213" s="101">
        <f t="shared" si="456"/>
        <v>29.5</v>
      </c>
      <c r="AI213" s="118">
        <f t="shared" si="526"/>
        <v>21303</v>
      </c>
      <c r="AJ213" s="118">
        <f t="shared" si="527"/>
        <v>19261</v>
      </c>
      <c r="AK213" s="118">
        <f t="shared" si="528"/>
        <v>11800</v>
      </c>
      <c r="AL213" s="118">
        <f t="shared" si="529"/>
        <v>5900</v>
      </c>
      <c r="AM213" s="118">
        <f t="shared" si="530"/>
        <v>1561</v>
      </c>
      <c r="AN213" s="119">
        <f t="shared" si="531"/>
        <v>626</v>
      </c>
      <c r="AO213" s="119">
        <f t="shared" si="532"/>
        <v>1416</v>
      </c>
      <c r="AP213" s="118">
        <f t="shared" si="533"/>
        <v>21303</v>
      </c>
      <c r="AQ213" s="118">
        <v>0</v>
      </c>
      <c r="AR213" s="118">
        <f t="shared" si="534"/>
        <v>145</v>
      </c>
      <c r="AS213" s="118">
        <f t="shared" si="535"/>
        <v>626</v>
      </c>
      <c r="AT213" s="118">
        <f t="shared" si="535"/>
        <v>1416</v>
      </c>
      <c r="AU213" s="118">
        <f t="shared" si="536"/>
        <v>1416</v>
      </c>
      <c r="AV213" s="118"/>
      <c r="AW213" s="118">
        <v>0</v>
      </c>
      <c r="AX213" s="118">
        <f t="shared" si="537"/>
        <v>0</v>
      </c>
      <c r="AY213" s="120"/>
      <c r="AZ213" s="120">
        <v>0</v>
      </c>
      <c r="BA213" s="118">
        <f t="shared" si="538"/>
        <v>17700</v>
      </c>
      <c r="BB213" s="31" t="s">
        <v>851</v>
      </c>
      <c r="BC213" s="34" t="s">
        <v>351</v>
      </c>
      <c r="BD213" s="34" t="s">
        <v>1387</v>
      </c>
      <c r="BE213" s="102"/>
      <c r="BF213" s="102"/>
      <c r="BG213" s="70" t="s">
        <v>48</v>
      </c>
      <c r="BH213" s="125">
        <v>0</v>
      </c>
      <c r="BI213" s="156"/>
      <c r="BJ213" s="70"/>
    </row>
    <row r="214" spans="1:62" s="13" customFormat="1" x14ac:dyDescent="0.25">
      <c r="A214" s="70">
        <f t="shared" si="367"/>
        <v>212</v>
      </c>
      <c r="B214" s="122">
        <v>2393</v>
      </c>
      <c r="C214" s="134" t="s">
        <v>41</v>
      </c>
      <c r="D214" s="134" t="s">
        <v>1407</v>
      </c>
      <c r="E214" s="146" t="s">
        <v>1388</v>
      </c>
      <c r="F214" s="114" t="s">
        <v>1442</v>
      </c>
      <c r="G214" s="147"/>
      <c r="H214" s="122" t="s">
        <v>43</v>
      </c>
      <c r="I214" s="82">
        <v>45919</v>
      </c>
      <c r="J214" s="137"/>
      <c r="K214" s="82"/>
      <c r="L214" s="102"/>
      <c r="M214" s="128" t="s">
        <v>44</v>
      </c>
      <c r="N214" s="117" t="s">
        <v>959</v>
      </c>
      <c r="O214" s="114" t="s">
        <v>1391</v>
      </c>
      <c r="P214" s="70" t="s">
        <v>46</v>
      </c>
      <c r="Q214" s="70" t="s">
        <v>412</v>
      </c>
      <c r="R214" s="125">
        <v>22808</v>
      </c>
      <c r="S214" s="83"/>
      <c r="T214" s="116"/>
      <c r="U214" s="119">
        <f t="shared" ref="U214" si="539">R214+S214</f>
        <v>22808</v>
      </c>
      <c r="V214" s="119">
        <v>21404</v>
      </c>
      <c r="W214" s="119">
        <v>11700</v>
      </c>
      <c r="X214" s="125">
        <f t="shared" ref="X214" si="540">+W214*0.5</f>
        <v>5850</v>
      </c>
      <c r="Y214" s="118">
        <f t="shared" ref="Y214" si="541">+V214-W214-X214</f>
        <v>3854</v>
      </c>
      <c r="Z214" s="118">
        <f t="shared" ref="Z214" si="542">+W214+X214+Y214</f>
        <v>21404</v>
      </c>
      <c r="AA214" s="119">
        <v>30</v>
      </c>
      <c r="AB214" s="115">
        <v>0.5</v>
      </c>
      <c r="AC214" s="115">
        <v>0</v>
      </c>
      <c r="AD214" s="115">
        <v>1</v>
      </c>
      <c r="AE214" s="115"/>
      <c r="AF214" s="115">
        <f t="shared" ref="AF214" si="543">AB214+AD214+AE214-AC214</f>
        <v>1.5</v>
      </c>
      <c r="AG214" s="115">
        <f t="shared" ref="AG214" si="544">+AF214+AA214</f>
        <v>31.5</v>
      </c>
      <c r="AH214" s="101">
        <f t="shared" si="456"/>
        <v>30</v>
      </c>
      <c r="AI214" s="118">
        <f t="shared" ref="AI214" si="545">ROUND(U214*AH214/AA214,0)</f>
        <v>22808</v>
      </c>
      <c r="AJ214" s="118">
        <f t="shared" ref="AJ214" si="546">ROUND(Z214*AH214/AA214,0)</f>
        <v>21404</v>
      </c>
      <c r="AK214" s="118">
        <f t="shared" ref="AK214" si="547">ROUND(W214*AH214/AA214,0)</f>
        <v>11700</v>
      </c>
      <c r="AL214" s="118">
        <f t="shared" ref="AL214" si="548">ROUND(X214*AH214/AA214,0)</f>
        <v>5850</v>
      </c>
      <c r="AM214" s="118">
        <f t="shared" ref="AM214" si="549">ROUND(Y214*AH214/AA214,0)</f>
        <v>3854</v>
      </c>
      <c r="AN214" s="119">
        <f t="shared" ref="AN214" si="550">ROUNDUP(IF(V214&gt;=21000,0,AJ214*3.25%),0)</f>
        <v>0</v>
      </c>
      <c r="AO214" s="119">
        <f t="shared" ref="AO214" si="551">ROUND(IF(AK214&lt;15001,AK214*12%,1800),0)</f>
        <v>1404</v>
      </c>
      <c r="AP214" s="118">
        <f t="shared" ref="AP214" si="552">SUM(AK214:AO214)</f>
        <v>22808</v>
      </c>
      <c r="AQ214" s="118">
        <v>0</v>
      </c>
      <c r="AR214" s="118">
        <f t="shared" ref="AR214" si="553">ROUNDUP(IF(V214&gt;=21000,0,AJ214*0.75%),0)</f>
        <v>0</v>
      </c>
      <c r="AS214" s="118">
        <f t="shared" ref="AS214" si="554">AN214</f>
        <v>0</v>
      </c>
      <c r="AT214" s="118">
        <f t="shared" ref="AT214" si="555">AO214</f>
        <v>1404</v>
      </c>
      <c r="AU214" s="118">
        <f t="shared" ref="AU214" si="556">AO214</f>
        <v>1404</v>
      </c>
      <c r="AV214" s="118"/>
      <c r="AW214" s="118">
        <v>0</v>
      </c>
      <c r="AX214" s="118">
        <f t="shared" ref="AX214" si="557">+AV214-AW214</f>
        <v>0</v>
      </c>
      <c r="AY214" s="120"/>
      <c r="AZ214" s="120">
        <v>0</v>
      </c>
      <c r="BA214" s="118">
        <f t="shared" ref="BA214" si="558">AP214-AQ214-AR214-AS214-AT214-AU214-AW214+AY214-AZ214</f>
        <v>20000</v>
      </c>
      <c r="BB214" s="31" t="s">
        <v>393</v>
      </c>
      <c r="BC214" s="34" t="s">
        <v>1390</v>
      </c>
      <c r="BD214" s="34" t="s">
        <v>1389</v>
      </c>
      <c r="BE214" s="102"/>
      <c r="BF214" s="102"/>
      <c r="BG214" s="70" t="s">
        <v>48</v>
      </c>
      <c r="BH214" s="125">
        <v>0</v>
      </c>
      <c r="BI214" s="156"/>
      <c r="BJ214" s="70"/>
    </row>
    <row r="215" spans="1:62" s="13" customFormat="1" x14ac:dyDescent="0.25">
      <c r="A215" s="70">
        <f t="shared" si="367"/>
        <v>213</v>
      </c>
      <c r="B215" s="122">
        <v>2395</v>
      </c>
      <c r="C215" s="134" t="s">
        <v>41</v>
      </c>
      <c r="D215" s="134" t="s">
        <v>1443</v>
      </c>
      <c r="E215" s="146" t="s">
        <v>1410</v>
      </c>
      <c r="F215" s="114" t="s">
        <v>1421</v>
      </c>
      <c r="G215" s="147"/>
      <c r="H215" s="122" t="s">
        <v>43</v>
      </c>
      <c r="I215" s="82">
        <v>45939</v>
      </c>
      <c r="J215" s="137"/>
      <c r="K215" s="82"/>
      <c r="L215" s="102"/>
      <c r="M215" s="128" t="s">
        <v>44</v>
      </c>
      <c r="N215" s="117" t="s">
        <v>959</v>
      </c>
      <c r="O215" s="114" t="s">
        <v>1412</v>
      </c>
      <c r="P215" s="70"/>
      <c r="Q215" s="70"/>
      <c r="R215" s="125">
        <v>23864</v>
      </c>
      <c r="S215" s="83"/>
      <c r="T215" s="116"/>
      <c r="U215" s="119">
        <f>+R215</f>
        <v>23864</v>
      </c>
      <c r="V215" s="119">
        <v>22432</v>
      </c>
      <c r="W215" s="119">
        <f>+U215*0.5</f>
        <v>11932</v>
      </c>
      <c r="X215" s="125">
        <f t="shared" ref="X215" si="559">+W215*0.5</f>
        <v>5966</v>
      </c>
      <c r="Y215" s="118">
        <f t="shared" ref="Y215" si="560">+V215-W215-X215</f>
        <v>4534</v>
      </c>
      <c r="Z215" s="118">
        <f t="shared" ref="Z215" si="561">+W215+X215+Y215</f>
        <v>22432</v>
      </c>
      <c r="AA215" s="119">
        <v>30</v>
      </c>
      <c r="AB215" s="115">
        <v>0</v>
      </c>
      <c r="AC215" s="115">
        <v>1</v>
      </c>
      <c r="AD215" s="115">
        <v>1</v>
      </c>
      <c r="AE215" s="115"/>
      <c r="AF215" s="115">
        <f t="shared" ref="AF215" si="562">AB215+AD215+AE215-AC215</f>
        <v>0</v>
      </c>
      <c r="AG215" s="115">
        <f t="shared" ref="AG215" si="563">+AF215+AA215</f>
        <v>30</v>
      </c>
      <c r="AH215" s="101">
        <f t="shared" si="456"/>
        <v>30</v>
      </c>
      <c r="AI215" s="118">
        <f t="shared" ref="AI215" si="564">ROUND(U215*AH215/AA215,0)</f>
        <v>23864</v>
      </c>
      <c r="AJ215" s="118">
        <f t="shared" ref="AJ215" si="565">ROUND(Z215*AH215/AA215,0)</f>
        <v>22432</v>
      </c>
      <c r="AK215" s="118">
        <f t="shared" ref="AK215" si="566">ROUND(W215*AH215/AA215,0)</f>
        <v>11932</v>
      </c>
      <c r="AL215" s="118">
        <f t="shared" ref="AL215" si="567">ROUND(X215*AH215/AA215,0)</f>
        <v>5966</v>
      </c>
      <c r="AM215" s="118">
        <f t="shared" ref="AM215" si="568">ROUND(Y215*AH215/AA215,0)</f>
        <v>4534</v>
      </c>
      <c r="AN215" s="119">
        <f t="shared" ref="AN215" si="569">ROUNDUP(IF(V215&gt;=21000,0,AJ215*3.25%),0)</f>
        <v>0</v>
      </c>
      <c r="AO215" s="119">
        <f t="shared" ref="AO215" si="570">ROUND(IF(AK215&lt;15001,AK215*12%,1800),0)</f>
        <v>1432</v>
      </c>
      <c r="AP215" s="118">
        <f t="shared" ref="AP215" si="571">SUM(AK215:AO215)</f>
        <v>23864</v>
      </c>
      <c r="AQ215" s="118">
        <v>0</v>
      </c>
      <c r="AR215" s="118">
        <f t="shared" ref="AR215" si="572">ROUNDUP(IF(V215&gt;=21000,0,AJ215*0.75%),0)</f>
        <v>0</v>
      </c>
      <c r="AS215" s="118">
        <f t="shared" ref="AS215" si="573">AN215</f>
        <v>0</v>
      </c>
      <c r="AT215" s="118">
        <f t="shared" ref="AT215" si="574">AO215</f>
        <v>1432</v>
      </c>
      <c r="AU215" s="118">
        <f t="shared" ref="AU215" si="575">AO215</f>
        <v>1432</v>
      </c>
      <c r="AV215" s="118"/>
      <c r="AW215" s="118">
        <v>0</v>
      </c>
      <c r="AX215" s="118">
        <f t="shared" ref="AX215" si="576">+AV215-AW215</f>
        <v>0</v>
      </c>
      <c r="AY215" s="120"/>
      <c r="AZ215" s="120">
        <v>0</v>
      </c>
      <c r="BA215" s="118">
        <f t="shared" ref="BA215" si="577">AP215-AQ215-AR215-AS215-AT215-AU215-AW215+AY215-AZ215</f>
        <v>21000</v>
      </c>
      <c r="BB215" s="31" t="s">
        <v>543</v>
      </c>
      <c r="BC215" s="34" t="s">
        <v>1430</v>
      </c>
      <c r="BD215" s="34" t="s">
        <v>1422</v>
      </c>
      <c r="BE215" s="102"/>
      <c r="BF215" s="102"/>
      <c r="BG215" s="70" t="s">
        <v>48</v>
      </c>
      <c r="BH215" s="125">
        <v>0</v>
      </c>
      <c r="BI215" s="156"/>
      <c r="BJ215" s="70"/>
    </row>
    <row r="216" spans="1:62" s="13" customFormat="1" x14ac:dyDescent="0.25">
      <c r="A216" s="70">
        <f t="shared" si="367"/>
        <v>214</v>
      </c>
      <c r="B216" s="122">
        <v>2397</v>
      </c>
      <c r="C216" s="134" t="s">
        <v>41</v>
      </c>
      <c r="D216" s="134" t="s">
        <v>1444</v>
      </c>
      <c r="E216" s="146" t="s">
        <v>1411</v>
      </c>
      <c r="F216" s="114" t="s">
        <v>1418</v>
      </c>
      <c r="G216" s="147">
        <v>8384818073</v>
      </c>
      <c r="H216" s="122" t="s">
        <v>43</v>
      </c>
      <c r="I216" s="82">
        <v>45953</v>
      </c>
      <c r="J216" s="137"/>
      <c r="K216" s="82"/>
      <c r="L216" s="102"/>
      <c r="M216" s="128" t="s">
        <v>44</v>
      </c>
      <c r="N216" s="117" t="s">
        <v>945</v>
      </c>
      <c r="O216" s="114" t="s">
        <v>388</v>
      </c>
      <c r="P216" s="70"/>
      <c r="Q216" s="70"/>
      <c r="R216" s="125">
        <v>80000</v>
      </c>
      <c r="S216" s="83"/>
      <c r="T216" s="116"/>
      <c r="U216" s="119">
        <f>+R216</f>
        <v>80000</v>
      </c>
      <c r="V216" s="119">
        <v>78200</v>
      </c>
      <c r="W216" s="119">
        <f>+U216*0.5</f>
        <v>40000</v>
      </c>
      <c r="X216" s="125">
        <f t="shared" ref="X216" si="578">+W216*0.5</f>
        <v>20000</v>
      </c>
      <c r="Y216" s="118">
        <f t="shared" ref="Y216" si="579">+V216-W216-X216</f>
        <v>18200</v>
      </c>
      <c r="Z216" s="118">
        <f t="shared" ref="Z216" si="580">+W216+X216+Y216</f>
        <v>78200</v>
      </c>
      <c r="AA216" s="119">
        <v>30</v>
      </c>
      <c r="AB216" s="115">
        <v>0</v>
      </c>
      <c r="AC216" s="115">
        <v>0</v>
      </c>
      <c r="AD216" s="115">
        <v>1</v>
      </c>
      <c r="AE216" s="115"/>
      <c r="AF216" s="115">
        <f t="shared" ref="AF216" si="581">AB216+AD216+AE216-AC216</f>
        <v>1</v>
      </c>
      <c r="AG216" s="115">
        <f t="shared" ref="AG216" si="582">+AF216+AA216</f>
        <v>31</v>
      </c>
      <c r="AH216" s="101">
        <f t="shared" ref="AH216" si="583">IF(AG216&gt;30,30,IF(AG216&lt;=30,AG216))</f>
        <v>30</v>
      </c>
      <c r="AI216" s="118">
        <f t="shared" ref="AI216" si="584">ROUND(U216*AH216/AA216,0)</f>
        <v>80000</v>
      </c>
      <c r="AJ216" s="118">
        <f t="shared" ref="AJ216" si="585">ROUND(Z216*AH216/AA216,0)</f>
        <v>78200</v>
      </c>
      <c r="AK216" s="118">
        <f t="shared" ref="AK216" si="586">ROUND(W216*AH216/AA216,0)</f>
        <v>40000</v>
      </c>
      <c r="AL216" s="118">
        <f t="shared" ref="AL216" si="587">ROUND(X216*AH216/AA216,0)</f>
        <v>20000</v>
      </c>
      <c r="AM216" s="118">
        <f t="shared" ref="AM216" si="588">ROUND(Y216*AH216/AA216,0)</f>
        <v>18200</v>
      </c>
      <c r="AN216" s="119">
        <f t="shared" ref="AN216" si="589">ROUNDUP(IF(V216&gt;=21000,0,AJ216*3.25%),0)</f>
        <v>0</v>
      </c>
      <c r="AO216" s="119">
        <f t="shared" ref="AO216" si="590">ROUND(IF(AK216&lt;15001,AK216*12%,1800),0)</f>
        <v>1800</v>
      </c>
      <c r="AP216" s="118">
        <f t="shared" ref="AP216" si="591">SUM(AK216:AO216)</f>
        <v>80000</v>
      </c>
      <c r="AQ216" s="118">
        <v>0</v>
      </c>
      <c r="AR216" s="118">
        <f t="shared" ref="AR216" si="592">ROUNDUP(IF(V216&gt;=21000,0,AJ216*0.75%),0)</f>
        <v>0</v>
      </c>
      <c r="AS216" s="118">
        <f t="shared" ref="AS216" si="593">AN216</f>
        <v>0</v>
      </c>
      <c r="AT216" s="118">
        <f t="shared" ref="AT216" si="594">AO216</f>
        <v>1800</v>
      </c>
      <c r="AU216" s="118">
        <f t="shared" ref="AU216" si="595">AO216</f>
        <v>1800</v>
      </c>
      <c r="AV216" s="118"/>
      <c r="AW216" s="118">
        <v>0</v>
      </c>
      <c r="AX216" s="118">
        <f t="shared" ref="AX216" si="596">+AV216-AW216</f>
        <v>0</v>
      </c>
      <c r="AY216" s="120"/>
      <c r="AZ216" s="120">
        <v>0</v>
      </c>
      <c r="BA216" s="118">
        <f t="shared" ref="BA216" si="597">AP216-AQ216-AR216-AS216-AT216-AU216-AW216+AY216-AZ216</f>
        <v>76400</v>
      </c>
      <c r="BB216" s="31" t="s">
        <v>1419</v>
      </c>
      <c r="BC216" s="34" t="s">
        <v>1256</v>
      </c>
      <c r="BD216" s="34" t="s">
        <v>1420</v>
      </c>
      <c r="BE216" s="102"/>
      <c r="BF216" s="102"/>
      <c r="BG216" s="70" t="s">
        <v>48</v>
      </c>
      <c r="BH216" s="125">
        <v>0</v>
      </c>
      <c r="BI216" s="156"/>
      <c r="BJ216" s="70"/>
    </row>
    <row r="217" spans="1:62" s="240" customFormat="1" x14ac:dyDescent="0.25">
      <c r="A217" s="241">
        <f t="shared" si="367"/>
        <v>215</v>
      </c>
      <c r="B217" s="242">
        <v>2399</v>
      </c>
      <c r="C217" s="243" t="s">
        <v>1539</v>
      </c>
      <c r="D217" s="243" t="s">
        <v>1545</v>
      </c>
      <c r="E217" s="244" t="s">
        <v>1457</v>
      </c>
      <c r="F217" s="245" t="s">
        <v>1492</v>
      </c>
      <c r="G217" s="246"/>
      <c r="H217" s="242" t="s">
        <v>43</v>
      </c>
      <c r="I217" s="225">
        <v>45964</v>
      </c>
      <c r="J217" s="247"/>
      <c r="K217" s="225">
        <v>45978</v>
      </c>
      <c r="L217" s="248"/>
      <c r="M217" s="249" t="s">
        <v>44</v>
      </c>
      <c r="N217" s="250" t="s">
        <v>959</v>
      </c>
      <c r="O217" s="245" t="s">
        <v>975</v>
      </c>
      <c r="P217" s="241" t="s">
        <v>412</v>
      </c>
      <c r="Q217" s="241" t="s">
        <v>412</v>
      </c>
      <c r="R217" s="251">
        <v>22000</v>
      </c>
      <c r="S217" s="252"/>
      <c r="T217" s="253"/>
      <c r="U217" s="254">
        <f t="shared" ref="U217:U223" si="598">+R217</f>
        <v>22000</v>
      </c>
      <c r="V217" s="254">
        <v>20029</v>
      </c>
      <c r="W217" s="254">
        <f t="shared" ref="W217:W225" si="599">+U217*0.5</f>
        <v>11000</v>
      </c>
      <c r="X217" s="251">
        <f t="shared" ref="X217:X225" si="600">+W217*0.5</f>
        <v>5500</v>
      </c>
      <c r="Y217" s="255">
        <f t="shared" ref="Y217:Y225" si="601">+V217-W217-X217</f>
        <v>3529</v>
      </c>
      <c r="Z217" s="255">
        <f t="shared" ref="Z217:Z225" si="602">+W217+X217+Y217</f>
        <v>20029</v>
      </c>
      <c r="AA217" s="254">
        <v>30</v>
      </c>
      <c r="AB217" s="256">
        <v>0</v>
      </c>
      <c r="AC217" s="256">
        <v>17</v>
      </c>
      <c r="AD217" s="256">
        <v>1</v>
      </c>
      <c r="AE217" s="256"/>
      <c r="AF217" s="256">
        <f t="shared" ref="AF217:AF225" si="603">AB217+AD217+AE217-AC217</f>
        <v>-16</v>
      </c>
      <c r="AG217" s="256">
        <f t="shared" ref="AG217:AG225" si="604">+AF217+AA217</f>
        <v>14</v>
      </c>
      <c r="AH217" s="257">
        <f t="shared" ref="AH217:AH225" si="605">IF(AG217&gt;30,30,IF(AG217&lt;=30,AG217))</f>
        <v>14</v>
      </c>
      <c r="AI217" s="255">
        <f t="shared" ref="AI217:AI225" si="606">ROUND(U217*AH217/AA217,0)</f>
        <v>10267</v>
      </c>
      <c r="AJ217" s="255">
        <f t="shared" ref="AJ217:AJ225" si="607">ROUND(Z217*AH217/AA217,0)</f>
        <v>9347</v>
      </c>
      <c r="AK217" s="255">
        <f t="shared" ref="AK217:AK225" si="608">ROUND(W217*AH217/AA217,0)</f>
        <v>5133</v>
      </c>
      <c r="AL217" s="255">
        <f t="shared" ref="AL217:AL225" si="609">ROUND(X217*AH217/AA217,0)</f>
        <v>2567</v>
      </c>
      <c r="AM217" s="255">
        <f t="shared" ref="AM217:AM225" si="610">ROUND(Y217*AH217/AA217,0)</f>
        <v>1647</v>
      </c>
      <c r="AN217" s="254">
        <f t="shared" ref="AN217:AN225" si="611">ROUNDUP(IF(V217&gt;=21000,0,AJ217*3.25%),0)</f>
        <v>304</v>
      </c>
      <c r="AO217" s="254">
        <f t="shared" ref="AO217:AO225" si="612">ROUND(IF(AK217&lt;15001,AK217*12%,1800),0)</f>
        <v>616</v>
      </c>
      <c r="AP217" s="255">
        <f t="shared" ref="AP217:AP225" si="613">SUM(AK217:AO217)</f>
        <v>10267</v>
      </c>
      <c r="AQ217" s="255">
        <v>0</v>
      </c>
      <c r="AR217" s="255">
        <f t="shared" ref="AR217:AR225" si="614">ROUNDUP(IF(V217&gt;=21000,0,AJ217*0.75%),0)</f>
        <v>71</v>
      </c>
      <c r="AS217" s="255">
        <f t="shared" ref="AS217:AS225" si="615">AN217</f>
        <v>304</v>
      </c>
      <c r="AT217" s="255">
        <f t="shared" ref="AT217:AT225" si="616">AO217</f>
        <v>616</v>
      </c>
      <c r="AU217" s="255">
        <f t="shared" ref="AU217:AU225" si="617">AO217</f>
        <v>616</v>
      </c>
      <c r="AV217" s="255"/>
      <c r="AW217" s="255">
        <v>0</v>
      </c>
      <c r="AX217" s="255">
        <f t="shared" ref="AX217:AX225" si="618">+AV217-AW217</f>
        <v>0</v>
      </c>
      <c r="AY217" s="258">
        <v>10267</v>
      </c>
      <c r="AZ217" s="258">
        <v>500</v>
      </c>
      <c r="BA217" s="255">
        <f t="shared" ref="BA217:BA225" si="619">AP217-AQ217-AR217-AS217-AT217-AU217-AW217+AY217-AZ217</f>
        <v>18427</v>
      </c>
      <c r="BB217" s="259" t="s">
        <v>1502</v>
      </c>
      <c r="BC217" s="260" t="s">
        <v>1503</v>
      </c>
      <c r="BD217" s="260" t="s">
        <v>1504</v>
      </c>
      <c r="BE217" s="248"/>
      <c r="BF217" s="248"/>
      <c r="BG217" s="241" t="s">
        <v>48</v>
      </c>
      <c r="BH217" s="251">
        <v>0</v>
      </c>
      <c r="BI217" s="261"/>
      <c r="BJ217" s="241"/>
    </row>
    <row r="218" spans="1:62" s="240" customFormat="1" x14ac:dyDescent="0.25">
      <c r="A218" s="241">
        <f t="shared" si="367"/>
        <v>216</v>
      </c>
      <c r="B218" s="242">
        <v>2401</v>
      </c>
      <c r="C218" s="243" t="s">
        <v>1540</v>
      </c>
      <c r="D218" s="243" t="s">
        <v>1537</v>
      </c>
      <c r="E218" s="244" t="s">
        <v>1458</v>
      </c>
      <c r="F218" s="245" t="s">
        <v>1493</v>
      </c>
      <c r="G218" s="262" t="s">
        <v>1546</v>
      </c>
      <c r="H218" s="242" t="s">
        <v>43</v>
      </c>
      <c r="I218" s="225">
        <v>45964</v>
      </c>
      <c r="J218" s="247"/>
      <c r="K218" s="225">
        <v>45969</v>
      </c>
      <c r="L218" s="248"/>
      <c r="M218" s="249" t="s">
        <v>44</v>
      </c>
      <c r="N218" s="250" t="s">
        <v>959</v>
      </c>
      <c r="O218" s="245" t="s">
        <v>1143</v>
      </c>
      <c r="P218" s="241" t="s">
        <v>412</v>
      </c>
      <c r="Q218" s="241" t="s">
        <v>412</v>
      </c>
      <c r="R218" s="251">
        <v>22000</v>
      </c>
      <c r="S218" s="252"/>
      <c r="T218" s="253"/>
      <c r="U218" s="254">
        <f t="shared" si="598"/>
        <v>22000</v>
      </c>
      <c r="V218" s="254">
        <v>20029</v>
      </c>
      <c r="W218" s="254">
        <f t="shared" si="599"/>
        <v>11000</v>
      </c>
      <c r="X218" s="251">
        <f t="shared" si="600"/>
        <v>5500</v>
      </c>
      <c r="Y218" s="255">
        <f t="shared" si="601"/>
        <v>3529</v>
      </c>
      <c r="Z218" s="255">
        <f t="shared" si="602"/>
        <v>20029</v>
      </c>
      <c r="AA218" s="254">
        <v>30</v>
      </c>
      <c r="AB218" s="256">
        <v>0</v>
      </c>
      <c r="AC218" s="256">
        <f>2+5</f>
        <v>7</v>
      </c>
      <c r="AD218" s="256"/>
      <c r="AE218" s="256"/>
      <c r="AF218" s="256">
        <f t="shared" si="603"/>
        <v>-7</v>
      </c>
      <c r="AG218" s="256">
        <f t="shared" si="604"/>
        <v>23</v>
      </c>
      <c r="AH218" s="257">
        <f t="shared" si="605"/>
        <v>23</v>
      </c>
      <c r="AI218" s="255">
        <f t="shared" si="606"/>
        <v>16867</v>
      </c>
      <c r="AJ218" s="255">
        <f t="shared" si="607"/>
        <v>15356</v>
      </c>
      <c r="AK218" s="255">
        <f t="shared" si="608"/>
        <v>8433</v>
      </c>
      <c r="AL218" s="255">
        <f t="shared" si="609"/>
        <v>4217</v>
      </c>
      <c r="AM218" s="255">
        <f t="shared" si="610"/>
        <v>2706</v>
      </c>
      <c r="AN218" s="254">
        <f t="shared" si="611"/>
        <v>500</v>
      </c>
      <c r="AO218" s="254">
        <f t="shared" si="612"/>
        <v>1012</v>
      </c>
      <c r="AP218" s="255">
        <f t="shared" si="613"/>
        <v>16868</v>
      </c>
      <c r="AQ218" s="255">
        <v>0</v>
      </c>
      <c r="AR218" s="255">
        <f t="shared" si="614"/>
        <v>116</v>
      </c>
      <c r="AS218" s="255">
        <f t="shared" si="615"/>
        <v>500</v>
      </c>
      <c r="AT218" s="255">
        <f t="shared" si="616"/>
        <v>1012</v>
      </c>
      <c r="AU218" s="255">
        <f t="shared" si="617"/>
        <v>1012</v>
      </c>
      <c r="AV218" s="255"/>
      <c r="AW218" s="255">
        <v>0</v>
      </c>
      <c r="AX218" s="255">
        <f t="shared" si="618"/>
        <v>0</v>
      </c>
      <c r="AY218" s="258">
        <v>3667</v>
      </c>
      <c r="AZ218" s="258">
        <v>0</v>
      </c>
      <c r="BA218" s="255">
        <f t="shared" si="619"/>
        <v>17895</v>
      </c>
      <c r="BB218" s="259" t="s">
        <v>1502</v>
      </c>
      <c r="BC218" s="260" t="s">
        <v>1505</v>
      </c>
      <c r="BD218" s="260" t="s">
        <v>1506</v>
      </c>
      <c r="BE218" s="248"/>
      <c r="BF218" s="248"/>
      <c r="BG218" s="241" t="s">
        <v>48</v>
      </c>
      <c r="BH218" s="251">
        <v>0</v>
      </c>
      <c r="BI218" s="261"/>
      <c r="BJ218" s="241"/>
    </row>
    <row r="219" spans="1:62" s="240" customFormat="1" x14ac:dyDescent="0.25">
      <c r="A219" s="241">
        <f t="shared" si="367"/>
        <v>217</v>
      </c>
      <c r="B219" s="242">
        <v>2403</v>
      </c>
      <c r="C219" s="243" t="s">
        <v>1541</v>
      </c>
      <c r="D219" s="243" t="s">
        <v>1543</v>
      </c>
      <c r="E219" s="244" t="s">
        <v>1459</v>
      </c>
      <c r="F219" s="245" t="s">
        <v>1494</v>
      </c>
      <c r="G219" s="246"/>
      <c r="H219" s="242" t="s">
        <v>43</v>
      </c>
      <c r="I219" s="225">
        <v>45967</v>
      </c>
      <c r="J219" s="247"/>
      <c r="K219" s="225">
        <v>45969</v>
      </c>
      <c r="L219" s="248"/>
      <c r="M219" s="249" t="s">
        <v>44</v>
      </c>
      <c r="N219" s="250" t="s">
        <v>959</v>
      </c>
      <c r="O219" s="245" t="s">
        <v>110</v>
      </c>
      <c r="P219" s="241" t="s">
        <v>412</v>
      </c>
      <c r="Q219" s="241" t="s">
        <v>412</v>
      </c>
      <c r="R219" s="251">
        <v>21000</v>
      </c>
      <c r="S219" s="252"/>
      <c r="T219" s="253"/>
      <c r="U219" s="254">
        <f t="shared" si="598"/>
        <v>21000</v>
      </c>
      <c r="V219" s="254">
        <v>19084</v>
      </c>
      <c r="W219" s="254">
        <v>10800</v>
      </c>
      <c r="X219" s="251">
        <f t="shared" si="600"/>
        <v>5400</v>
      </c>
      <c r="Y219" s="255">
        <f t="shared" si="601"/>
        <v>2884</v>
      </c>
      <c r="Z219" s="255">
        <f t="shared" si="602"/>
        <v>19084</v>
      </c>
      <c r="AA219" s="254">
        <v>30</v>
      </c>
      <c r="AB219" s="256">
        <v>0</v>
      </c>
      <c r="AC219" s="256">
        <f>6+2</f>
        <v>8</v>
      </c>
      <c r="AD219" s="256">
        <v>1</v>
      </c>
      <c r="AE219" s="256"/>
      <c r="AF219" s="256">
        <f t="shared" si="603"/>
        <v>-7</v>
      </c>
      <c r="AG219" s="256">
        <f t="shared" si="604"/>
        <v>23</v>
      </c>
      <c r="AH219" s="257">
        <f t="shared" si="605"/>
        <v>23</v>
      </c>
      <c r="AI219" s="255">
        <f t="shared" si="606"/>
        <v>16100</v>
      </c>
      <c r="AJ219" s="255">
        <f t="shared" si="607"/>
        <v>14631</v>
      </c>
      <c r="AK219" s="255">
        <f t="shared" si="608"/>
        <v>8280</v>
      </c>
      <c r="AL219" s="255">
        <f t="shared" si="609"/>
        <v>4140</v>
      </c>
      <c r="AM219" s="255">
        <f t="shared" si="610"/>
        <v>2211</v>
      </c>
      <c r="AN219" s="254">
        <f t="shared" si="611"/>
        <v>476</v>
      </c>
      <c r="AO219" s="254">
        <f t="shared" si="612"/>
        <v>994</v>
      </c>
      <c r="AP219" s="255">
        <f t="shared" si="613"/>
        <v>16101</v>
      </c>
      <c r="AQ219" s="255">
        <v>0</v>
      </c>
      <c r="AR219" s="255">
        <f t="shared" si="614"/>
        <v>110</v>
      </c>
      <c r="AS219" s="255">
        <f t="shared" si="615"/>
        <v>476</v>
      </c>
      <c r="AT219" s="255">
        <f t="shared" si="616"/>
        <v>994</v>
      </c>
      <c r="AU219" s="255">
        <f t="shared" si="617"/>
        <v>994</v>
      </c>
      <c r="AV219" s="255"/>
      <c r="AW219" s="255">
        <v>0</v>
      </c>
      <c r="AX219" s="255">
        <f t="shared" si="618"/>
        <v>0</v>
      </c>
      <c r="AY219" s="258">
        <v>1400</v>
      </c>
      <c r="AZ219" s="258">
        <v>0</v>
      </c>
      <c r="BA219" s="255">
        <f t="shared" si="619"/>
        <v>14927</v>
      </c>
      <c r="BB219" s="259" t="s">
        <v>1507</v>
      </c>
      <c r="BC219" s="260" t="s">
        <v>1508</v>
      </c>
      <c r="BD219" s="260" t="s">
        <v>1509</v>
      </c>
      <c r="BE219" s="248"/>
      <c r="BF219" s="248"/>
      <c r="BG219" s="241" t="s">
        <v>48</v>
      </c>
      <c r="BH219" s="251">
        <v>0</v>
      </c>
      <c r="BI219" s="261"/>
      <c r="BJ219" s="241"/>
    </row>
    <row r="220" spans="1:62" s="240" customFormat="1" x14ac:dyDescent="0.25">
      <c r="A220" s="241">
        <f t="shared" si="367"/>
        <v>218</v>
      </c>
      <c r="B220" s="242">
        <v>2404</v>
      </c>
      <c r="C220" s="243" t="s">
        <v>1542</v>
      </c>
      <c r="D220" s="243" t="s">
        <v>1544</v>
      </c>
      <c r="E220" s="244" t="s">
        <v>1460</v>
      </c>
      <c r="F220" s="245" t="s">
        <v>1495</v>
      </c>
      <c r="G220" s="246"/>
      <c r="H220" s="242" t="s">
        <v>43</v>
      </c>
      <c r="I220" s="225">
        <v>45971</v>
      </c>
      <c r="J220" s="247"/>
      <c r="K220" s="225">
        <v>45978</v>
      </c>
      <c r="L220" s="248"/>
      <c r="M220" s="249" t="s">
        <v>44</v>
      </c>
      <c r="N220" s="250" t="s">
        <v>959</v>
      </c>
      <c r="O220" s="245" t="s">
        <v>1143</v>
      </c>
      <c r="P220" s="241" t="s">
        <v>412</v>
      </c>
      <c r="Q220" s="241" t="s">
        <v>412</v>
      </c>
      <c r="R220" s="251">
        <v>20417</v>
      </c>
      <c r="S220" s="252"/>
      <c r="T220" s="253"/>
      <c r="U220" s="254">
        <f t="shared" si="598"/>
        <v>20417</v>
      </c>
      <c r="V220" s="254">
        <v>18430</v>
      </c>
      <c r="W220" s="254">
        <v>10800</v>
      </c>
      <c r="X220" s="251">
        <f t="shared" si="600"/>
        <v>5400</v>
      </c>
      <c r="Y220" s="255">
        <f t="shared" si="601"/>
        <v>2230</v>
      </c>
      <c r="Z220" s="255">
        <f t="shared" si="602"/>
        <v>18430</v>
      </c>
      <c r="AA220" s="254">
        <v>30</v>
      </c>
      <c r="AB220" s="256">
        <v>0</v>
      </c>
      <c r="AC220" s="256">
        <f>10.5+7</f>
        <v>17.5</v>
      </c>
      <c r="AD220" s="256">
        <v>1</v>
      </c>
      <c r="AE220" s="256"/>
      <c r="AF220" s="256">
        <f t="shared" si="603"/>
        <v>-16.5</v>
      </c>
      <c r="AG220" s="256">
        <f t="shared" si="604"/>
        <v>13.5</v>
      </c>
      <c r="AH220" s="257">
        <f t="shared" si="605"/>
        <v>13.5</v>
      </c>
      <c r="AI220" s="255">
        <f t="shared" si="606"/>
        <v>9188</v>
      </c>
      <c r="AJ220" s="255">
        <f t="shared" si="607"/>
        <v>8294</v>
      </c>
      <c r="AK220" s="255">
        <f t="shared" si="608"/>
        <v>4860</v>
      </c>
      <c r="AL220" s="255">
        <f t="shared" si="609"/>
        <v>2430</v>
      </c>
      <c r="AM220" s="255">
        <f t="shared" si="610"/>
        <v>1004</v>
      </c>
      <c r="AN220" s="254">
        <f t="shared" si="611"/>
        <v>270</v>
      </c>
      <c r="AO220" s="254">
        <f t="shared" si="612"/>
        <v>583</v>
      </c>
      <c r="AP220" s="255">
        <f t="shared" si="613"/>
        <v>9147</v>
      </c>
      <c r="AQ220" s="255">
        <v>0</v>
      </c>
      <c r="AR220" s="255">
        <f t="shared" si="614"/>
        <v>63</v>
      </c>
      <c r="AS220" s="255">
        <f t="shared" si="615"/>
        <v>270</v>
      </c>
      <c r="AT220" s="255">
        <f t="shared" si="616"/>
        <v>583</v>
      </c>
      <c r="AU220" s="255">
        <f t="shared" si="617"/>
        <v>583</v>
      </c>
      <c r="AV220" s="255"/>
      <c r="AW220" s="255">
        <v>0</v>
      </c>
      <c r="AX220" s="255">
        <f t="shared" si="618"/>
        <v>0</v>
      </c>
      <c r="AY220" s="258">
        <v>4764</v>
      </c>
      <c r="AZ220" s="258">
        <v>0</v>
      </c>
      <c r="BA220" s="255">
        <f t="shared" si="619"/>
        <v>12412</v>
      </c>
      <c r="BB220" s="259" t="s">
        <v>393</v>
      </c>
      <c r="BC220" s="260" t="s">
        <v>202</v>
      </c>
      <c r="BD220" s="260" t="s">
        <v>1510</v>
      </c>
      <c r="BE220" s="248"/>
      <c r="BF220" s="248"/>
      <c r="BG220" s="241" t="s">
        <v>48</v>
      </c>
      <c r="BH220" s="251">
        <v>0</v>
      </c>
      <c r="BI220" s="261"/>
      <c r="BJ220" s="241"/>
    </row>
    <row r="221" spans="1:62" s="240" customFormat="1" x14ac:dyDescent="0.25">
      <c r="A221" s="241">
        <f t="shared" si="367"/>
        <v>219</v>
      </c>
      <c r="B221" s="242">
        <v>2405</v>
      </c>
      <c r="C221" s="243" t="s">
        <v>1537</v>
      </c>
      <c r="D221" s="243" t="s">
        <v>1537</v>
      </c>
      <c r="E221" s="244" t="s">
        <v>1461</v>
      </c>
      <c r="F221" s="245" t="s">
        <v>1496</v>
      </c>
      <c r="G221" s="246"/>
      <c r="H221" s="242" t="s">
        <v>43</v>
      </c>
      <c r="I221" s="225">
        <v>45978</v>
      </c>
      <c r="J221" s="247"/>
      <c r="K221" s="225"/>
      <c r="L221" s="248"/>
      <c r="M221" s="249" t="s">
        <v>44</v>
      </c>
      <c r="N221" s="250" t="s">
        <v>959</v>
      </c>
      <c r="O221" s="245" t="s">
        <v>1143</v>
      </c>
      <c r="P221" s="241" t="s">
        <v>46</v>
      </c>
      <c r="Q221" s="241" t="s">
        <v>412</v>
      </c>
      <c r="R221" s="251">
        <v>27250</v>
      </c>
      <c r="S221" s="252"/>
      <c r="T221" s="253"/>
      <c r="U221" s="254">
        <f t="shared" si="598"/>
        <v>27250</v>
      </c>
      <c r="V221" s="254">
        <v>25615</v>
      </c>
      <c r="W221" s="254">
        <f t="shared" si="599"/>
        <v>13625</v>
      </c>
      <c r="X221" s="251">
        <f t="shared" si="600"/>
        <v>6812.5</v>
      </c>
      <c r="Y221" s="255">
        <f t="shared" si="601"/>
        <v>5177.5</v>
      </c>
      <c r="Z221" s="255">
        <f t="shared" si="602"/>
        <v>25615</v>
      </c>
      <c r="AA221" s="254">
        <v>30</v>
      </c>
      <c r="AB221" s="256">
        <v>0</v>
      </c>
      <c r="AC221" s="256">
        <v>17</v>
      </c>
      <c r="AD221" s="256">
        <v>0</v>
      </c>
      <c r="AE221" s="256"/>
      <c r="AF221" s="256">
        <f t="shared" si="603"/>
        <v>-17</v>
      </c>
      <c r="AG221" s="256">
        <f t="shared" si="604"/>
        <v>13</v>
      </c>
      <c r="AH221" s="257">
        <f t="shared" si="605"/>
        <v>13</v>
      </c>
      <c r="AI221" s="255">
        <f t="shared" si="606"/>
        <v>11808</v>
      </c>
      <c r="AJ221" s="255">
        <f t="shared" si="607"/>
        <v>11100</v>
      </c>
      <c r="AK221" s="255">
        <f t="shared" si="608"/>
        <v>5904</v>
      </c>
      <c r="AL221" s="255">
        <f t="shared" si="609"/>
        <v>2952</v>
      </c>
      <c r="AM221" s="255">
        <f t="shared" si="610"/>
        <v>2244</v>
      </c>
      <c r="AN221" s="254">
        <f t="shared" si="611"/>
        <v>0</v>
      </c>
      <c r="AO221" s="254">
        <f t="shared" si="612"/>
        <v>708</v>
      </c>
      <c r="AP221" s="255">
        <f t="shared" si="613"/>
        <v>11808</v>
      </c>
      <c r="AQ221" s="255">
        <v>0</v>
      </c>
      <c r="AR221" s="255">
        <f t="shared" si="614"/>
        <v>0</v>
      </c>
      <c r="AS221" s="255">
        <f t="shared" si="615"/>
        <v>0</v>
      </c>
      <c r="AT221" s="255">
        <f t="shared" si="616"/>
        <v>708</v>
      </c>
      <c r="AU221" s="255">
        <f t="shared" si="617"/>
        <v>708</v>
      </c>
      <c r="AV221" s="255"/>
      <c r="AW221" s="255">
        <v>0</v>
      </c>
      <c r="AX221" s="255">
        <f t="shared" si="618"/>
        <v>0</v>
      </c>
      <c r="AY221" s="258"/>
      <c r="AZ221" s="258">
        <v>0</v>
      </c>
      <c r="BA221" s="255">
        <f t="shared" si="619"/>
        <v>10392</v>
      </c>
      <c r="BB221" s="259" t="s">
        <v>1272</v>
      </c>
      <c r="BC221" s="260" t="s">
        <v>1511</v>
      </c>
      <c r="BD221" s="260" t="s">
        <v>1512</v>
      </c>
      <c r="BE221" s="248"/>
      <c r="BF221" s="248"/>
      <c r="BG221" s="241" t="s">
        <v>48</v>
      </c>
      <c r="BH221" s="251">
        <v>0</v>
      </c>
      <c r="BI221" s="261"/>
      <c r="BJ221" s="241"/>
    </row>
    <row r="222" spans="1:62" s="240" customFormat="1" x14ac:dyDescent="0.25">
      <c r="A222" s="241">
        <f t="shared" si="367"/>
        <v>220</v>
      </c>
      <c r="B222" s="242">
        <v>2406</v>
      </c>
      <c r="C222" s="243" t="s">
        <v>1537</v>
      </c>
      <c r="D222" s="243" t="s">
        <v>1537</v>
      </c>
      <c r="E222" s="244" t="s">
        <v>1462</v>
      </c>
      <c r="F222" s="245" t="s">
        <v>1497</v>
      </c>
      <c r="G222" s="246"/>
      <c r="H222" s="242" t="s">
        <v>43</v>
      </c>
      <c r="I222" s="225">
        <v>45978</v>
      </c>
      <c r="J222" s="247"/>
      <c r="K222" s="225"/>
      <c r="L222" s="248"/>
      <c r="M222" s="249" t="s">
        <v>44</v>
      </c>
      <c r="N222" s="250" t="s">
        <v>959</v>
      </c>
      <c r="O222" s="245" t="s">
        <v>110</v>
      </c>
      <c r="P222" s="241" t="s">
        <v>46</v>
      </c>
      <c r="Q222" s="241" t="s">
        <v>412</v>
      </c>
      <c r="R222" s="251">
        <v>25000</v>
      </c>
      <c r="S222" s="252"/>
      <c r="T222" s="253"/>
      <c r="U222" s="254">
        <f t="shared" si="598"/>
        <v>25000</v>
      </c>
      <c r="V222" s="254">
        <v>23500</v>
      </c>
      <c r="W222" s="254">
        <f t="shared" si="599"/>
        <v>12500</v>
      </c>
      <c r="X222" s="251">
        <f t="shared" si="600"/>
        <v>6250</v>
      </c>
      <c r="Y222" s="255">
        <f t="shared" si="601"/>
        <v>4750</v>
      </c>
      <c r="Z222" s="255">
        <f t="shared" si="602"/>
        <v>23500</v>
      </c>
      <c r="AA222" s="254">
        <v>30</v>
      </c>
      <c r="AB222" s="256">
        <v>0</v>
      </c>
      <c r="AC222" s="256">
        <v>16</v>
      </c>
      <c r="AD222" s="256">
        <v>0</v>
      </c>
      <c r="AE222" s="256"/>
      <c r="AF222" s="256">
        <f t="shared" si="603"/>
        <v>-16</v>
      </c>
      <c r="AG222" s="256">
        <f t="shared" si="604"/>
        <v>14</v>
      </c>
      <c r="AH222" s="257">
        <f t="shared" si="605"/>
        <v>14</v>
      </c>
      <c r="AI222" s="255">
        <f t="shared" si="606"/>
        <v>11667</v>
      </c>
      <c r="AJ222" s="255">
        <f t="shared" si="607"/>
        <v>10967</v>
      </c>
      <c r="AK222" s="255">
        <f t="shared" si="608"/>
        <v>5833</v>
      </c>
      <c r="AL222" s="255">
        <f t="shared" si="609"/>
        <v>2917</v>
      </c>
      <c r="AM222" s="255">
        <f t="shared" si="610"/>
        <v>2217</v>
      </c>
      <c r="AN222" s="254">
        <f t="shared" si="611"/>
        <v>0</v>
      </c>
      <c r="AO222" s="254">
        <f t="shared" si="612"/>
        <v>700</v>
      </c>
      <c r="AP222" s="255">
        <f t="shared" si="613"/>
        <v>11667</v>
      </c>
      <c r="AQ222" s="255">
        <v>0</v>
      </c>
      <c r="AR222" s="255">
        <f t="shared" si="614"/>
        <v>0</v>
      </c>
      <c r="AS222" s="255">
        <f t="shared" si="615"/>
        <v>0</v>
      </c>
      <c r="AT222" s="255">
        <f t="shared" si="616"/>
        <v>700</v>
      </c>
      <c r="AU222" s="255">
        <f t="shared" si="617"/>
        <v>700</v>
      </c>
      <c r="AV222" s="255"/>
      <c r="AW222" s="255">
        <v>0</v>
      </c>
      <c r="AX222" s="255">
        <f t="shared" si="618"/>
        <v>0</v>
      </c>
      <c r="AY222" s="258"/>
      <c r="AZ222" s="258">
        <v>0</v>
      </c>
      <c r="BA222" s="255">
        <f t="shared" si="619"/>
        <v>10267</v>
      </c>
      <c r="BB222" s="259" t="s">
        <v>394</v>
      </c>
      <c r="BC222" s="260" t="s">
        <v>1513</v>
      </c>
      <c r="BD222" s="260" t="s">
        <v>1517</v>
      </c>
      <c r="BE222" s="248"/>
      <c r="BF222" s="248"/>
      <c r="BG222" s="241" t="s">
        <v>48</v>
      </c>
      <c r="BH222" s="251">
        <v>0</v>
      </c>
      <c r="BI222" s="261"/>
      <c r="BJ222" s="241"/>
    </row>
    <row r="223" spans="1:62" s="240" customFormat="1" x14ac:dyDescent="0.25">
      <c r="A223" s="241">
        <f t="shared" si="367"/>
        <v>221</v>
      </c>
      <c r="B223" s="242">
        <v>2407</v>
      </c>
      <c r="C223" s="243" t="s">
        <v>1537</v>
      </c>
      <c r="D223" s="243" t="s">
        <v>1537</v>
      </c>
      <c r="E223" s="244" t="s">
        <v>1463</v>
      </c>
      <c r="F223" s="245" t="s">
        <v>1498</v>
      </c>
      <c r="G223" s="246"/>
      <c r="H223" s="242" t="s">
        <v>43</v>
      </c>
      <c r="I223" s="225">
        <v>45979</v>
      </c>
      <c r="J223" s="247"/>
      <c r="K223" s="225"/>
      <c r="L223" s="248"/>
      <c r="M223" s="249" t="s">
        <v>44</v>
      </c>
      <c r="N223" s="250" t="s">
        <v>959</v>
      </c>
      <c r="O223" s="245" t="s">
        <v>975</v>
      </c>
      <c r="P223" s="241" t="s">
        <v>46</v>
      </c>
      <c r="Q223" s="241" t="s">
        <v>412</v>
      </c>
      <c r="R223" s="251">
        <v>25000</v>
      </c>
      <c r="S223" s="252"/>
      <c r="T223" s="253"/>
      <c r="U223" s="254">
        <f t="shared" si="598"/>
        <v>25000</v>
      </c>
      <c r="V223" s="254">
        <v>23500</v>
      </c>
      <c r="W223" s="254">
        <f t="shared" si="599"/>
        <v>12500</v>
      </c>
      <c r="X223" s="251">
        <f t="shared" si="600"/>
        <v>6250</v>
      </c>
      <c r="Y223" s="255">
        <f t="shared" si="601"/>
        <v>4750</v>
      </c>
      <c r="Z223" s="255">
        <f t="shared" si="602"/>
        <v>23500</v>
      </c>
      <c r="AA223" s="254">
        <v>30</v>
      </c>
      <c r="AB223" s="256">
        <v>0</v>
      </c>
      <c r="AC223" s="256">
        <v>18</v>
      </c>
      <c r="AD223" s="256">
        <v>0</v>
      </c>
      <c r="AE223" s="256"/>
      <c r="AF223" s="256">
        <f t="shared" si="603"/>
        <v>-18</v>
      </c>
      <c r="AG223" s="256">
        <f t="shared" si="604"/>
        <v>12</v>
      </c>
      <c r="AH223" s="257">
        <f t="shared" si="605"/>
        <v>12</v>
      </c>
      <c r="AI223" s="255">
        <f t="shared" si="606"/>
        <v>10000</v>
      </c>
      <c r="AJ223" s="255">
        <f t="shared" si="607"/>
        <v>9400</v>
      </c>
      <c r="AK223" s="255">
        <f t="shared" si="608"/>
        <v>5000</v>
      </c>
      <c r="AL223" s="255">
        <f t="shared" si="609"/>
        <v>2500</v>
      </c>
      <c r="AM223" s="255">
        <f t="shared" si="610"/>
        <v>1900</v>
      </c>
      <c r="AN223" s="254">
        <f t="shared" si="611"/>
        <v>0</v>
      </c>
      <c r="AO223" s="254">
        <f t="shared" si="612"/>
        <v>600</v>
      </c>
      <c r="AP223" s="255">
        <f t="shared" si="613"/>
        <v>10000</v>
      </c>
      <c r="AQ223" s="255">
        <v>0</v>
      </c>
      <c r="AR223" s="255">
        <f t="shared" si="614"/>
        <v>0</v>
      </c>
      <c r="AS223" s="255">
        <f t="shared" si="615"/>
        <v>0</v>
      </c>
      <c r="AT223" s="255">
        <f t="shared" si="616"/>
        <v>600</v>
      </c>
      <c r="AU223" s="255">
        <f t="shared" si="617"/>
        <v>600</v>
      </c>
      <c r="AV223" s="255"/>
      <c r="AW223" s="255">
        <v>0</v>
      </c>
      <c r="AX223" s="255">
        <f t="shared" si="618"/>
        <v>0</v>
      </c>
      <c r="AY223" s="258"/>
      <c r="AZ223" s="258">
        <v>300</v>
      </c>
      <c r="BA223" s="255">
        <f t="shared" si="619"/>
        <v>8500</v>
      </c>
      <c r="BB223" s="259" t="s">
        <v>543</v>
      </c>
      <c r="BC223" s="260" t="s">
        <v>1514</v>
      </c>
      <c r="BD223" s="260" t="s">
        <v>1518</v>
      </c>
      <c r="BE223" s="248"/>
      <c r="BF223" s="248"/>
      <c r="BG223" s="241" t="s">
        <v>48</v>
      </c>
      <c r="BH223" s="251">
        <v>0</v>
      </c>
      <c r="BI223" s="261"/>
      <c r="BJ223" s="241"/>
    </row>
    <row r="224" spans="1:62" s="240" customFormat="1" x14ac:dyDescent="0.25">
      <c r="A224" s="241">
        <f t="shared" si="367"/>
        <v>222</v>
      </c>
      <c r="B224" s="242">
        <v>2428</v>
      </c>
      <c r="C224" s="243" t="s">
        <v>1537</v>
      </c>
      <c r="D224" s="243" t="s">
        <v>1537</v>
      </c>
      <c r="E224" s="244" t="s">
        <v>1464</v>
      </c>
      <c r="F224" s="245" t="s">
        <v>1499</v>
      </c>
      <c r="G224" s="246"/>
      <c r="H224" s="242" t="s">
        <v>43</v>
      </c>
      <c r="I224" s="225">
        <v>45985</v>
      </c>
      <c r="J224" s="247"/>
      <c r="K224" s="225">
        <v>45992</v>
      </c>
      <c r="L224" s="248"/>
      <c r="M224" s="249" t="s">
        <v>44</v>
      </c>
      <c r="N224" s="250" t="s">
        <v>959</v>
      </c>
      <c r="O224" s="245" t="s">
        <v>110</v>
      </c>
      <c r="P224" s="241" t="s">
        <v>412</v>
      </c>
      <c r="Q224" s="241" t="s">
        <v>412</v>
      </c>
      <c r="R224" s="251">
        <v>21000</v>
      </c>
      <c r="S224" s="252"/>
      <c r="T224" s="253"/>
      <c r="U224" s="254">
        <v>21000</v>
      </c>
      <c r="V224" s="254">
        <v>18992</v>
      </c>
      <c r="W224" s="254">
        <v>10800</v>
      </c>
      <c r="X224" s="251">
        <f t="shared" si="600"/>
        <v>5400</v>
      </c>
      <c r="Y224" s="255">
        <f t="shared" si="601"/>
        <v>2792</v>
      </c>
      <c r="Z224" s="255">
        <f t="shared" si="602"/>
        <v>18992</v>
      </c>
      <c r="AA224" s="254">
        <v>30</v>
      </c>
      <c r="AB224" s="256">
        <v>0</v>
      </c>
      <c r="AC224" s="256">
        <v>24</v>
      </c>
      <c r="AD224" s="256">
        <v>0</v>
      </c>
      <c r="AE224" s="256"/>
      <c r="AF224" s="256">
        <f t="shared" si="603"/>
        <v>-24</v>
      </c>
      <c r="AG224" s="256">
        <f t="shared" si="604"/>
        <v>6</v>
      </c>
      <c r="AH224" s="257">
        <f t="shared" si="605"/>
        <v>6</v>
      </c>
      <c r="AI224" s="255">
        <f t="shared" si="606"/>
        <v>4200</v>
      </c>
      <c r="AJ224" s="255">
        <f t="shared" si="607"/>
        <v>3798</v>
      </c>
      <c r="AK224" s="255">
        <f t="shared" si="608"/>
        <v>2160</v>
      </c>
      <c r="AL224" s="255">
        <f t="shared" si="609"/>
        <v>1080</v>
      </c>
      <c r="AM224" s="255">
        <f t="shared" si="610"/>
        <v>558</v>
      </c>
      <c r="AN224" s="254"/>
      <c r="AO224" s="254"/>
      <c r="AP224" s="255">
        <f t="shared" si="613"/>
        <v>3798</v>
      </c>
      <c r="AQ224" s="255">
        <v>0</v>
      </c>
      <c r="AR224" s="255"/>
      <c r="AS224" s="255"/>
      <c r="AT224" s="255">
        <f t="shared" si="616"/>
        <v>0</v>
      </c>
      <c r="AU224" s="255">
        <f t="shared" si="617"/>
        <v>0</v>
      </c>
      <c r="AV224" s="255"/>
      <c r="AW224" s="255">
        <v>0</v>
      </c>
      <c r="AX224" s="255">
        <f t="shared" si="618"/>
        <v>0</v>
      </c>
      <c r="AY224" s="258">
        <v>402</v>
      </c>
      <c r="AZ224" s="258">
        <v>0</v>
      </c>
      <c r="BA224" s="255">
        <f t="shared" si="619"/>
        <v>4200</v>
      </c>
      <c r="BB224" s="259" t="s">
        <v>394</v>
      </c>
      <c r="BC224" s="260" t="s">
        <v>1515</v>
      </c>
      <c r="BD224" s="260" t="s">
        <v>1519</v>
      </c>
      <c r="BE224" s="248"/>
      <c r="BF224" s="248"/>
      <c r="BG224" s="241" t="s">
        <v>48</v>
      </c>
      <c r="BH224" s="251">
        <v>0</v>
      </c>
      <c r="BI224" s="261"/>
      <c r="BJ224" s="241"/>
    </row>
    <row r="225" spans="1:62" s="240" customFormat="1" x14ac:dyDescent="0.25">
      <c r="A225" s="241">
        <f t="shared" si="367"/>
        <v>223</v>
      </c>
      <c r="B225" s="242">
        <v>2429</v>
      </c>
      <c r="C225" s="243" t="s">
        <v>1537</v>
      </c>
      <c r="D225" s="243" t="s">
        <v>1537</v>
      </c>
      <c r="E225" s="244" t="s">
        <v>1465</v>
      </c>
      <c r="F225" s="245" t="s">
        <v>1500</v>
      </c>
      <c r="G225" s="246"/>
      <c r="H225" s="242" t="s">
        <v>43</v>
      </c>
      <c r="I225" s="225">
        <v>45988</v>
      </c>
      <c r="J225" s="247"/>
      <c r="K225" s="225"/>
      <c r="L225" s="248"/>
      <c r="M225" s="249" t="s">
        <v>44</v>
      </c>
      <c r="N225" s="250" t="s">
        <v>959</v>
      </c>
      <c r="O225" s="245" t="s">
        <v>1472</v>
      </c>
      <c r="P225" s="241" t="s">
        <v>46</v>
      </c>
      <c r="Q225" s="241" t="s">
        <v>412</v>
      </c>
      <c r="R225" s="251">
        <v>22728</v>
      </c>
      <c r="S225" s="252"/>
      <c r="T225" s="253"/>
      <c r="U225" s="254">
        <v>22728</v>
      </c>
      <c r="V225" s="254">
        <v>21364</v>
      </c>
      <c r="W225" s="254">
        <f t="shared" si="599"/>
        <v>11364</v>
      </c>
      <c r="X225" s="251">
        <f t="shared" si="600"/>
        <v>5682</v>
      </c>
      <c r="Y225" s="255">
        <f t="shared" si="601"/>
        <v>4318</v>
      </c>
      <c r="Z225" s="255">
        <f t="shared" si="602"/>
        <v>21364</v>
      </c>
      <c r="AA225" s="254">
        <v>30</v>
      </c>
      <c r="AB225" s="256">
        <v>0</v>
      </c>
      <c r="AC225" s="256">
        <v>26</v>
      </c>
      <c r="AD225" s="256">
        <v>0</v>
      </c>
      <c r="AE225" s="256"/>
      <c r="AF225" s="256">
        <f t="shared" si="603"/>
        <v>-26</v>
      </c>
      <c r="AG225" s="256">
        <f t="shared" si="604"/>
        <v>4</v>
      </c>
      <c r="AH225" s="257">
        <f t="shared" si="605"/>
        <v>4</v>
      </c>
      <c r="AI225" s="255">
        <f t="shared" si="606"/>
        <v>3030</v>
      </c>
      <c r="AJ225" s="255">
        <f t="shared" si="607"/>
        <v>2849</v>
      </c>
      <c r="AK225" s="255">
        <f t="shared" si="608"/>
        <v>1515</v>
      </c>
      <c r="AL225" s="255">
        <f t="shared" si="609"/>
        <v>758</v>
      </c>
      <c r="AM225" s="255">
        <f t="shared" si="610"/>
        <v>576</v>
      </c>
      <c r="AN225" s="254">
        <f t="shared" si="611"/>
        <v>0</v>
      </c>
      <c r="AO225" s="254">
        <f t="shared" si="612"/>
        <v>182</v>
      </c>
      <c r="AP225" s="255">
        <f t="shared" si="613"/>
        <v>3031</v>
      </c>
      <c r="AQ225" s="255">
        <v>0</v>
      </c>
      <c r="AR225" s="255">
        <f t="shared" si="614"/>
        <v>0</v>
      </c>
      <c r="AS225" s="255">
        <f t="shared" si="615"/>
        <v>0</v>
      </c>
      <c r="AT225" s="255">
        <f t="shared" si="616"/>
        <v>182</v>
      </c>
      <c r="AU225" s="255">
        <f t="shared" si="617"/>
        <v>182</v>
      </c>
      <c r="AV225" s="255"/>
      <c r="AW225" s="255">
        <v>0</v>
      </c>
      <c r="AX225" s="255">
        <f t="shared" si="618"/>
        <v>0</v>
      </c>
      <c r="AY225" s="258"/>
      <c r="AZ225" s="258">
        <v>0</v>
      </c>
      <c r="BA225" s="255">
        <f t="shared" si="619"/>
        <v>2667</v>
      </c>
      <c r="BB225" s="259" t="s">
        <v>424</v>
      </c>
      <c r="BC225" s="260" t="s">
        <v>1516</v>
      </c>
      <c r="BD225" s="260" t="s">
        <v>1520</v>
      </c>
      <c r="BE225" s="248"/>
      <c r="BF225" s="248"/>
      <c r="BG225" s="241" t="s">
        <v>48</v>
      </c>
      <c r="BH225" s="251">
        <v>0</v>
      </c>
      <c r="BI225" s="261"/>
      <c r="BJ225" s="241"/>
    </row>
    <row r="226" spans="1:62" s="13" customFormat="1" x14ac:dyDescent="0.25">
      <c r="B226" s="104"/>
      <c r="C226" s="105"/>
      <c r="I226" s="105"/>
      <c r="K226" s="105"/>
      <c r="BD226" s="153"/>
    </row>
    <row r="227" spans="1:62" s="13" customFormat="1" x14ac:dyDescent="0.25">
      <c r="B227" s="104"/>
      <c r="C227" s="105"/>
      <c r="I227" s="105"/>
      <c r="K227" s="105"/>
      <c r="V227" s="106"/>
      <c r="Z227" s="106"/>
      <c r="AB227" s="107"/>
      <c r="AC227" s="107"/>
      <c r="AD227" s="107"/>
      <c r="AE227" s="107"/>
      <c r="BA227" s="106"/>
      <c r="BD227" s="153"/>
      <c r="BE227" s="14"/>
      <c r="BG227" s="105"/>
    </row>
    <row r="228" spans="1:62" s="13" customFormat="1" x14ac:dyDescent="0.25">
      <c r="A228" s="105"/>
      <c r="B228" s="70"/>
      <c r="C228" s="108" t="s">
        <v>101</v>
      </c>
      <c r="D228" s="70">
        <v>14</v>
      </c>
      <c r="I228" s="105"/>
      <c r="K228" s="105"/>
      <c r="T228" s="77" t="s">
        <v>340</v>
      </c>
      <c r="U228" s="77">
        <f>SUM(U3:U161)</f>
        <v>5866254.8699999992</v>
      </c>
      <c r="V228" s="16"/>
      <c r="W228" s="16"/>
      <c r="X228" s="16"/>
      <c r="Y228" s="16"/>
      <c r="Z228" s="16"/>
      <c r="AA228" s="16"/>
      <c r="AB228" s="107"/>
      <c r="AC228" s="107"/>
      <c r="AD228" s="107"/>
      <c r="AE228" s="107"/>
      <c r="AF228" s="17"/>
      <c r="AG228" s="17"/>
      <c r="AH228" s="77" t="s">
        <v>100</v>
      </c>
      <c r="AI228" s="77">
        <f t="shared" ref="AI228:BA228" si="620">SUBTOTAL(9,AI3:AI225)</f>
        <v>7277110</v>
      </c>
      <c r="AJ228" s="77">
        <f t="shared" si="620"/>
        <v>6910164</v>
      </c>
      <c r="AK228" s="77">
        <f t="shared" si="620"/>
        <v>3678708</v>
      </c>
      <c r="AL228" s="77">
        <f t="shared" si="620"/>
        <v>1825284</v>
      </c>
      <c r="AM228" s="77">
        <f t="shared" si="620"/>
        <v>1410707</v>
      </c>
      <c r="AN228" s="77">
        <f t="shared" si="620"/>
        <v>43520</v>
      </c>
      <c r="AO228" s="77">
        <f t="shared" si="620"/>
        <v>311656</v>
      </c>
      <c r="AP228" s="77">
        <f t="shared" si="620"/>
        <v>7269876</v>
      </c>
      <c r="AQ228" s="77">
        <f t="shared" si="620"/>
        <v>320000</v>
      </c>
      <c r="AR228" s="77">
        <f t="shared" si="620"/>
        <v>10074</v>
      </c>
      <c r="AS228" s="77">
        <f t="shared" si="620"/>
        <v>43520</v>
      </c>
      <c r="AT228" s="77">
        <f t="shared" si="620"/>
        <v>311656</v>
      </c>
      <c r="AU228" s="77">
        <f t="shared" si="620"/>
        <v>311656</v>
      </c>
      <c r="AV228" s="77">
        <f t="shared" si="620"/>
        <v>1330000</v>
      </c>
      <c r="AW228" s="77">
        <f t="shared" si="620"/>
        <v>320664</v>
      </c>
      <c r="AX228" s="77">
        <f t="shared" si="620"/>
        <v>1169000</v>
      </c>
      <c r="AY228" s="77">
        <f t="shared" si="620"/>
        <v>24500</v>
      </c>
      <c r="AZ228" s="77">
        <f t="shared" si="620"/>
        <v>47400</v>
      </c>
      <c r="BA228" s="77">
        <f t="shared" si="620"/>
        <v>5929406</v>
      </c>
      <c r="BD228" s="154" t="s">
        <v>534</v>
      </c>
      <c r="BH228" s="109"/>
      <c r="BJ228" s="110"/>
    </row>
    <row r="229" spans="1:62" s="13" customFormat="1" x14ac:dyDescent="0.25">
      <c r="A229" s="105"/>
      <c r="B229" s="104"/>
      <c r="C229" s="105"/>
      <c r="D229" s="105"/>
      <c r="I229" s="105"/>
      <c r="K229" s="105"/>
      <c r="O229" s="148"/>
      <c r="R229" s="16"/>
      <c r="S229" s="16"/>
      <c r="T229" s="77" t="s">
        <v>341</v>
      </c>
      <c r="U229" s="77">
        <f>Trainee!L56</f>
        <v>753000</v>
      </c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77" t="s">
        <v>1063</v>
      </c>
      <c r="AI229" s="77">
        <f>Trainee!Y56</f>
        <v>625181</v>
      </c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D229" s="154" t="s">
        <v>534</v>
      </c>
      <c r="BG229" s="98"/>
      <c r="BH229" s="109"/>
      <c r="BJ229" s="105"/>
    </row>
    <row r="230" spans="1:62" s="13" customFormat="1" x14ac:dyDescent="0.25">
      <c r="B230" s="104"/>
      <c r="C230" s="105"/>
      <c r="E230" s="110"/>
      <c r="F230" s="102" t="s">
        <v>48</v>
      </c>
      <c r="G230" s="102"/>
      <c r="H230" s="102">
        <v>260</v>
      </c>
      <c r="I230" s="105"/>
      <c r="K230" s="105"/>
      <c r="S230" s="16"/>
      <c r="T230" s="75" t="s">
        <v>339</v>
      </c>
      <c r="U230" s="75">
        <f>U228+U229</f>
        <v>6619254.8699999992</v>
      </c>
      <c r="V230" s="16"/>
      <c r="X230" s="16"/>
      <c r="AA230" s="106"/>
      <c r="AB230" s="17"/>
      <c r="AC230" s="17"/>
      <c r="AD230" s="17"/>
      <c r="AE230" s="17"/>
      <c r="AF230" s="17"/>
      <c r="AG230" s="18"/>
      <c r="AH230" s="79" t="s">
        <v>339</v>
      </c>
      <c r="AI230" s="78">
        <f>AI228+AI229</f>
        <v>7902291</v>
      </c>
      <c r="AK230" s="106"/>
      <c r="AP230" s="106"/>
      <c r="AQ230" s="106"/>
      <c r="AX230" s="149"/>
      <c r="AY230" s="76" t="s">
        <v>332</v>
      </c>
      <c r="AZ230" s="76"/>
      <c r="BA230" s="75">
        <f>Trainee!Y56</f>
        <v>625181</v>
      </c>
      <c r="BD230" s="153"/>
      <c r="BE230" s="105"/>
      <c r="BG230" s="105"/>
    </row>
    <row r="231" spans="1:62" s="13" customFormat="1" ht="17.25" x14ac:dyDescent="0.4">
      <c r="B231" s="110"/>
      <c r="C231" s="111"/>
      <c r="D231" s="110"/>
      <c r="E231" s="110"/>
      <c r="F231" s="102" t="s">
        <v>61</v>
      </c>
      <c r="G231" s="102"/>
      <c r="H231" s="102">
        <v>15</v>
      </c>
      <c r="I231" s="105"/>
      <c r="K231" s="105"/>
      <c r="S231" s="14"/>
      <c r="V231" s="16"/>
      <c r="W231" s="106"/>
      <c r="X231" s="16"/>
      <c r="AA231" s="106"/>
      <c r="AB231" s="17"/>
      <c r="AC231" s="17"/>
      <c r="AD231" s="17"/>
      <c r="AE231" s="17"/>
      <c r="AF231" s="17"/>
      <c r="AG231" s="17"/>
      <c r="AH231" s="17"/>
      <c r="AI231" s="112"/>
      <c r="AJ231" s="106"/>
      <c r="AK231" s="106"/>
      <c r="AL231" s="106"/>
      <c r="AM231" s="106"/>
      <c r="AN231" s="106"/>
      <c r="AQ231" s="106"/>
      <c r="AS231" s="106"/>
      <c r="AT231" s="106"/>
      <c r="AU231" s="106"/>
      <c r="AV231" s="106"/>
      <c r="AX231" s="106"/>
      <c r="AY231" s="76" t="s">
        <v>145</v>
      </c>
      <c r="AZ231" s="76"/>
      <c r="BA231" s="100">
        <f>+BA228+BA230</f>
        <v>6554587</v>
      </c>
      <c r="BD231" s="153"/>
      <c r="BE231" s="105"/>
      <c r="BG231" s="105"/>
      <c r="BJ231" s="110"/>
    </row>
    <row r="232" spans="1:62" s="13" customFormat="1" x14ac:dyDescent="0.25">
      <c r="B232" s="113"/>
      <c r="C232" s="111"/>
      <c r="D232" s="110"/>
      <c r="E232" s="110"/>
      <c r="F232" s="102"/>
      <c r="G232" s="102" t="s">
        <v>419</v>
      </c>
      <c r="H232" s="114">
        <v>3</v>
      </c>
      <c r="I232" s="105"/>
      <c r="K232" s="105"/>
      <c r="V232" s="106"/>
      <c r="X232" s="106"/>
      <c r="AA232" s="106"/>
      <c r="AI232" s="112"/>
      <c r="AQ232" s="106"/>
      <c r="AR232" s="106"/>
      <c r="AT232" s="106"/>
      <c r="AU232" s="106"/>
      <c r="BA232" s="106"/>
      <c r="BB232" s="106"/>
      <c r="BC232" s="106"/>
      <c r="BD232" s="153"/>
      <c r="BG232" s="105"/>
      <c r="BJ232" s="110"/>
    </row>
    <row r="233" spans="1:62" s="13" customFormat="1" x14ac:dyDescent="0.25">
      <c r="B233" s="113"/>
      <c r="C233" s="111"/>
      <c r="D233" s="110"/>
      <c r="E233" s="110"/>
      <c r="F233" s="102"/>
      <c r="G233" s="102" t="s">
        <v>1536</v>
      </c>
      <c r="H233" s="114">
        <v>8</v>
      </c>
      <c r="I233" s="105"/>
      <c r="K233" s="105"/>
      <c r="V233" s="106"/>
      <c r="X233" s="106"/>
      <c r="AA233" s="106"/>
      <c r="AI233" s="112"/>
      <c r="AQ233" s="106"/>
      <c r="AR233" s="106"/>
      <c r="AT233" s="106"/>
      <c r="AU233" s="106"/>
      <c r="BB233" s="106"/>
      <c r="BC233" s="106"/>
      <c r="BD233" s="153"/>
      <c r="BG233" s="105"/>
      <c r="BJ233" s="110"/>
    </row>
    <row r="234" spans="1:62" s="13" customFormat="1" x14ac:dyDescent="0.25">
      <c r="B234" s="113"/>
      <c r="C234" s="105"/>
      <c r="E234" s="109"/>
      <c r="F234" s="102"/>
      <c r="G234" s="102" t="s">
        <v>62</v>
      </c>
      <c r="H234" s="114">
        <v>4</v>
      </c>
      <c r="I234" s="105"/>
      <c r="K234" s="105"/>
      <c r="V234" s="106"/>
      <c r="X234" s="106"/>
      <c r="Y234" s="106"/>
      <c r="AA234" s="106"/>
      <c r="AD234" s="107"/>
      <c r="AK234" s="106"/>
      <c r="AO234" s="106"/>
      <c r="BB234" s="106"/>
      <c r="BD234" s="153"/>
      <c r="BF234" s="14"/>
      <c r="BG234" s="105"/>
    </row>
    <row r="235" spans="1:62" s="13" customFormat="1" x14ac:dyDescent="0.25">
      <c r="B235" s="60"/>
      <c r="C235" s="97"/>
      <c r="F235" s="76" t="s">
        <v>113</v>
      </c>
      <c r="G235" s="76"/>
      <c r="H235" s="76">
        <f>H230+H231</f>
        <v>275</v>
      </c>
      <c r="I235" s="105"/>
      <c r="K235" s="105"/>
      <c r="AA235" s="106"/>
      <c r="AU235" s="106"/>
      <c r="BB235" s="106"/>
      <c r="BD235" s="153"/>
      <c r="BF235" s="14"/>
      <c r="BG235" s="105"/>
    </row>
    <row r="236" spans="1:62" s="15" customFormat="1" x14ac:dyDescent="0.25">
      <c r="A236" s="11"/>
      <c r="B236" s="60"/>
      <c r="C236" s="97"/>
      <c r="D236" s="11"/>
      <c r="E236" s="39"/>
      <c r="F236" s="39"/>
      <c r="G236" s="11"/>
      <c r="H236" s="11"/>
      <c r="J236" s="11"/>
      <c r="L236" s="11"/>
      <c r="M236" s="11"/>
      <c r="N236" s="11"/>
      <c r="O236" s="11"/>
      <c r="P236" s="11"/>
      <c r="Q236" s="11"/>
      <c r="R236" s="11"/>
      <c r="S236" s="11"/>
      <c r="T236" s="11"/>
      <c r="U236" s="32"/>
      <c r="V236" s="11"/>
      <c r="W236" s="32"/>
      <c r="X236" s="11"/>
      <c r="Y236" s="11"/>
      <c r="Z236" s="32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32"/>
      <c r="AL236" s="11"/>
      <c r="AM236" s="11"/>
      <c r="AN236" s="11"/>
      <c r="AO236" s="11"/>
      <c r="AP236" s="11"/>
      <c r="AQ236" s="11"/>
      <c r="AR236" s="11"/>
      <c r="AS236" s="11"/>
      <c r="AT236" s="32"/>
      <c r="AU236" s="11"/>
      <c r="AV236" s="11"/>
      <c r="AW236" s="11"/>
      <c r="AX236" s="11"/>
      <c r="AY236" s="11"/>
      <c r="AZ236" s="11"/>
      <c r="BA236" s="32"/>
      <c r="BB236" s="11"/>
      <c r="BC236" s="11"/>
      <c r="BD236" s="155"/>
      <c r="BE236" s="33"/>
      <c r="BF236" s="11"/>
      <c r="BH236" s="11"/>
      <c r="BI236" s="11"/>
      <c r="BJ236" s="11"/>
    </row>
    <row r="237" spans="1:62" s="15" customFormat="1" x14ac:dyDescent="0.25">
      <c r="A237" s="11"/>
      <c r="B237" s="59"/>
      <c r="C237" s="97"/>
      <c r="D237" s="11"/>
      <c r="E237" s="11"/>
      <c r="F237" s="11"/>
      <c r="G237" s="11"/>
      <c r="H237" s="11"/>
      <c r="J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32"/>
      <c r="W237" s="11"/>
      <c r="X237" s="11"/>
      <c r="Y237" s="11"/>
      <c r="Z237" s="32"/>
      <c r="AA237" s="11"/>
      <c r="AB237" s="11"/>
      <c r="AC237" s="67"/>
      <c r="AD237" s="11"/>
      <c r="AE237" s="11"/>
      <c r="AF237" s="11"/>
      <c r="AG237" s="71"/>
      <c r="AH237" s="11"/>
      <c r="AI237" s="11"/>
      <c r="AJ237" s="11"/>
      <c r="AK237" s="32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55"/>
      <c r="BE237" s="33"/>
      <c r="BF237" s="11"/>
      <c r="BH237" s="11"/>
      <c r="BI237" s="11"/>
      <c r="BJ237" s="11"/>
    </row>
    <row r="238" spans="1:62" s="15" customFormat="1" x14ac:dyDescent="0.25">
      <c r="A238" s="11"/>
      <c r="B238" s="59"/>
      <c r="D238" s="11"/>
      <c r="E238" s="11"/>
      <c r="F238" s="11"/>
      <c r="G238" s="11"/>
      <c r="H238" s="11"/>
      <c r="J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32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55"/>
      <c r="BE238" s="33"/>
      <c r="BF238" s="11"/>
      <c r="BH238" s="11"/>
      <c r="BI238" s="11"/>
      <c r="BJ238" s="11"/>
    </row>
    <row r="239" spans="1:62" s="15" customFormat="1" x14ac:dyDescent="0.25">
      <c r="A239" s="11"/>
      <c r="B239" s="59"/>
      <c r="D239" s="11"/>
      <c r="E239" s="11"/>
      <c r="F239" s="11"/>
      <c r="G239" s="11"/>
      <c r="H239" s="11"/>
      <c r="J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32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55"/>
      <c r="BE239" s="33"/>
      <c r="BF239" s="11"/>
      <c r="BH239" s="11"/>
      <c r="BI239" s="11"/>
      <c r="BJ239" s="11"/>
    </row>
    <row r="240" spans="1:62" s="15" customFormat="1" x14ac:dyDescent="0.25">
      <c r="A240" s="11"/>
      <c r="B240" s="59"/>
      <c r="D240" s="11"/>
      <c r="E240" s="11"/>
      <c r="F240" s="11"/>
      <c r="G240" s="11"/>
      <c r="H240" s="11"/>
      <c r="J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32"/>
      <c r="AA240" s="11"/>
      <c r="AB240" s="11"/>
      <c r="AC240" s="11"/>
      <c r="AD240" s="11"/>
      <c r="AE240" s="11"/>
      <c r="AF240" s="11"/>
      <c r="AG240" s="11"/>
      <c r="AH240" s="11"/>
      <c r="AI240" s="38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55"/>
      <c r="BE240" s="33"/>
      <c r="BF240" s="11"/>
      <c r="BH240" s="11"/>
      <c r="BI240" s="11"/>
      <c r="BJ240" s="11"/>
    </row>
    <row r="241" spans="1:62" s="15" customFormat="1" x14ac:dyDescent="0.25">
      <c r="A241" s="11"/>
      <c r="B241" s="59"/>
      <c r="D241" s="11"/>
      <c r="E241" s="11"/>
      <c r="F241" s="11"/>
      <c r="G241" s="11"/>
      <c r="H241" s="11"/>
      <c r="J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32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55"/>
      <c r="BE241" s="33"/>
      <c r="BF241" s="39"/>
      <c r="BH241" s="11"/>
      <c r="BI241" s="11"/>
      <c r="BJ241" s="11"/>
    </row>
    <row r="242" spans="1:62" s="15" customFormat="1" x14ac:dyDescent="0.25">
      <c r="A242" s="11"/>
      <c r="B242" s="59"/>
      <c r="D242" s="11"/>
      <c r="E242" s="11"/>
      <c r="F242" s="11"/>
      <c r="G242" s="11"/>
      <c r="H242" s="11"/>
      <c r="J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32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55"/>
      <c r="BE242" s="33"/>
      <c r="BF242" s="39"/>
      <c r="BH242" s="11"/>
      <c r="BI242" s="11"/>
      <c r="BJ242" s="11"/>
    </row>
    <row r="243" spans="1:62" s="15" customFormat="1" x14ac:dyDescent="0.25">
      <c r="A243" s="11"/>
      <c r="B243" s="59"/>
      <c r="D243" s="11"/>
      <c r="E243" s="11"/>
      <c r="F243" s="11"/>
      <c r="G243" s="11"/>
      <c r="H243" s="11"/>
      <c r="J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32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55"/>
      <c r="BE243" s="33"/>
      <c r="BF243" s="11"/>
      <c r="BH243" s="11"/>
      <c r="BI243" s="11"/>
      <c r="BJ243" s="11"/>
    </row>
    <row r="244" spans="1:62" s="15" customFormat="1" x14ac:dyDescent="0.25">
      <c r="A244" s="11"/>
      <c r="B244" s="59"/>
      <c r="D244" s="11"/>
      <c r="E244" s="11"/>
      <c r="F244" s="11"/>
      <c r="G244" s="11"/>
      <c r="H244" s="11"/>
      <c r="J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32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55"/>
      <c r="BE244" s="33"/>
      <c r="BF244" s="11"/>
      <c r="BH244" s="11"/>
      <c r="BI244" s="11"/>
      <c r="BJ244" s="11"/>
    </row>
    <row r="245" spans="1:62" s="15" customFormat="1" x14ac:dyDescent="0.25">
      <c r="A245" s="11"/>
      <c r="B245" s="59"/>
      <c r="D245" s="11"/>
      <c r="E245" s="11"/>
      <c r="F245" s="11"/>
      <c r="G245" s="11"/>
      <c r="H245" s="11"/>
      <c r="J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32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55"/>
      <c r="BE245" s="33"/>
      <c r="BF245" s="11"/>
      <c r="BH245" s="11"/>
      <c r="BI245" s="11"/>
      <c r="BJ245" s="11"/>
    </row>
    <row r="246" spans="1:62" s="15" customFormat="1" x14ac:dyDescent="0.25">
      <c r="A246" s="11"/>
      <c r="B246" s="59"/>
      <c r="D246" s="11"/>
      <c r="E246" s="11"/>
      <c r="F246" s="11"/>
      <c r="G246" s="11"/>
      <c r="H246" s="11"/>
      <c r="J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32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55"/>
      <c r="BE246" s="33"/>
      <c r="BF246" s="11"/>
      <c r="BH246" s="11"/>
      <c r="BI246" s="11"/>
      <c r="BJ246" s="11"/>
    </row>
    <row r="247" spans="1:62" s="15" customFormat="1" x14ac:dyDescent="0.25">
      <c r="A247" s="11"/>
      <c r="B247" s="59"/>
      <c r="D247" s="11"/>
      <c r="E247" s="11"/>
      <c r="F247" s="11"/>
      <c r="G247" s="11"/>
      <c r="H247" s="11"/>
      <c r="J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32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55"/>
      <c r="BE247" s="33"/>
      <c r="BF247" s="11"/>
      <c r="BH247" s="11"/>
      <c r="BI247" s="11"/>
      <c r="BJ247" s="11"/>
    </row>
    <row r="248" spans="1:62" s="15" customFormat="1" x14ac:dyDescent="0.25">
      <c r="A248" s="11"/>
      <c r="B248" s="59"/>
      <c r="D248" s="11"/>
      <c r="E248" s="11"/>
      <c r="F248" s="11"/>
      <c r="G248" s="11"/>
      <c r="H248" s="11"/>
      <c r="J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32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55"/>
      <c r="BE248" s="33"/>
      <c r="BF248" s="11"/>
      <c r="BH248" s="11"/>
      <c r="BI248" s="11"/>
      <c r="BJ248" s="11"/>
    </row>
    <row r="249" spans="1:62" s="15" customFormat="1" x14ac:dyDescent="0.25">
      <c r="A249" s="11"/>
      <c r="B249" s="59"/>
      <c r="D249" s="11"/>
      <c r="E249" s="11"/>
      <c r="F249" s="11"/>
      <c r="G249" s="11"/>
      <c r="H249" s="11"/>
      <c r="J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32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55"/>
      <c r="BE249" s="33"/>
      <c r="BF249" s="11"/>
      <c r="BH249" s="11"/>
      <c r="BI249" s="11"/>
      <c r="BJ249" s="11"/>
    </row>
    <row r="250" spans="1:62" s="15" customFormat="1" x14ac:dyDescent="0.25">
      <c r="A250" s="11"/>
      <c r="B250" s="59"/>
      <c r="D250" s="11"/>
      <c r="E250" s="11"/>
      <c r="F250" s="11"/>
      <c r="G250" s="11"/>
      <c r="H250" s="11"/>
      <c r="J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32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55"/>
      <c r="BE250" s="33"/>
      <c r="BF250" s="11"/>
      <c r="BH250" s="11"/>
      <c r="BI250" s="11"/>
      <c r="BJ250" s="11"/>
    </row>
    <row r="251" spans="1:62" s="15" customFormat="1" x14ac:dyDescent="0.25">
      <c r="A251" s="11"/>
      <c r="B251" s="11"/>
      <c r="D251" s="11"/>
      <c r="E251" s="11"/>
      <c r="F251" s="11"/>
      <c r="G251" s="11"/>
      <c r="H251" s="11"/>
      <c r="J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32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55"/>
      <c r="BE251" s="33"/>
      <c r="BF251" s="11"/>
      <c r="BH251" s="11"/>
      <c r="BI251" s="11"/>
      <c r="BJ251" s="11"/>
    </row>
    <row r="252" spans="1:62" x14ac:dyDescent="0.25">
      <c r="B252" s="11"/>
      <c r="Z252" s="32"/>
      <c r="BE252" s="11"/>
    </row>
    <row r="253" spans="1:62" x14ac:dyDescent="0.25">
      <c r="B253" s="11"/>
      <c r="Z253" s="32"/>
      <c r="BE253" s="11"/>
    </row>
    <row r="254" spans="1:62" x14ac:dyDescent="0.25">
      <c r="B254" s="11"/>
      <c r="Z254" s="32"/>
      <c r="BE254" s="11"/>
    </row>
    <row r="255" spans="1:62" x14ac:dyDescent="0.25">
      <c r="B255" s="11"/>
      <c r="Z255" s="32"/>
      <c r="BE255" s="11"/>
    </row>
    <row r="256" spans="1:62" x14ac:dyDescent="0.25">
      <c r="B256" s="11"/>
      <c r="Z256" s="32"/>
      <c r="BE256" s="11"/>
    </row>
    <row r="257" spans="2:57" x14ac:dyDescent="0.25">
      <c r="B257" s="11"/>
      <c r="Z257" s="32"/>
      <c r="BE257" s="11"/>
    </row>
    <row r="258" spans="2:57" x14ac:dyDescent="0.25">
      <c r="B258" s="11"/>
      <c r="Z258" s="32"/>
      <c r="BE258" s="11"/>
    </row>
    <row r="259" spans="2:57" x14ac:dyDescent="0.25">
      <c r="B259" s="11"/>
      <c r="Z259" s="32"/>
      <c r="BE259" s="11"/>
    </row>
    <row r="260" spans="2:57" x14ac:dyDescent="0.25">
      <c r="B260" s="11"/>
      <c r="Z260" s="32"/>
      <c r="BE260" s="11"/>
    </row>
    <row r="261" spans="2:57" x14ac:dyDescent="0.25">
      <c r="B261" s="11"/>
      <c r="Z261" s="32"/>
      <c r="BE261" s="11"/>
    </row>
    <row r="262" spans="2:57" x14ac:dyDescent="0.25">
      <c r="B262" s="11"/>
      <c r="Z262" s="32"/>
      <c r="BE262" s="11"/>
    </row>
    <row r="263" spans="2:57" x14ac:dyDescent="0.25">
      <c r="B263" s="11"/>
      <c r="Z263" s="32"/>
      <c r="BE263" s="11"/>
    </row>
    <row r="264" spans="2:57" x14ac:dyDescent="0.25">
      <c r="B264" s="11"/>
      <c r="Z264" s="32"/>
      <c r="BE264" s="11"/>
    </row>
    <row r="265" spans="2:57" x14ac:dyDescent="0.25">
      <c r="B265" s="11"/>
      <c r="Z265" s="32"/>
      <c r="BE265" s="11"/>
    </row>
    <row r="266" spans="2:57" x14ac:dyDescent="0.25">
      <c r="B266" s="11"/>
      <c r="Z266" s="32"/>
      <c r="BE266" s="11"/>
    </row>
    <row r="267" spans="2:57" x14ac:dyDescent="0.25">
      <c r="B267" s="11"/>
      <c r="Z267" s="32"/>
      <c r="BE267" s="11"/>
    </row>
    <row r="268" spans="2:57" x14ac:dyDescent="0.25">
      <c r="B268" s="11"/>
      <c r="Z268" s="32"/>
      <c r="BE268" s="11"/>
    </row>
    <row r="269" spans="2:57" x14ac:dyDescent="0.25">
      <c r="B269" s="11"/>
      <c r="Z269" s="32"/>
      <c r="BE269" s="11"/>
    </row>
    <row r="270" spans="2:57" x14ac:dyDescent="0.25">
      <c r="B270" s="11"/>
      <c r="Z270" s="32"/>
      <c r="BE270" s="11"/>
    </row>
    <row r="271" spans="2:57" x14ac:dyDescent="0.25">
      <c r="B271" s="11"/>
      <c r="Z271" s="32"/>
      <c r="BE271" s="11"/>
    </row>
    <row r="272" spans="2:57" x14ac:dyDescent="0.25">
      <c r="B272" s="11"/>
      <c r="Z272" s="32"/>
      <c r="BE272" s="11"/>
    </row>
    <row r="273" spans="2:57" x14ac:dyDescent="0.25">
      <c r="B273" s="11"/>
      <c r="Z273" s="32"/>
      <c r="BE273" s="11"/>
    </row>
    <row r="274" spans="2:57" x14ac:dyDescent="0.25">
      <c r="B274" s="11"/>
      <c r="Z274" s="32"/>
      <c r="BE274" s="11"/>
    </row>
    <row r="275" spans="2:57" x14ac:dyDescent="0.25">
      <c r="B275" s="11"/>
      <c r="Z275" s="32"/>
      <c r="BE275" s="11"/>
    </row>
    <row r="276" spans="2:57" x14ac:dyDescent="0.25">
      <c r="B276" s="11"/>
      <c r="Z276" s="32"/>
      <c r="BE276" s="11"/>
    </row>
    <row r="277" spans="2:57" x14ac:dyDescent="0.25">
      <c r="B277" s="11"/>
      <c r="Z277" s="32"/>
      <c r="BE277" s="11"/>
    </row>
    <row r="278" spans="2:57" x14ac:dyDescent="0.25">
      <c r="B278" s="11"/>
      <c r="Z278" s="32"/>
      <c r="BE278" s="11"/>
    </row>
    <row r="279" spans="2:57" x14ac:dyDescent="0.25">
      <c r="B279" s="11"/>
      <c r="Z279" s="32"/>
      <c r="BE279" s="11"/>
    </row>
    <row r="280" spans="2:57" x14ac:dyDescent="0.25">
      <c r="B280" s="11"/>
      <c r="Z280" s="32"/>
      <c r="BE280" s="11"/>
    </row>
    <row r="281" spans="2:57" x14ac:dyDescent="0.25">
      <c r="B281" s="11"/>
      <c r="Z281" s="32"/>
      <c r="BE281" s="11"/>
    </row>
    <row r="282" spans="2:57" x14ac:dyDescent="0.25">
      <c r="B282" s="11"/>
      <c r="Z282" s="32"/>
      <c r="BE282" s="11"/>
    </row>
    <row r="283" spans="2:57" x14ac:dyDescent="0.25">
      <c r="B283" s="11"/>
      <c r="Z283" s="32"/>
      <c r="BE283" s="11"/>
    </row>
    <row r="284" spans="2:57" x14ac:dyDescent="0.25">
      <c r="B284" s="11"/>
      <c r="Z284" s="32"/>
      <c r="BE284" s="11"/>
    </row>
    <row r="285" spans="2:57" x14ac:dyDescent="0.25">
      <c r="B285" s="11"/>
      <c r="Z285" s="32"/>
      <c r="BE285" s="11"/>
    </row>
    <row r="286" spans="2:57" x14ac:dyDescent="0.25">
      <c r="B286" s="11"/>
      <c r="Z286" s="32"/>
      <c r="BE286" s="11"/>
    </row>
    <row r="287" spans="2:57" x14ac:dyDescent="0.25">
      <c r="B287" s="11"/>
      <c r="Z287" s="32"/>
      <c r="BE287" s="11"/>
    </row>
    <row r="288" spans="2:57" x14ac:dyDescent="0.25">
      <c r="B288" s="11"/>
      <c r="Z288" s="32"/>
      <c r="BE288" s="11"/>
    </row>
    <row r="289" spans="2:57" x14ac:dyDescent="0.25">
      <c r="B289" s="11"/>
      <c r="Z289" s="32"/>
      <c r="BE289" s="11"/>
    </row>
    <row r="290" spans="2:57" x14ac:dyDescent="0.25">
      <c r="B290" s="11"/>
      <c r="Z290" s="32"/>
      <c r="BE290" s="11"/>
    </row>
    <row r="291" spans="2:57" x14ac:dyDescent="0.25">
      <c r="B291" s="11"/>
      <c r="Z291" s="32"/>
      <c r="BE291" s="11"/>
    </row>
    <row r="292" spans="2:57" x14ac:dyDescent="0.25">
      <c r="B292" s="11"/>
      <c r="Z292" s="32"/>
      <c r="BE292" s="11"/>
    </row>
    <row r="293" spans="2:57" x14ac:dyDescent="0.25">
      <c r="B293" s="11"/>
      <c r="Z293" s="32"/>
      <c r="BE293" s="11"/>
    </row>
    <row r="294" spans="2:57" x14ac:dyDescent="0.25">
      <c r="B294" s="11"/>
      <c r="Z294" s="32"/>
      <c r="BE294" s="11"/>
    </row>
    <row r="295" spans="2:57" x14ac:dyDescent="0.25">
      <c r="B295" s="11"/>
      <c r="Z295" s="32"/>
      <c r="BE295" s="11"/>
    </row>
    <row r="296" spans="2:57" x14ac:dyDescent="0.25">
      <c r="B296" s="11"/>
      <c r="Z296" s="32"/>
      <c r="BE296" s="11"/>
    </row>
    <row r="297" spans="2:57" x14ac:dyDescent="0.25">
      <c r="B297" s="11"/>
      <c r="Z297" s="32"/>
      <c r="BE297" s="11"/>
    </row>
    <row r="298" spans="2:57" x14ac:dyDescent="0.25">
      <c r="B298" s="11"/>
      <c r="Z298" s="32"/>
      <c r="BE298" s="11"/>
    </row>
    <row r="299" spans="2:57" x14ac:dyDescent="0.25">
      <c r="B299" s="11"/>
      <c r="Z299" s="32"/>
      <c r="BE299" s="11"/>
    </row>
    <row r="300" spans="2:57" x14ac:dyDescent="0.25">
      <c r="B300" s="11"/>
      <c r="Z300" s="32"/>
      <c r="BE300" s="11"/>
    </row>
    <row r="301" spans="2:57" x14ac:dyDescent="0.25">
      <c r="B301" s="11"/>
      <c r="Z301" s="32"/>
      <c r="BE301" s="11"/>
    </row>
    <row r="302" spans="2:57" x14ac:dyDescent="0.25">
      <c r="B302" s="11"/>
      <c r="Z302" s="32"/>
      <c r="BE302" s="11"/>
    </row>
    <row r="303" spans="2:57" x14ac:dyDescent="0.25">
      <c r="B303" s="11"/>
      <c r="Z303" s="32"/>
      <c r="BE303" s="11"/>
    </row>
    <row r="304" spans="2:57" x14ac:dyDescent="0.25">
      <c r="B304" s="11"/>
      <c r="Z304" s="32"/>
      <c r="BE304" s="11"/>
    </row>
    <row r="305" spans="2:57" x14ac:dyDescent="0.25">
      <c r="B305" s="11"/>
      <c r="Z305" s="32"/>
      <c r="BE305" s="11"/>
    </row>
    <row r="306" spans="2:57" x14ac:dyDescent="0.25">
      <c r="B306" s="11"/>
      <c r="Z306" s="32"/>
      <c r="BE306" s="11"/>
    </row>
    <row r="307" spans="2:57" x14ac:dyDescent="0.25">
      <c r="B307" s="11"/>
      <c r="Z307" s="32"/>
      <c r="BE307" s="11"/>
    </row>
    <row r="308" spans="2:57" x14ac:dyDescent="0.25">
      <c r="B308" s="11"/>
      <c r="Z308" s="32"/>
      <c r="BE308" s="11"/>
    </row>
    <row r="309" spans="2:57" x14ac:dyDescent="0.25">
      <c r="B309" s="11"/>
      <c r="Z309" s="32"/>
      <c r="BE309" s="11"/>
    </row>
    <row r="310" spans="2:57" x14ac:dyDescent="0.25">
      <c r="B310" s="11"/>
      <c r="Z310" s="32"/>
      <c r="BE310" s="11"/>
    </row>
    <row r="311" spans="2:57" x14ac:dyDescent="0.25">
      <c r="B311" s="11"/>
      <c r="Z311" s="32"/>
      <c r="BE311" s="11"/>
    </row>
    <row r="312" spans="2:57" x14ac:dyDescent="0.25">
      <c r="B312" s="11"/>
      <c r="Z312" s="32"/>
      <c r="BE312" s="11"/>
    </row>
    <row r="313" spans="2:57" x14ac:dyDescent="0.25">
      <c r="B313" s="11"/>
      <c r="Z313" s="32"/>
      <c r="BE313" s="11"/>
    </row>
    <row r="314" spans="2:57" x14ac:dyDescent="0.25">
      <c r="B314" s="11"/>
      <c r="Z314" s="32"/>
      <c r="BE314" s="11"/>
    </row>
    <row r="315" spans="2:57" x14ac:dyDescent="0.25">
      <c r="B315" s="11"/>
      <c r="Z315" s="32"/>
      <c r="BE315" s="11"/>
    </row>
    <row r="316" spans="2:57" x14ac:dyDescent="0.25">
      <c r="B316" s="11"/>
      <c r="Z316" s="32"/>
      <c r="BE316" s="11"/>
    </row>
    <row r="317" spans="2:57" x14ac:dyDescent="0.25">
      <c r="B317" s="11"/>
      <c r="Z317" s="32"/>
      <c r="BE317" s="11"/>
    </row>
    <row r="318" spans="2:57" x14ac:dyDescent="0.25">
      <c r="B318" s="11"/>
      <c r="Z318" s="32"/>
      <c r="BE318" s="11"/>
    </row>
    <row r="319" spans="2:57" x14ac:dyDescent="0.25">
      <c r="B319" s="11"/>
      <c r="Z319" s="32"/>
      <c r="BE319" s="11"/>
    </row>
    <row r="320" spans="2:57" x14ac:dyDescent="0.25">
      <c r="B320" s="11"/>
      <c r="Z320" s="32"/>
      <c r="BE320" s="11"/>
    </row>
    <row r="321" spans="2:57" x14ac:dyDescent="0.25">
      <c r="B321" s="11"/>
      <c r="Z321" s="32"/>
      <c r="BE321" s="11"/>
    </row>
    <row r="322" spans="2:57" x14ac:dyDescent="0.25">
      <c r="B322" s="11"/>
      <c r="Z322" s="32"/>
      <c r="BE322" s="11"/>
    </row>
    <row r="323" spans="2:57" x14ac:dyDescent="0.25">
      <c r="B323" s="11"/>
      <c r="Z323" s="32"/>
      <c r="BE323" s="11"/>
    </row>
    <row r="324" spans="2:57" x14ac:dyDescent="0.25">
      <c r="B324" s="11"/>
      <c r="Z324" s="32"/>
      <c r="BE324" s="11"/>
    </row>
    <row r="325" spans="2:57" x14ac:dyDescent="0.25">
      <c r="B325" s="11"/>
      <c r="Z325" s="32"/>
      <c r="BE325" s="11"/>
    </row>
    <row r="326" spans="2:57" x14ac:dyDescent="0.25">
      <c r="B326" s="11"/>
      <c r="Z326" s="32"/>
      <c r="BE326" s="11"/>
    </row>
    <row r="327" spans="2:57" x14ac:dyDescent="0.25">
      <c r="B327" s="11"/>
      <c r="Z327" s="32"/>
      <c r="BE327" s="11"/>
    </row>
    <row r="328" spans="2:57" x14ac:dyDescent="0.25">
      <c r="B328" s="11"/>
      <c r="Z328" s="32"/>
      <c r="BE328" s="11"/>
    </row>
    <row r="329" spans="2:57" x14ac:dyDescent="0.25">
      <c r="B329" s="11"/>
      <c r="Z329" s="32"/>
      <c r="BE329" s="11"/>
    </row>
    <row r="330" spans="2:57" x14ac:dyDescent="0.25">
      <c r="B330" s="11"/>
      <c r="Z330" s="32"/>
      <c r="BE330" s="11"/>
    </row>
    <row r="331" spans="2:57" x14ac:dyDescent="0.25">
      <c r="B331" s="11"/>
      <c r="Z331" s="32"/>
      <c r="BE331" s="11"/>
    </row>
    <row r="332" spans="2:57" x14ac:dyDescent="0.25">
      <c r="B332" s="11"/>
      <c r="Z332" s="32"/>
      <c r="BE332" s="11"/>
    </row>
    <row r="333" spans="2:57" x14ac:dyDescent="0.25">
      <c r="B333" s="11"/>
      <c r="Z333" s="32"/>
      <c r="BE333" s="11"/>
    </row>
    <row r="334" spans="2:57" x14ac:dyDescent="0.25">
      <c r="B334" s="11"/>
      <c r="Z334" s="32"/>
      <c r="BE334" s="11"/>
    </row>
    <row r="335" spans="2:57" x14ac:dyDescent="0.25">
      <c r="B335" s="11"/>
      <c r="Z335" s="32"/>
      <c r="BE335" s="11"/>
    </row>
    <row r="336" spans="2:57" x14ac:dyDescent="0.25">
      <c r="B336" s="11"/>
      <c r="Z336" s="32"/>
      <c r="BE336" s="11"/>
    </row>
    <row r="337" spans="2:57" x14ac:dyDescent="0.25">
      <c r="B337" s="11"/>
      <c r="Z337" s="32"/>
      <c r="BE337" s="11"/>
    </row>
    <row r="338" spans="2:57" x14ac:dyDescent="0.25">
      <c r="B338" s="11"/>
      <c r="Z338" s="32"/>
      <c r="BE338" s="11"/>
    </row>
    <row r="339" spans="2:57" x14ac:dyDescent="0.25">
      <c r="B339" s="11"/>
      <c r="Z339" s="32"/>
      <c r="BE339" s="11"/>
    </row>
    <row r="340" spans="2:57" x14ac:dyDescent="0.25">
      <c r="B340" s="11"/>
      <c r="Z340" s="32"/>
      <c r="BE340" s="11"/>
    </row>
    <row r="341" spans="2:57" x14ac:dyDescent="0.25">
      <c r="B341" s="11"/>
      <c r="Z341" s="32"/>
      <c r="BE341" s="11"/>
    </row>
    <row r="342" spans="2:57" x14ac:dyDescent="0.25">
      <c r="B342" s="11"/>
      <c r="Z342" s="32"/>
      <c r="BE342" s="11"/>
    </row>
    <row r="343" spans="2:57" x14ac:dyDescent="0.25">
      <c r="B343" s="11"/>
      <c r="Z343" s="32"/>
      <c r="BE343" s="11"/>
    </row>
    <row r="344" spans="2:57" x14ac:dyDescent="0.25">
      <c r="B344" s="11"/>
      <c r="Z344" s="32"/>
      <c r="BE344" s="11"/>
    </row>
    <row r="345" spans="2:57" x14ac:dyDescent="0.25">
      <c r="B345" s="11"/>
      <c r="Z345" s="32"/>
      <c r="BE345" s="11"/>
    </row>
    <row r="346" spans="2:57" x14ac:dyDescent="0.25">
      <c r="B346" s="11"/>
      <c r="Z346" s="32"/>
      <c r="BE346" s="11"/>
    </row>
    <row r="347" spans="2:57" x14ac:dyDescent="0.25">
      <c r="B347" s="11"/>
      <c r="Z347" s="32"/>
      <c r="BE347" s="11"/>
    </row>
    <row r="348" spans="2:57" x14ac:dyDescent="0.25">
      <c r="B348" s="11"/>
      <c r="Z348" s="32"/>
      <c r="BE348" s="11"/>
    </row>
    <row r="349" spans="2:57" x14ac:dyDescent="0.25">
      <c r="B349" s="11"/>
      <c r="Z349" s="32"/>
      <c r="BE349" s="11"/>
    </row>
    <row r="350" spans="2:57" x14ac:dyDescent="0.25">
      <c r="B350" s="11"/>
      <c r="Z350" s="32"/>
      <c r="BE350" s="11"/>
    </row>
    <row r="351" spans="2:57" x14ac:dyDescent="0.25">
      <c r="B351" s="11"/>
      <c r="Z351" s="32"/>
      <c r="BE351" s="11"/>
    </row>
    <row r="352" spans="2:57" x14ac:dyDescent="0.25">
      <c r="B352" s="11"/>
      <c r="Z352" s="32"/>
      <c r="BE352" s="11"/>
    </row>
    <row r="353" spans="2:57" x14ac:dyDescent="0.25">
      <c r="B353" s="11"/>
      <c r="Z353" s="32"/>
      <c r="BE353" s="11"/>
    </row>
    <row r="354" spans="2:57" x14ac:dyDescent="0.25">
      <c r="B354" s="11"/>
      <c r="Z354" s="32"/>
      <c r="BE354" s="11"/>
    </row>
    <row r="355" spans="2:57" x14ac:dyDescent="0.25">
      <c r="B355" s="11"/>
      <c r="Z355" s="32"/>
      <c r="BE355" s="11"/>
    </row>
    <row r="356" spans="2:57" x14ac:dyDescent="0.25">
      <c r="B356" s="11"/>
      <c r="Z356" s="32"/>
      <c r="BE356" s="11"/>
    </row>
    <row r="357" spans="2:57" x14ac:dyDescent="0.25">
      <c r="B357" s="11"/>
      <c r="Z357" s="32"/>
      <c r="BE357" s="11"/>
    </row>
    <row r="358" spans="2:57" x14ac:dyDescent="0.25">
      <c r="B358" s="11"/>
      <c r="Z358" s="32"/>
      <c r="BE358" s="11"/>
    </row>
    <row r="359" spans="2:57" x14ac:dyDescent="0.25">
      <c r="B359" s="11"/>
      <c r="Z359" s="32"/>
      <c r="BE359" s="11"/>
    </row>
    <row r="360" spans="2:57" x14ac:dyDescent="0.25">
      <c r="B360" s="11"/>
      <c r="Z360" s="32"/>
      <c r="BE360" s="11"/>
    </row>
    <row r="361" spans="2:57" x14ac:dyDescent="0.25">
      <c r="B361" s="11"/>
      <c r="Z361" s="32"/>
      <c r="BE361" s="11"/>
    </row>
    <row r="362" spans="2:57" x14ac:dyDescent="0.25">
      <c r="B362" s="11"/>
      <c r="Z362" s="32"/>
      <c r="BE362" s="11"/>
    </row>
    <row r="363" spans="2:57" x14ac:dyDescent="0.25">
      <c r="B363" s="11"/>
      <c r="Z363" s="32"/>
      <c r="BE363" s="11"/>
    </row>
    <row r="364" spans="2:57" x14ac:dyDescent="0.25">
      <c r="B364" s="11"/>
      <c r="Z364" s="32"/>
      <c r="BE364" s="11"/>
    </row>
    <row r="365" spans="2:57" x14ac:dyDescent="0.25">
      <c r="B365" s="11"/>
      <c r="Z365" s="32"/>
      <c r="BE365" s="11"/>
    </row>
    <row r="366" spans="2:57" x14ac:dyDescent="0.25">
      <c r="B366" s="11"/>
      <c r="Z366" s="32"/>
      <c r="BE366" s="11"/>
    </row>
    <row r="367" spans="2:57" x14ac:dyDescent="0.25">
      <c r="B367" s="11"/>
      <c r="Z367" s="32"/>
      <c r="BE367" s="11"/>
    </row>
    <row r="368" spans="2:57" x14ac:dyDescent="0.25">
      <c r="B368" s="11"/>
      <c r="Z368" s="32"/>
      <c r="BE368" s="11"/>
    </row>
    <row r="369" spans="2:57" x14ac:dyDescent="0.25">
      <c r="B369" s="11"/>
      <c r="Z369" s="32"/>
      <c r="BE369" s="11"/>
    </row>
    <row r="370" spans="2:57" x14ac:dyDescent="0.25">
      <c r="B370" s="11"/>
      <c r="Z370" s="32"/>
      <c r="BE370" s="11"/>
    </row>
    <row r="371" spans="2:57" x14ac:dyDescent="0.25">
      <c r="B371" s="11"/>
      <c r="Z371" s="32"/>
      <c r="BE371" s="11"/>
    </row>
    <row r="372" spans="2:57" x14ac:dyDescent="0.25">
      <c r="B372" s="11"/>
      <c r="Z372" s="32"/>
      <c r="BE372" s="11"/>
    </row>
    <row r="373" spans="2:57" x14ac:dyDescent="0.25">
      <c r="B373" s="11"/>
      <c r="Z373" s="32"/>
      <c r="BE373" s="11"/>
    </row>
    <row r="374" spans="2:57" x14ac:dyDescent="0.25">
      <c r="B374" s="11"/>
      <c r="Z374" s="32"/>
      <c r="BE374" s="11"/>
    </row>
    <row r="375" spans="2:57" x14ac:dyDescent="0.25">
      <c r="B375" s="11"/>
      <c r="Z375" s="32"/>
      <c r="BE375" s="11"/>
    </row>
    <row r="376" spans="2:57" x14ac:dyDescent="0.25">
      <c r="B376" s="11"/>
      <c r="Z376" s="32"/>
      <c r="BE376" s="11"/>
    </row>
    <row r="377" spans="2:57" x14ac:dyDescent="0.25">
      <c r="B377" s="11"/>
      <c r="Z377" s="32"/>
      <c r="BE377" s="11"/>
    </row>
    <row r="378" spans="2:57" x14ac:dyDescent="0.25">
      <c r="B378" s="11"/>
      <c r="Z378" s="32"/>
      <c r="BE378" s="11"/>
    </row>
    <row r="379" spans="2:57" x14ac:dyDescent="0.25">
      <c r="B379" s="11"/>
      <c r="Z379" s="32"/>
      <c r="BE379" s="11"/>
    </row>
    <row r="380" spans="2:57" x14ac:dyDescent="0.25">
      <c r="B380" s="11"/>
      <c r="Z380" s="32"/>
      <c r="BE380" s="11"/>
    </row>
    <row r="381" spans="2:57" x14ac:dyDescent="0.25">
      <c r="B381" s="11"/>
      <c r="Z381" s="32"/>
      <c r="BE381" s="11"/>
    </row>
    <row r="382" spans="2:57" x14ac:dyDescent="0.25">
      <c r="B382" s="11"/>
      <c r="Z382" s="32"/>
      <c r="BE382" s="11"/>
    </row>
    <row r="383" spans="2:57" x14ac:dyDescent="0.25">
      <c r="B383" s="11"/>
      <c r="Z383" s="32"/>
      <c r="BE383" s="11"/>
    </row>
    <row r="384" spans="2:57" x14ac:dyDescent="0.25">
      <c r="B384" s="11"/>
      <c r="Z384" s="32"/>
      <c r="BE384" s="11"/>
    </row>
    <row r="385" spans="2:57" x14ac:dyDescent="0.25">
      <c r="B385" s="11"/>
      <c r="Z385" s="32"/>
      <c r="BE385" s="11"/>
    </row>
    <row r="386" spans="2:57" x14ac:dyDescent="0.25">
      <c r="B386" s="11"/>
      <c r="Z386" s="32"/>
      <c r="BE386" s="11"/>
    </row>
    <row r="387" spans="2:57" x14ac:dyDescent="0.25">
      <c r="B387" s="11"/>
      <c r="Z387" s="32"/>
      <c r="BE387" s="11"/>
    </row>
    <row r="388" spans="2:57" x14ac:dyDescent="0.25">
      <c r="B388" s="11"/>
      <c r="Z388" s="32"/>
      <c r="BE388" s="11"/>
    </row>
    <row r="389" spans="2:57" x14ac:dyDescent="0.25">
      <c r="B389" s="11"/>
      <c r="Z389" s="32"/>
      <c r="BE389" s="11"/>
    </row>
    <row r="390" spans="2:57" x14ac:dyDescent="0.25">
      <c r="B390" s="11"/>
      <c r="Z390" s="32"/>
      <c r="BE390" s="11"/>
    </row>
    <row r="391" spans="2:57" x14ac:dyDescent="0.25">
      <c r="B391" s="11"/>
      <c r="Z391" s="32"/>
      <c r="BE391" s="11"/>
    </row>
    <row r="392" spans="2:57" x14ac:dyDescent="0.25">
      <c r="B392" s="11"/>
      <c r="Z392" s="32"/>
      <c r="BE392" s="11"/>
    </row>
    <row r="393" spans="2:57" x14ac:dyDescent="0.25">
      <c r="B393" s="11"/>
      <c r="Z393" s="32"/>
      <c r="BE393" s="11"/>
    </row>
    <row r="394" spans="2:57" x14ac:dyDescent="0.25">
      <c r="B394" s="11"/>
      <c r="Z394" s="32"/>
      <c r="BE394" s="11"/>
    </row>
    <row r="395" spans="2:57" x14ac:dyDescent="0.25">
      <c r="Z395" s="32"/>
      <c r="BE395" s="11"/>
    </row>
  </sheetData>
  <autoFilter ref="A2:BH225"/>
  <mergeCells count="1">
    <mergeCell ref="N1:R1"/>
  </mergeCells>
  <conditionalFormatting sqref="AQ23 AQ26 AQ21 AQ41 AQ34:AQ36 AQ87 AQ89:AQ90 AQ69 AQ104:AQ106 AQ29:AQ32 AQ109:AQ115 AQ72 AQ1:AQ5 AQ152:AQ153 AQ78:AQ80 AQ75:AQ76 AQ49:AQ50 AQ164 AQ183:AQ184 AQ52:AQ57 AQ186 AQ201:AQ206 AQ171:AQ174 AQ127:AQ136 AQ208:AQ213 AQ7:AQ19 AQ38:AQ39 AQ43:AQ47 AQ138:AQ145 AQ157:AQ161 AQ176:AQ181 AQ190:AQ198 AQ147:AQ150 AQ215 AQ217:AQ225">
    <cfRule type="cellIs" dxfId="85" priority="213" operator="equal">
      <formula>26000</formula>
    </cfRule>
  </conditionalFormatting>
  <conditionalFormatting sqref="B43:B48">
    <cfRule type="containsText" dxfId="84" priority="212" operator="containsText" text="ABSCOND">
      <formula>NOT(ISERROR(SEARCH("ABSCOND",B43)))</formula>
    </cfRule>
  </conditionalFormatting>
  <conditionalFormatting sqref="AQ58">
    <cfRule type="cellIs" dxfId="83" priority="211" operator="equal">
      <formula>26000</formula>
    </cfRule>
  </conditionalFormatting>
  <conditionalFormatting sqref="AQ59">
    <cfRule type="cellIs" dxfId="82" priority="210" operator="equal">
      <formula>26000</formula>
    </cfRule>
  </conditionalFormatting>
  <conditionalFormatting sqref="AQ60">
    <cfRule type="cellIs" dxfId="81" priority="207" operator="equal">
      <formula>26000</formula>
    </cfRule>
  </conditionalFormatting>
  <conditionalFormatting sqref="AQ62">
    <cfRule type="cellIs" dxfId="80" priority="206" operator="equal">
      <formula>26000</formula>
    </cfRule>
  </conditionalFormatting>
  <conditionalFormatting sqref="AQ64">
    <cfRule type="cellIs" dxfId="79" priority="205" operator="equal">
      <formula>26000</formula>
    </cfRule>
  </conditionalFormatting>
  <conditionalFormatting sqref="AQ65">
    <cfRule type="cellIs" dxfId="78" priority="204" operator="equal">
      <formula>26000</formula>
    </cfRule>
  </conditionalFormatting>
  <conditionalFormatting sqref="AQ66">
    <cfRule type="cellIs" dxfId="77" priority="203" operator="equal">
      <formula>26000</formula>
    </cfRule>
  </conditionalFormatting>
  <conditionalFormatting sqref="AQ67">
    <cfRule type="cellIs" dxfId="76" priority="202" operator="equal">
      <formula>26000</formula>
    </cfRule>
  </conditionalFormatting>
  <conditionalFormatting sqref="AQ61">
    <cfRule type="cellIs" dxfId="75" priority="201" operator="equal">
      <formula>26000</formula>
    </cfRule>
  </conditionalFormatting>
  <conditionalFormatting sqref="AQ51">
    <cfRule type="cellIs" dxfId="74" priority="199" operator="equal">
      <formula>26000</formula>
    </cfRule>
  </conditionalFormatting>
  <conditionalFormatting sqref="AQ33">
    <cfRule type="cellIs" dxfId="73" priority="197" operator="equal">
      <formula>26000</formula>
    </cfRule>
  </conditionalFormatting>
  <conditionalFormatting sqref="AQ22">
    <cfRule type="cellIs" dxfId="72" priority="196" operator="equal">
      <formula>26000</formula>
    </cfRule>
  </conditionalFormatting>
  <conditionalFormatting sqref="AQ37">
    <cfRule type="cellIs" dxfId="71" priority="195" operator="equal">
      <formula>26000</formula>
    </cfRule>
  </conditionalFormatting>
  <conditionalFormatting sqref="AQ42">
    <cfRule type="cellIs" dxfId="70" priority="194" operator="equal">
      <formula>26000</formula>
    </cfRule>
  </conditionalFormatting>
  <conditionalFormatting sqref="AQ48">
    <cfRule type="cellIs" dxfId="69" priority="193" operator="equal">
      <formula>26000</formula>
    </cfRule>
  </conditionalFormatting>
  <conditionalFormatting sqref="AQ40">
    <cfRule type="cellIs" dxfId="68" priority="192" operator="equal">
      <formula>26000</formula>
    </cfRule>
  </conditionalFormatting>
  <conditionalFormatting sqref="AQ24:AQ25">
    <cfRule type="cellIs" dxfId="67" priority="191" operator="equal">
      <formula>26000</formula>
    </cfRule>
  </conditionalFormatting>
  <conditionalFormatting sqref="AQ27:AQ28">
    <cfRule type="cellIs" dxfId="66" priority="190" operator="equal">
      <formula>26000</formula>
    </cfRule>
  </conditionalFormatting>
  <conditionalFormatting sqref="AQ6">
    <cfRule type="cellIs" dxfId="65" priority="188" operator="equal">
      <formula>26000</formula>
    </cfRule>
  </conditionalFormatting>
  <conditionalFormatting sqref="AQ70:AQ71">
    <cfRule type="cellIs" dxfId="64" priority="180" operator="equal">
      <formula>26000</formula>
    </cfRule>
  </conditionalFormatting>
  <conditionalFormatting sqref="AQ73">
    <cfRule type="cellIs" dxfId="63" priority="175" operator="equal">
      <formula>26000</formula>
    </cfRule>
  </conditionalFormatting>
  <conditionalFormatting sqref="AQ74">
    <cfRule type="cellIs" dxfId="62" priority="174" operator="equal">
      <formula>26000</formula>
    </cfRule>
  </conditionalFormatting>
  <conditionalFormatting sqref="B1:B3">
    <cfRule type="duplicateValues" dxfId="61" priority="216"/>
  </conditionalFormatting>
  <conditionalFormatting sqref="AQ77">
    <cfRule type="cellIs" dxfId="60" priority="167" operator="equal">
      <formula>26000</formula>
    </cfRule>
  </conditionalFormatting>
  <conditionalFormatting sqref="AQ81:AQ82">
    <cfRule type="cellIs" dxfId="59" priority="157" operator="equal">
      <formula>26000</formula>
    </cfRule>
  </conditionalFormatting>
  <conditionalFormatting sqref="AQ83">
    <cfRule type="cellIs" dxfId="58" priority="156" operator="equal">
      <formula>26000</formula>
    </cfRule>
  </conditionalFormatting>
  <conditionalFormatting sqref="AQ84">
    <cfRule type="cellIs" dxfId="57" priority="155" operator="equal">
      <formula>26000</formula>
    </cfRule>
  </conditionalFormatting>
  <conditionalFormatting sqref="AQ85">
    <cfRule type="cellIs" dxfId="56" priority="153" operator="equal">
      <formula>26000</formula>
    </cfRule>
  </conditionalFormatting>
  <conditionalFormatting sqref="AQ86">
    <cfRule type="cellIs" dxfId="55" priority="148" operator="equal">
      <formula>26000</formula>
    </cfRule>
  </conditionalFormatting>
  <conditionalFormatting sqref="AQ88">
    <cfRule type="cellIs" dxfId="54" priority="141" operator="equal">
      <formula>26000</formula>
    </cfRule>
  </conditionalFormatting>
  <conditionalFormatting sqref="AQ63">
    <cfRule type="cellIs" dxfId="53" priority="139" operator="equal">
      <formula>26000</formula>
    </cfRule>
  </conditionalFormatting>
  <conditionalFormatting sqref="AQ68">
    <cfRule type="cellIs" dxfId="52" priority="138" operator="equal">
      <formula>26000</formula>
    </cfRule>
  </conditionalFormatting>
  <conditionalFormatting sqref="AQ91">
    <cfRule type="cellIs" dxfId="51" priority="125" operator="equal">
      <formula>26000</formula>
    </cfRule>
  </conditionalFormatting>
  <conditionalFormatting sqref="AQ92">
    <cfRule type="cellIs" dxfId="50" priority="124" operator="equal">
      <formula>26000</formula>
    </cfRule>
  </conditionalFormatting>
  <conditionalFormatting sqref="AQ93">
    <cfRule type="cellIs" dxfId="49" priority="123" operator="equal">
      <formula>26000</formula>
    </cfRule>
  </conditionalFormatting>
  <conditionalFormatting sqref="AQ94">
    <cfRule type="cellIs" dxfId="48" priority="122" operator="equal">
      <formula>26000</formula>
    </cfRule>
  </conditionalFormatting>
  <conditionalFormatting sqref="AQ95">
    <cfRule type="cellIs" dxfId="47" priority="117" operator="equal">
      <formula>26000</formula>
    </cfRule>
  </conditionalFormatting>
  <conditionalFormatting sqref="AQ96">
    <cfRule type="cellIs" dxfId="46" priority="116" operator="equal">
      <formula>26000</formula>
    </cfRule>
  </conditionalFormatting>
  <conditionalFormatting sqref="AQ20">
    <cfRule type="cellIs" dxfId="45" priority="113" operator="equal">
      <formula>26000</formula>
    </cfRule>
  </conditionalFormatting>
  <conditionalFormatting sqref="AQ98">
    <cfRule type="cellIs" dxfId="44" priority="112" operator="equal">
      <formula>26000</formula>
    </cfRule>
  </conditionalFormatting>
  <conditionalFormatting sqref="AQ99:AQ100">
    <cfRule type="cellIs" dxfId="43" priority="109" operator="equal">
      <formula>26000</formula>
    </cfRule>
  </conditionalFormatting>
  <conditionalFormatting sqref="AQ103">
    <cfRule type="cellIs" dxfId="42" priority="106" operator="equal">
      <formula>26000</formula>
    </cfRule>
  </conditionalFormatting>
  <conditionalFormatting sqref="AQ102">
    <cfRule type="cellIs" dxfId="41" priority="108" operator="equal">
      <formula>26000</formula>
    </cfRule>
  </conditionalFormatting>
  <conditionalFormatting sqref="AQ107">
    <cfRule type="cellIs" dxfId="40" priority="102" operator="equal">
      <formula>26000</formula>
    </cfRule>
  </conditionalFormatting>
  <conditionalFormatting sqref="AQ108">
    <cfRule type="cellIs" dxfId="39" priority="101" operator="equal">
      <formula>26000</formula>
    </cfRule>
  </conditionalFormatting>
  <conditionalFormatting sqref="AQ116">
    <cfRule type="cellIs" dxfId="38" priority="75" operator="equal">
      <formula>26000</formula>
    </cfRule>
  </conditionalFormatting>
  <conditionalFormatting sqref="AQ117">
    <cfRule type="cellIs" dxfId="37" priority="71" operator="equal">
      <formula>26000</formula>
    </cfRule>
  </conditionalFormatting>
  <conditionalFormatting sqref="AQ118">
    <cfRule type="cellIs" dxfId="36" priority="70" operator="equal">
      <formula>26000</formula>
    </cfRule>
  </conditionalFormatting>
  <conditionalFormatting sqref="AQ119">
    <cfRule type="cellIs" dxfId="35" priority="67" operator="equal">
      <formula>26000</formula>
    </cfRule>
  </conditionalFormatting>
  <conditionalFormatting sqref="AQ121:AQ124">
    <cfRule type="cellIs" dxfId="34" priority="65" operator="equal">
      <formula>26000</formula>
    </cfRule>
  </conditionalFormatting>
  <conditionalFormatting sqref="AQ126">
    <cfRule type="cellIs" dxfId="33" priority="64" operator="equal">
      <formula>26000</formula>
    </cfRule>
  </conditionalFormatting>
  <conditionalFormatting sqref="AQ120">
    <cfRule type="cellIs" dxfId="32" priority="63" operator="equal">
      <formula>26000</formula>
    </cfRule>
  </conditionalFormatting>
  <conditionalFormatting sqref="AQ125">
    <cfRule type="cellIs" dxfId="31" priority="62" operator="equal">
      <formula>26000</formula>
    </cfRule>
  </conditionalFormatting>
  <conditionalFormatting sqref="B24:B28">
    <cfRule type="duplicateValues" dxfId="30" priority="1719"/>
  </conditionalFormatting>
  <conditionalFormatting sqref="AQ146">
    <cfRule type="cellIs" dxfId="29" priority="50" operator="equal">
      <formula>26000</formula>
    </cfRule>
  </conditionalFormatting>
  <conditionalFormatting sqref="AQ154">
    <cfRule type="cellIs" dxfId="28" priority="48" operator="equal">
      <formula>26000</formula>
    </cfRule>
  </conditionalFormatting>
  <conditionalFormatting sqref="AQ155">
    <cfRule type="cellIs" dxfId="27" priority="46" operator="equal">
      <formula>26000</formula>
    </cfRule>
  </conditionalFormatting>
  <conditionalFormatting sqref="AQ156">
    <cfRule type="cellIs" dxfId="26" priority="45" operator="equal">
      <formula>26000</formula>
    </cfRule>
  </conditionalFormatting>
  <conditionalFormatting sqref="AQ137">
    <cfRule type="cellIs" dxfId="25" priority="43" operator="equal">
      <formula>26000</formula>
    </cfRule>
  </conditionalFormatting>
  <conditionalFormatting sqref="AQ151">
    <cfRule type="cellIs" dxfId="24" priority="42" operator="equal">
      <formula>26000</formula>
    </cfRule>
  </conditionalFormatting>
  <conditionalFormatting sqref="AQ101">
    <cfRule type="cellIs" dxfId="23" priority="41" operator="equal">
      <formula>26000</formula>
    </cfRule>
  </conditionalFormatting>
  <conditionalFormatting sqref="AQ162">
    <cfRule type="cellIs" dxfId="22" priority="36" operator="equal">
      <formula>26000</formula>
    </cfRule>
  </conditionalFormatting>
  <conditionalFormatting sqref="AQ163">
    <cfRule type="cellIs" dxfId="21" priority="34" operator="equal">
      <formula>26000</formula>
    </cfRule>
  </conditionalFormatting>
  <conditionalFormatting sqref="AQ165">
    <cfRule type="cellIs" dxfId="20" priority="27" operator="equal">
      <formula>26000</formula>
    </cfRule>
  </conditionalFormatting>
  <conditionalFormatting sqref="AQ166:AQ167">
    <cfRule type="cellIs" dxfId="19" priority="26" operator="equal">
      <formula>26000</formula>
    </cfRule>
  </conditionalFormatting>
  <conditionalFormatting sqref="AQ168">
    <cfRule type="cellIs" dxfId="18" priority="25" operator="equal">
      <formula>26000</formula>
    </cfRule>
  </conditionalFormatting>
  <conditionalFormatting sqref="AQ169">
    <cfRule type="cellIs" dxfId="17" priority="23" operator="equal">
      <formula>26000</formula>
    </cfRule>
  </conditionalFormatting>
  <conditionalFormatting sqref="AQ170">
    <cfRule type="cellIs" dxfId="16" priority="22" operator="equal">
      <formula>26000</formula>
    </cfRule>
  </conditionalFormatting>
  <conditionalFormatting sqref="AQ175">
    <cfRule type="cellIs" dxfId="15" priority="20" operator="equal">
      <formula>26000</formula>
    </cfRule>
  </conditionalFormatting>
  <conditionalFormatting sqref="B22:B23">
    <cfRule type="duplicateValues" dxfId="14" priority="1788"/>
  </conditionalFormatting>
  <conditionalFormatting sqref="AQ182">
    <cfRule type="cellIs" dxfId="13" priority="17" operator="equal">
      <formula>26000</formula>
    </cfRule>
  </conditionalFormatting>
  <conditionalFormatting sqref="AQ185">
    <cfRule type="cellIs" dxfId="12" priority="14" operator="equal">
      <formula>26000</formula>
    </cfRule>
  </conditionalFormatting>
  <conditionalFormatting sqref="AQ187">
    <cfRule type="cellIs" dxfId="11" priority="13" operator="equal">
      <formula>26000</formula>
    </cfRule>
  </conditionalFormatting>
  <conditionalFormatting sqref="AQ188:AQ189">
    <cfRule type="cellIs" dxfId="10" priority="12" operator="equal">
      <formula>26000</formula>
    </cfRule>
  </conditionalFormatting>
  <conditionalFormatting sqref="AQ199:AQ200">
    <cfRule type="cellIs" dxfId="9" priority="9" operator="equal">
      <formula>26000</formula>
    </cfRule>
  </conditionalFormatting>
  <conditionalFormatting sqref="AQ207">
    <cfRule type="cellIs" dxfId="8" priority="7" operator="equal">
      <formula>26000</formula>
    </cfRule>
  </conditionalFormatting>
  <conditionalFormatting sqref="AQ214">
    <cfRule type="cellIs" dxfId="7" priority="5" operator="equal">
      <formula>26000</formula>
    </cfRule>
  </conditionalFormatting>
  <conditionalFormatting sqref="AQ97">
    <cfRule type="cellIs" dxfId="6" priority="3" operator="equal">
      <formula>26000</formula>
    </cfRule>
  </conditionalFormatting>
  <conditionalFormatting sqref="B36:B55 B29:B34">
    <cfRule type="duplicateValues" dxfId="5" priority="1826"/>
  </conditionalFormatting>
  <conditionalFormatting sqref="B36:B55 B4:B21 B29:B34">
    <cfRule type="duplicateValues" dxfId="4" priority="1829"/>
  </conditionalFormatting>
  <conditionalFormatting sqref="AQ216">
    <cfRule type="cellIs" dxfId="3" priority="2" operator="equal">
      <formula>26000</formula>
    </cfRule>
  </conditionalFormatting>
  <conditionalFormatting sqref="E1:G2">
    <cfRule type="duplicateValues" dxfId="2" priority="1835"/>
  </conditionalFormatting>
  <pageMargins left="0.3" right="0.22" top="0.33" bottom="0.43" header="0.24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K279"/>
  <sheetViews>
    <sheetView tabSelected="1" workbookViewId="0">
      <pane xSplit="3" ySplit="2" topLeftCell="P3" activePane="bottomRight" state="frozen"/>
      <selection activeCell="A2" sqref="A2"/>
      <selection pane="topRight" activeCell="D2" sqref="D2"/>
      <selection pane="bottomLeft" activeCell="A3" sqref="A3"/>
      <selection pane="bottomRight" activeCell="AB16" sqref="AB16"/>
    </sheetView>
  </sheetViews>
  <sheetFormatPr defaultRowHeight="15" x14ac:dyDescent="0.25"/>
  <cols>
    <col min="1" max="1" width="4.5703125" style="11" bestFit="1" customWidth="1"/>
    <col min="2" max="2" width="11.7109375" style="161" bestFit="1" customWidth="1"/>
    <col min="3" max="3" width="21.85546875" style="161" bestFit="1" customWidth="1"/>
    <col min="4" max="4" width="14.140625" style="11" bestFit="1" customWidth="1"/>
    <col min="5" max="5" width="14.140625" style="11" customWidth="1"/>
    <col min="6" max="6" width="10.140625" style="11" bestFit="1" customWidth="1"/>
    <col min="7" max="7" width="14.5703125" style="11" customWidth="1"/>
    <col min="8" max="8" width="24.5703125" style="11" bestFit="1" customWidth="1"/>
    <col min="9" max="9" width="13.28515625" style="11" customWidth="1"/>
    <col min="10" max="10" width="9.140625" style="11" bestFit="1" customWidth="1"/>
    <col min="11" max="11" width="13.42578125" style="11" bestFit="1" customWidth="1"/>
    <col min="12" max="12" width="11.5703125" style="11" bestFit="1" customWidth="1"/>
    <col min="13" max="13" width="9.28515625" style="11" bestFit="1" customWidth="1"/>
    <col min="14" max="14" width="13.140625" style="11" bestFit="1" customWidth="1"/>
    <col min="15" max="15" width="8" style="11" bestFit="1" customWidth="1"/>
    <col min="16" max="16" width="9" style="162" bestFit="1" customWidth="1"/>
    <col min="17" max="17" width="7.28515625" style="11" bestFit="1" customWidth="1"/>
    <col min="18" max="18" width="14.28515625" style="11" bestFit="1" customWidth="1"/>
    <col min="19" max="19" width="12" style="11" bestFit="1" customWidth="1"/>
    <col min="20" max="20" width="15.5703125" style="11" bestFit="1" customWidth="1"/>
    <col min="21" max="22" width="11.5703125" style="11" bestFit="1" customWidth="1"/>
    <col min="23" max="23" width="10.7109375" style="11" bestFit="1" customWidth="1"/>
    <col min="24" max="24" width="12.28515625" style="11" bestFit="1" customWidth="1"/>
    <col min="25" max="25" width="11.5703125" style="11" bestFit="1" customWidth="1"/>
    <col min="26" max="26" width="26" style="11" bestFit="1" customWidth="1"/>
    <col min="27" max="27" width="15.28515625" style="11" bestFit="1" customWidth="1"/>
    <col min="28" max="28" width="21.42578125" style="11" customWidth="1"/>
    <col min="29" max="29" width="10.85546875" style="11" bestFit="1" customWidth="1"/>
    <col min="30" max="30" width="32.42578125" style="11" bestFit="1" customWidth="1"/>
    <col min="31" max="31" width="19.42578125" style="11" hidden="1" customWidth="1"/>
    <col min="32" max="32" width="6.5703125" style="11" hidden="1" customWidth="1"/>
    <col min="33" max="33" width="34.28515625" style="11" bestFit="1" customWidth="1"/>
    <col min="34" max="16384" width="9.140625" style="11"/>
  </cols>
  <sheetData>
    <row r="1" spans="1:34" ht="17.25" x14ac:dyDescent="0.25">
      <c r="A1" s="19"/>
      <c r="B1" s="19"/>
      <c r="C1" s="35"/>
      <c r="D1" s="19"/>
      <c r="E1" s="19"/>
      <c r="F1" s="21"/>
      <c r="G1" s="22" t="s">
        <v>1454</v>
      </c>
      <c r="H1" s="19"/>
      <c r="I1" s="19"/>
      <c r="J1" s="19"/>
      <c r="K1" s="19"/>
      <c r="L1" s="23"/>
      <c r="M1" s="24"/>
      <c r="N1" s="24"/>
      <c r="O1" s="24"/>
      <c r="P1" s="36"/>
      <c r="Q1" s="24"/>
      <c r="R1" s="24"/>
      <c r="S1" s="25"/>
      <c r="T1" s="25"/>
      <c r="U1" s="26"/>
      <c r="V1" s="26"/>
      <c r="W1" s="19"/>
      <c r="X1" s="19"/>
      <c r="Y1" s="27"/>
      <c r="Z1" s="20"/>
      <c r="AA1" s="20"/>
      <c r="AB1" s="28"/>
      <c r="AC1" s="15"/>
      <c r="AD1"/>
      <c r="AE1"/>
      <c r="AF1"/>
    </row>
    <row r="2" spans="1:34" ht="25.5" x14ac:dyDescent="0.25">
      <c r="A2" s="1" t="s">
        <v>336</v>
      </c>
      <c r="B2" s="1" t="s">
        <v>1</v>
      </c>
      <c r="C2" s="1" t="s">
        <v>4</v>
      </c>
      <c r="D2" s="1" t="s">
        <v>5</v>
      </c>
      <c r="E2" s="1" t="s">
        <v>1229</v>
      </c>
      <c r="F2" s="1" t="s">
        <v>6</v>
      </c>
      <c r="G2" s="1" t="s">
        <v>9</v>
      </c>
      <c r="H2" s="1" t="s">
        <v>10</v>
      </c>
      <c r="I2" s="1" t="s">
        <v>152</v>
      </c>
      <c r="J2" s="1" t="s">
        <v>102</v>
      </c>
      <c r="K2" s="1" t="s">
        <v>333</v>
      </c>
      <c r="L2" s="1" t="s">
        <v>13</v>
      </c>
      <c r="M2" s="2" t="s">
        <v>94</v>
      </c>
      <c r="N2" s="29" t="s">
        <v>19</v>
      </c>
      <c r="O2" s="29" t="s">
        <v>95</v>
      </c>
      <c r="P2" s="37" t="s">
        <v>96</v>
      </c>
      <c r="Q2" s="29" t="s">
        <v>104</v>
      </c>
      <c r="R2" s="29" t="s">
        <v>23</v>
      </c>
      <c r="S2" s="29" t="s">
        <v>97</v>
      </c>
      <c r="T2" s="2" t="s">
        <v>24</v>
      </c>
      <c r="U2" s="2" t="s">
        <v>98</v>
      </c>
      <c r="V2" s="2" t="s">
        <v>36</v>
      </c>
      <c r="W2" s="1" t="s">
        <v>133</v>
      </c>
      <c r="X2" s="1" t="s">
        <v>639</v>
      </c>
      <c r="Y2" s="3" t="s">
        <v>391</v>
      </c>
      <c r="Z2" s="1" t="s">
        <v>37</v>
      </c>
      <c r="AA2" s="1" t="s">
        <v>38</v>
      </c>
      <c r="AB2" s="4" t="s">
        <v>39</v>
      </c>
      <c r="AC2" s="4" t="s">
        <v>103</v>
      </c>
      <c r="AD2" s="73" t="s">
        <v>40</v>
      </c>
      <c r="AE2" s="157"/>
      <c r="AF2" s="157"/>
    </row>
    <row r="3" spans="1:34" s="13" customFormat="1" ht="15.75" x14ac:dyDescent="0.25">
      <c r="A3" s="5">
        <v>1</v>
      </c>
      <c r="B3" s="85">
        <v>171</v>
      </c>
      <c r="C3" s="84" t="s">
        <v>916</v>
      </c>
      <c r="D3" s="80" t="s">
        <v>1114</v>
      </c>
      <c r="E3" s="80"/>
      <c r="F3" s="82">
        <v>45066</v>
      </c>
      <c r="G3" s="80" t="s">
        <v>1114</v>
      </c>
      <c r="H3" s="81" t="s">
        <v>1000</v>
      </c>
      <c r="I3" s="30">
        <v>5000</v>
      </c>
      <c r="J3" s="12"/>
      <c r="K3" s="12"/>
      <c r="L3" s="30">
        <f t="shared" ref="L3:L17" si="0">+I3+J3</f>
        <v>5000</v>
      </c>
      <c r="M3" s="7">
        <v>30</v>
      </c>
      <c r="N3" s="66">
        <v>0</v>
      </c>
      <c r="O3" s="66">
        <v>0</v>
      </c>
      <c r="P3" s="66">
        <v>0</v>
      </c>
      <c r="Q3" s="66"/>
      <c r="R3" s="9">
        <f t="shared" ref="R3:R25" si="1">N3+P3-O3+Q3</f>
        <v>0</v>
      </c>
      <c r="S3" s="8">
        <f t="shared" ref="S3:S25" si="2">M3+R3</f>
        <v>30</v>
      </c>
      <c r="T3" s="69">
        <f>IF(S3&gt;30,30,IF(S3&lt;=30,S3))</f>
        <v>30</v>
      </c>
      <c r="U3" s="7">
        <f>ROUND(L3*T3/M3,0)</f>
        <v>5000</v>
      </c>
      <c r="V3" s="7">
        <v>3944</v>
      </c>
      <c r="W3" s="72"/>
      <c r="X3" s="72">
        <v>0</v>
      </c>
      <c r="Y3" s="6">
        <f>U3+W3-V3-X3</f>
        <v>1056</v>
      </c>
      <c r="Z3" s="31" t="s">
        <v>525</v>
      </c>
      <c r="AA3" s="34" t="s">
        <v>917</v>
      </c>
      <c r="AB3" s="34" t="s">
        <v>918</v>
      </c>
      <c r="AC3" s="10" t="s">
        <v>48</v>
      </c>
      <c r="AD3" s="72" t="s">
        <v>1491</v>
      </c>
      <c r="AE3" s="84"/>
      <c r="AF3" s="158"/>
    </row>
    <row r="4" spans="1:34" s="13" customFormat="1" ht="15.75" x14ac:dyDescent="0.25">
      <c r="A4" s="5">
        <f>+A3+1</f>
        <v>2</v>
      </c>
      <c r="B4" s="159">
        <v>261</v>
      </c>
      <c r="C4" s="84" t="s">
        <v>996</v>
      </c>
      <c r="D4" s="80" t="s">
        <v>99</v>
      </c>
      <c r="E4" s="80"/>
      <c r="F4" s="82">
        <v>45714</v>
      </c>
      <c r="G4" s="80" t="s">
        <v>99</v>
      </c>
      <c r="H4" s="81" t="s">
        <v>110</v>
      </c>
      <c r="I4" s="30">
        <v>13000</v>
      </c>
      <c r="J4" s="12"/>
      <c r="K4" s="12"/>
      <c r="L4" s="30">
        <f t="shared" si="0"/>
        <v>13000</v>
      </c>
      <c r="M4" s="7">
        <v>30</v>
      </c>
      <c r="N4" s="66">
        <v>0</v>
      </c>
      <c r="O4" s="66">
        <v>0.5</v>
      </c>
      <c r="P4" s="66">
        <v>0.5</v>
      </c>
      <c r="Q4" s="66"/>
      <c r="R4" s="9">
        <f t="shared" si="1"/>
        <v>0</v>
      </c>
      <c r="S4" s="8">
        <f t="shared" si="2"/>
        <v>30</v>
      </c>
      <c r="T4" s="69">
        <f t="shared" ref="T4:T54" si="3">IF(S4&gt;30,30,IF(S4&lt;=30,S4))</f>
        <v>30</v>
      </c>
      <c r="U4" s="7">
        <f t="shared" ref="U4:U25" si="4">ROUND(L4*T4/M4,0)</f>
        <v>13000</v>
      </c>
      <c r="V4" s="7"/>
      <c r="W4" s="72"/>
      <c r="X4" s="72">
        <v>0</v>
      </c>
      <c r="Y4" s="6">
        <f t="shared" ref="Y4:Y16" si="5">U4+W4-V4-X4</f>
        <v>13000</v>
      </c>
      <c r="Z4" s="131" t="s">
        <v>543</v>
      </c>
      <c r="AA4" s="139" t="s">
        <v>1012</v>
      </c>
      <c r="AB4" s="139" t="s">
        <v>1013</v>
      </c>
      <c r="AC4" s="10" t="s">
        <v>48</v>
      </c>
      <c r="AD4" s="72">
        <v>0</v>
      </c>
      <c r="AE4" s="158"/>
      <c r="AF4" s="158"/>
    </row>
    <row r="5" spans="1:34" s="13" customFormat="1" ht="15.75" x14ac:dyDescent="0.25">
      <c r="A5" s="5">
        <f>+A4+1</f>
        <v>3</v>
      </c>
      <c r="B5" s="159">
        <v>263</v>
      </c>
      <c r="C5" s="84" t="s">
        <v>997</v>
      </c>
      <c r="D5" s="80" t="s">
        <v>99</v>
      </c>
      <c r="E5" s="80"/>
      <c r="F5" s="82">
        <v>45714</v>
      </c>
      <c r="G5" s="80" t="s">
        <v>99</v>
      </c>
      <c r="H5" s="81" t="s">
        <v>110</v>
      </c>
      <c r="I5" s="30">
        <v>13000</v>
      </c>
      <c r="J5" s="12"/>
      <c r="K5" s="12"/>
      <c r="L5" s="30">
        <f t="shared" si="0"/>
        <v>13000</v>
      </c>
      <c r="M5" s="7">
        <v>30</v>
      </c>
      <c r="N5" s="66">
        <v>11</v>
      </c>
      <c r="O5" s="66">
        <v>0</v>
      </c>
      <c r="P5" s="66">
        <v>0.5</v>
      </c>
      <c r="Q5" s="66"/>
      <c r="R5" s="9">
        <f t="shared" si="1"/>
        <v>11.5</v>
      </c>
      <c r="S5" s="8">
        <f t="shared" si="2"/>
        <v>41.5</v>
      </c>
      <c r="T5" s="69">
        <f t="shared" si="3"/>
        <v>30</v>
      </c>
      <c r="U5" s="7">
        <f t="shared" si="4"/>
        <v>13000</v>
      </c>
      <c r="V5" s="7"/>
      <c r="W5" s="72"/>
      <c r="X5" s="72">
        <v>0</v>
      </c>
      <c r="Y5" s="6">
        <f t="shared" si="5"/>
        <v>13000</v>
      </c>
      <c r="Z5" s="131" t="s">
        <v>543</v>
      </c>
      <c r="AA5" s="139" t="s">
        <v>1014</v>
      </c>
      <c r="AB5" s="139" t="s">
        <v>1015</v>
      </c>
      <c r="AC5" s="10" t="s">
        <v>48</v>
      </c>
      <c r="AD5" s="72">
        <v>0</v>
      </c>
      <c r="AE5" s="158"/>
      <c r="AF5" s="158"/>
    </row>
    <row r="6" spans="1:34" s="13" customFormat="1" ht="15.75" x14ac:dyDescent="0.25">
      <c r="A6" s="5">
        <f t="shared" ref="A6:A54" si="6">+A5+1</f>
        <v>4</v>
      </c>
      <c r="B6" s="159">
        <v>266</v>
      </c>
      <c r="C6" s="84" t="s">
        <v>1025</v>
      </c>
      <c r="D6" s="80" t="s">
        <v>99</v>
      </c>
      <c r="E6" s="80"/>
      <c r="F6" s="82">
        <v>45733</v>
      </c>
      <c r="G6" s="80" t="s">
        <v>99</v>
      </c>
      <c r="H6" s="81" t="s">
        <v>975</v>
      </c>
      <c r="I6" s="30">
        <v>12000</v>
      </c>
      <c r="J6" s="12"/>
      <c r="K6" s="12"/>
      <c r="L6" s="30">
        <f t="shared" si="0"/>
        <v>12000</v>
      </c>
      <c r="M6" s="7">
        <v>30</v>
      </c>
      <c r="N6" s="66">
        <v>3</v>
      </c>
      <c r="O6" s="66">
        <v>0</v>
      </c>
      <c r="P6" s="66">
        <v>0.5</v>
      </c>
      <c r="Q6" s="66"/>
      <c r="R6" s="9">
        <f t="shared" si="1"/>
        <v>3.5</v>
      </c>
      <c r="S6" s="8">
        <f t="shared" si="2"/>
        <v>33.5</v>
      </c>
      <c r="T6" s="69">
        <f t="shared" si="3"/>
        <v>30</v>
      </c>
      <c r="U6" s="7">
        <f t="shared" si="4"/>
        <v>12000</v>
      </c>
      <c r="V6" s="7">
        <v>4500</v>
      </c>
      <c r="W6" s="72"/>
      <c r="X6" s="72">
        <v>0</v>
      </c>
      <c r="Y6" s="6">
        <f t="shared" si="5"/>
        <v>7500</v>
      </c>
      <c r="Z6" s="131" t="s">
        <v>425</v>
      </c>
      <c r="AA6" s="139" t="s">
        <v>449</v>
      </c>
      <c r="AB6" s="139" t="s">
        <v>1037</v>
      </c>
      <c r="AC6" s="10" t="s">
        <v>48</v>
      </c>
      <c r="AD6" s="72">
        <v>0</v>
      </c>
      <c r="AE6" s="158"/>
      <c r="AF6" s="158"/>
    </row>
    <row r="7" spans="1:34" s="13" customFormat="1" ht="15.75" x14ac:dyDescent="0.25">
      <c r="A7" s="5">
        <f t="shared" si="6"/>
        <v>5</v>
      </c>
      <c r="B7" s="159">
        <v>267</v>
      </c>
      <c r="C7" s="84" t="s">
        <v>1026</v>
      </c>
      <c r="D7" s="80" t="s">
        <v>99</v>
      </c>
      <c r="E7" s="80"/>
      <c r="F7" s="82">
        <v>45733</v>
      </c>
      <c r="G7" s="80" t="s">
        <v>99</v>
      </c>
      <c r="H7" s="81" t="s">
        <v>1027</v>
      </c>
      <c r="I7" s="30">
        <v>15000</v>
      </c>
      <c r="J7" s="12"/>
      <c r="K7" s="12"/>
      <c r="L7" s="30">
        <f t="shared" si="0"/>
        <v>15000</v>
      </c>
      <c r="M7" s="7">
        <v>30</v>
      </c>
      <c r="N7" s="66">
        <v>0</v>
      </c>
      <c r="O7" s="66">
        <v>11</v>
      </c>
      <c r="P7" s="66">
        <v>0.5</v>
      </c>
      <c r="Q7" s="66"/>
      <c r="R7" s="9">
        <f t="shared" si="1"/>
        <v>-10.5</v>
      </c>
      <c r="S7" s="8">
        <f t="shared" si="2"/>
        <v>19.5</v>
      </c>
      <c r="T7" s="69">
        <f t="shared" si="3"/>
        <v>19.5</v>
      </c>
      <c r="U7" s="7">
        <f t="shared" si="4"/>
        <v>9750</v>
      </c>
      <c r="V7" s="7">
        <v>2925</v>
      </c>
      <c r="W7" s="72"/>
      <c r="X7" s="72">
        <v>0</v>
      </c>
      <c r="Y7" s="6">
        <f t="shared" si="5"/>
        <v>6825</v>
      </c>
      <c r="Z7" s="131" t="s">
        <v>543</v>
      </c>
      <c r="AA7" s="139" t="s">
        <v>1041</v>
      </c>
      <c r="AB7" s="139" t="s">
        <v>1042</v>
      </c>
      <c r="AC7" s="10" t="s">
        <v>48</v>
      </c>
      <c r="AD7" s="72">
        <v>0</v>
      </c>
      <c r="AE7" s="158"/>
      <c r="AF7" s="158"/>
    </row>
    <row r="8" spans="1:34" s="13" customFormat="1" ht="15.75" x14ac:dyDescent="0.25">
      <c r="A8" s="5">
        <f t="shared" si="6"/>
        <v>6</v>
      </c>
      <c r="B8" s="159">
        <v>268</v>
      </c>
      <c r="C8" s="84" t="s">
        <v>1028</v>
      </c>
      <c r="D8" s="80" t="s">
        <v>99</v>
      </c>
      <c r="E8" s="80"/>
      <c r="F8" s="82">
        <v>45733</v>
      </c>
      <c r="G8" s="80" t="s">
        <v>99</v>
      </c>
      <c r="H8" s="81" t="s">
        <v>1029</v>
      </c>
      <c r="I8" s="30">
        <v>10000</v>
      </c>
      <c r="J8" s="12"/>
      <c r="K8" s="12"/>
      <c r="L8" s="30">
        <f t="shared" si="0"/>
        <v>10000</v>
      </c>
      <c r="M8" s="7">
        <v>30</v>
      </c>
      <c r="N8" s="66">
        <v>2</v>
      </c>
      <c r="O8" s="66">
        <v>2.5</v>
      </c>
      <c r="P8" s="66">
        <v>0.5</v>
      </c>
      <c r="Q8" s="66"/>
      <c r="R8" s="9">
        <f t="shared" si="1"/>
        <v>0</v>
      </c>
      <c r="S8" s="8">
        <f t="shared" si="2"/>
        <v>30</v>
      </c>
      <c r="T8" s="69">
        <f t="shared" si="3"/>
        <v>30</v>
      </c>
      <c r="U8" s="7">
        <f t="shared" si="4"/>
        <v>10000</v>
      </c>
      <c r="V8" s="7"/>
      <c r="W8" s="72"/>
      <c r="X8" s="72">
        <v>1000</v>
      </c>
      <c r="Y8" s="6">
        <f t="shared" si="5"/>
        <v>9000</v>
      </c>
      <c r="Z8" s="131" t="s">
        <v>393</v>
      </c>
      <c r="AA8" s="139" t="s">
        <v>1064</v>
      </c>
      <c r="AB8" s="139" t="s">
        <v>1065</v>
      </c>
      <c r="AC8" s="10" t="s">
        <v>48</v>
      </c>
      <c r="AD8" s="72">
        <v>0</v>
      </c>
      <c r="AE8" s="158"/>
      <c r="AF8" s="158"/>
      <c r="AH8" s="158"/>
    </row>
    <row r="9" spans="1:34" s="13" customFormat="1" ht="15.75" x14ac:dyDescent="0.25">
      <c r="A9" s="5">
        <f t="shared" si="6"/>
        <v>7</v>
      </c>
      <c r="B9" s="159">
        <v>272</v>
      </c>
      <c r="C9" s="84" t="s">
        <v>1033</v>
      </c>
      <c r="D9" s="80" t="s">
        <v>99</v>
      </c>
      <c r="E9" s="80"/>
      <c r="F9" s="82">
        <v>45741</v>
      </c>
      <c r="G9" s="80" t="s">
        <v>99</v>
      </c>
      <c r="H9" s="81" t="s">
        <v>1115</v>
      </c>
      <c r="I9" s="30">
        <v>15000</v>
      </c>
      <c r="J9" s="12"/>
      <c r="K9" s="12"/>
      <c r="L9" s="30">
        <f t="shared" si="0"/>
        <v>15000</v>
      </c>
      <c r="M9" s="7">
        <v>30</v>
      </c>
      <c r="N9" s="66">
        <v>4</v>
      </c>
      <c r="O9" s="66">
        <v>0.5</v>
      </c>
      <c r="P9" s="66">
        <v>0.5</v>
      </c>
      <c r="Q9" s="66"/>
      <c r="R9" s="9">
        <f t="shared" si="1"/>
        <v>4</v>
      </c>
      <c r="S9" s="8">
        <f t="shared" si="2"/>
        <v>34</v>
      </c>
      <c r="T9" s="69">
        <f t="shared" si="3"/>
        <v>30</v>
      </c>
      <c r="U9" s="7">
        <f t="shared" si="4"/>
        <v>15000</v>
      </c>
      <c r="V9" s="7"/>
      <c r="W9" s="72"/>
      <c r="X9" s="72">
        <v>0</v>
      </c>
      <c r="Y9" s="6">
        <f t="shared" si="5"/>
        <v>15000</v>
      </c>
      <c r="Z9" s="131" t="s">
        <v>394</v>
      </c>
      <c r="AA9" s="139" t="s">
        <v>1043</v>
      </c>
      <c r="AB9" s="139" t="s">
        <v>1044</v>
      </c>
      <c r="AC9" s="10" t="s">
        <v>48</v>
      </c>
      <c r="AD9" s="72">
        <v>0</v>
      </c>
      <c r="AE9" s="158"/>
      <c r="AF9" s="158"/>
    </row>
    <row r="10" spans="1:34" s="13" customFormat="1" ht="15.75" x14ac:dyDescent="0.25">
      <c r="A10" s="5">
        <f t="shared" si="6"/>
        <v>8</v>
      </c>
      <c r="B10" s="159">
        <v>274</v>
      </c>
      <c r="C10" s="84" t="s">
        <v>1066</v>
      </c>
      <c r="D10" s="80" t="s">
        <v>99</v>
      </c>
      <c r="E10" s="80"/>
      <c r="F10" s="82">
        <v>45748</v>
      </c>
      <c r="G10" s="80" t="s">
        <v>99</v>
      </c>
      <c r="H10" s="81" t="s">
        <v>977</v>
      </c>
      <c r="I10" s="30">
        <v>13000</v>
      </c>
      <c r="J10" s="12"/>
      <c r="K10" s="12"/>
      <c r="L10" s="30">
        <f t="shared" si="0"/>
        <v>13000</v>
      </c>
      <c r="M10" s="7">
        <v>30</v>
      </c>
      <c r="N10" s="66">
        <v>4</v>
      </c>
      <c r="O10" s="66">
        <v>0</v>
      </c>
      <c r="P10" s="66">
        <v>0.5</v>
      </c>
      <c r="Q10" s="66"/>
      <c r="R10" s="9">
        <f t="shared" si="1"/>
        <v>4.5</v>
      </c>
      <c r="S10" s="8">
        <f t="shared" si="2"/>
        <v>34.5</v>
      </c>
      <c r="T10" s="69">
        <f t="shared" si="3"/>
        <v>30</v>
      </c>
      <c r="U10" s="7">
        <f t="shared" si="4"/>
        <v>13000</v>
      </c>
      <c r="V10" s="7"/>
      <c r="W10" s="72"/>
      <c r="X10" s="72">
        <v>0</v>
      </c>
      <c r="Y10" s="6">
        <f t="shared" si="5"/>
        <v>13000</v>
      </c>
      <c r="Z10" s="131" t="s">
        <v>525</v>
      </c>
      <c r="AA10" s="139" t="s">
        <v>1080</v>
      </c>
      <c r="AB10" s="139" t="s">
        <v>1081</v>
      </c>
      <c r="AC10" s="10" t="s">
        <v>48</v>
      </c>
      <c r="AD10" s="72">
        <v>0</v>
      </c>
      <c r="AE10" s="158"/>
      <c r="AF10" s="158"/>
    </row>
    <row r="11" spans="1:34" s="13" customFormat="1" ht="15.75" x14ac:dyDescent="0.25">
      <c r="A11" s="5">
        <f t="shared" si="6"/>
        <v>9</v>
      </c>
      <c r="B11" s="159">
        <v>277</v>
      </c>
      <c r="C11" s="84" t="s">
        <v>1067</v>
      </c>
      <c r="D11" s="80" t="s">
        <v>99</v>
      </c>
      <c r="E11" s="80"/>
      <c r="F11" s="82">
        <v>45750</v>
      </c>
      <c r="G11" s="80" t="s">
        <v>99</v>
      </c>
      <c r="H11" s="81" t="s">
        <v>110</v>
      </c>
      <c r="I11" s="30">
        <v>15000</v>
      </c>
      <c r="J11" s="12"/>
      <c r="K11" s="12"/>
      <c r="L11" s="30">
        <f t="shared" si="0"/>
        <v>15000</v>
      </c>
      <c r="M11" s="7">
        <v>30</v>
      </c>
      <c r="N11" s="66">
        <v>8</v>
      </c>
      <c r="O11" s="66">
        <v>0</v>
      </c>
      <c r="P11" s="66">
        <v>0.5</v>
      </c>
      <c r="Q11" s="66"/>
      <c r="R11" s="9">
        <f t="shared" si="1"/>
        <v>8.5</v>
      </c>
      <c r="S11" s="8">
        <f t="shared" si="2"/>
        <v>38.5</v>
      </c>
      <c r="T11" s="69">
        <f t="shared" si="3"/>
        <v>30</v>
      </c>
      <c r="U11" s="7">
        <f t="shared" si="4"/>
        <v>15000</v>
      </c>
      <c r="V11" s="7"/>
      <c r="W11" s="72"/>
      <c r="X11" s="72">
        <v>0</v>
      </c>
      <c r="Y11" s="6">
        <f t="shared" si="5"/>
        <v>15000</v>
      </c>
      <c r="Z11" s="131" t="s">
        <v>1047</v>
      </c>
      <c r="AA11" s="139" t="s">
        <v>908</v>
      </c>
      <c r="AB11" s="139" t="s">
        <v>1119</v>
      </c>
      <c r="AC11" s="10" t="s">
        <v>48</v>
      </c>
      <c r="AD11" s="72">
        <v>0</v>
      </c>
      <c r="AE11" s="158"/>
      <c r="AF11" s="158"/>
    </row>
    <row r="12" spans="1:34" s="13" customFormat="1" ht="15.75" x14ac:dyDescent="0.25">
      <c r="A12" s="5">
        <f t="shared" si="6"/>
        <v>10</v>
      </c>
      <c r="B12" s="159">
        <v>290</v>
      </c>
      <c r="C12" s="84" t="s">
        <v>1082</v>
      </c>
      <c r="D12" s="80" t="s">
        <v>99</v>
      </c>
      <c r="E12" s="80"/>
      <c r="F12" s="82">
        <v>45757</v>
      </c>
      <c r="G12" s="80" t="s">
        <v>99</v>
      </c>
      <c r="H12" s="81" t="s">
        <v>454</v>
      </c>
      <c r="I12" s="30">
        <v>13000</v>
      </c>
      <c r="J12" s="12"/>
      <c r="K12" s="12"/>
      <c r="L12" s="30">
        <f t="shared" si="0"/>
        <v>13000</v>
      </c>
      <c r="M12" s="7">
        <v>30</v>
      </c>
      <c r="N12" s="66">
        <v>4</v>
      </c>
      <c r="O12" s="66">
        <v>2</v>
      </c>
      <c r="P12" s="66">
        <v>0.5</v>
      </c>
      <c r="Q12" s="66"/>
      <c r="R12" s="9">
        <f t="shared" si="1"/>
        <v>2.5</v>
      </c>
      <c r="S12" s="8">
        <f t="shared" si="2"/>
        <v>32.5</v>
      </c>
      <c r="T12" s="69">
        <f t="shared" si="3"/>
        <v>30</v>
      </c>
      <c r="U12" s="7">
        <f t="shared" si="4"/>
        <v>13000</v>
      </c>
      <c r="V12" s="7"/>
      <c r="W12" s="72"/>
      <c r="X12" s="72">
        <v>1000</v>
      </c>
      <c r="Y12" s="6">
        <f t="shared" si="5"/>
        <v>12000</v>
      </c>
      <c r="Z12" s="131" t="s">
        <v>394</v>
      </c>
      <c r="AA12" s="139" t="s">
        <v>1083</v>
      </c>
      <c r="AB12" s="139" t="s">
        <v>1084</v>
      </c>
      <c r="AC12" s="10" t="s">
        <v>48</v>
      </c>
      <c r="AD12" s="72">
        <v>0</v>
      </c>
      <c r="AE12" s="158"/>
      <c r="AF12" s="158"/>
    </row>
    <row r="13" spans="1:34" s="13" customFormat="1" ht="15.75" x14ac:dyDescent="0.25">
      <c r="A13" s="5">
        <f t="shared" si="6"/>
        <v>11</v>
      </c>
      <c r="B13" s="159">
        <v>291</v>
      </c>
      <c r="C13" s="84" t="s">
        <v>1071</v>
      </c>
      <c r="D13" s="80" t="s">
        <v>99</v>
      </c>
      <c r="E13" s="80"/>
      <c r="F13" s="82">
        <v>45763</v>
      </c>
      <c r="G13" s="80" t="s">
        <v>99</v>
      </c>
      <c r="H13" s="81" t="s">
        <v>975</v>
      </c>
      <c r="I13" s="30">
        <v>14000</v>
      </c>
      <c r="J13" s="12"/>
      <c r="K13" s="12"/>
      <c r="L13" s="30">
        <f t="shared" si="0"/>
        <v>14000</v>
      </c>
      <c r="M13" s="7">
        <v>30</v>
      </c>
      <c r="N13" s="66">
        <v>2</v>
      </c>
      <c r="O13" s="66">
        <v>0</v>
      </c>
      <c r="P13" s="66">
        <v>0.5</v>
      </c>
      <c r="Q13" s="66"/>
      <c r="R13" s="9">
        <f t="shared" si="1"/>
        <v>2.5</v>
      </c>
      <c r="S13" s="8">
        <f t="shared" si="2"/>
        <v>32.5</v>
      </c>
      <c r="T13" s="69">
        <f t="shared" si="3"/>
        <v>30</v>
      </c>
      <c r="U13" s="7">
        <f t="shared" si="4"/>
        <v>14000</v>
      </c>
      <c r="V13" s="7"/>
      <c r="W13" s="72"/>
      <c r="X13" s="72">
        <v>0</v>
      </c>
      <c r="Y13" s="6">
        <f t="shared" si="5"/>
        <v>14000</v>
      </c>
      <c r="Z13" s="131" t="s">
        <v>393</v>
      </c>
      <c r="AA13" s="139" t="s">
        <v>193</v>
      </c>
      <c r="AB13" s="139" t="s">
        <v>1093</v>
      </c>
      <c r="AC13" s="10" t="s">
        <v>48</v>
      </c>
      <c r="AD13" s="72">
        <v>0</v>
      </c>
      <c r="AE13" s="158"/>
      <c r="AF13" s="158"/>
    </row>
    <row r="14" spans="1:34" s="13" customFormat="1" ht="15.75" x14ac:dyDescent="0.25">
      <c r="A14" s="5">
        <f t="shared" si="6"/>
        <v>12</v>
      </c>
      <c r="B14" s="159">
        <v>292</v>
      </c>
      <c r="C14" s="84" t="s">
        <v>1073</v>
      </c>
      <c r="D14" s="80" t="s">
        <v>99</v>
      </c>
      <c r="E14" s="80"/>
      <c r="F14" s="82">
        <v>45775</v>
      </c>
      <c r="G14" s="80" t="s">
        <v>99</v>
      </c>
      <c r="H14" s="81" t="s">
        <v>998</v>
      </c>
      <c r="I14" s="30">
        <v>15000</v>
      </c>
      <c r="J14" s="12"/>
      <c r="K14" s="12"/>
      <c r="L14" s="30">
        <f t="shared" si="0"/>
        <v>15000</v>
      </c>
      <c r="M14" s="7">
        <v>30</v>
      </c>
      <c r="N14" s="66">
        <v>2</v>
      </c>
      <c r="O14" s="66">
        <v>10.5</v>
      </c>
      <c r="P14" s="66">
        <v>0.5</v>
      </c>
      <c r="Q14" s="66"/>
      <c r="R14" s="9">
        <f t="shared" si="1"/>
        <v>-8</v>
      </c>
      <c r="S14" s="8">
        <f t="shared" si="2"/>
        <v>22</v>
      </c>
      <c r="T14" s="69">
        <f t="shared" si="3"/>
        <v>22</v>
      </c>
      <c r="U14" s="7">
        <f t="shared" si="4"/>
        <v>11000</v>
      </c>
      <c r="V14" s="7">
        <v>3300</v>
      </c>
      <c r="W14" s="72"/>
      <c r="X14" s="72">
        <v>0</v>
      </c>
      <c r="Y14" s="6">
        <f t="shared" si="5"/>
        <v>7700</v>
      </c>
      <c r="Z14" s="131" t="s">
        <v>1255</v>
      </c>
      <c r="AA14" s="139" t="s">
        <v>1285</v>
      </c>
      <c r="AB14" s="139" t="s">
        <v>1337</v>
      </c>
      <c r="AC14" s="10" t="s">
        <v>48</v>
      </c>
      <c r="AD14" s="72">
        <v>0</v>
      </c>
      <c r="AE14" s="158"/>
      <c r="AF14" s="158"/>
    </row>
    <row r="15" spans="1:34" s="13" customFormat="1" ht="15.75" x14ac:dyDescent="0.25">
      <c r="A15" s="5">
        <f t="shared" si="6"/>
        <v>13</v>
      </c>
      <c r="B15" s="159">
        <v>294</v>
      </c>
      <c r="C15" s="84" t="s">
        <v>1122</v>
      </c>
      <c r="D15" s="80" t="s">
        <v>99</v>
      </c>
      <c r="E15" s="80"/>
      <c r="F15" s="82">
        <v>45784</v>
      </c>
      <c r="G15" s="80" t="s">
        <v>99</v>
      </c>
      <c r="H15" s="81" t="s">
        <v>739</v>
      </c>
      <c r="I15" s="30">
        <v>16000</v>
      </c>
      <c r="J15" s="12"/>
      <c r="K15" s="12"/>
      <c r="L15" s="30">
        <f t="shared" si="0"/>
        <v>16000</v>
      </c>
      <c r="M15" s="7">
        <v>30</v>
      </c>
      <c r="N15" s="66">
        <v>0</v>
      </c>
      <c r="O15" s="66">
        <v>1</v>
      </c>
      <c r="P15" s="66">
        <v>0.5</v>
      </c>
      <c r="Q15" s="66"/>
      <c r="R15" s="9">
        <f t="shared" si="1"/>
        <v>-0.5</v>
      </c>
      <c r="S15" s="8">
        <f t="shared" si="2"/>
        <v>29.5</v>
      </c>
      <c r="T15" s="69">
        <f t="shared" si="3"/>
        <v>29.5</v>
      </c>
      <c r="U15" s="7">
        <f t="shared" si="4"/>
        <v>15733</v>
      </c>
      <c r="V15" s="7"/>
      <c r="W15" s="72"/>
      <c r="X15" s="72">
        <v>600</v>
      </c>
      <c r="Y15" s="6">
        <f t="shared" si="5"/>
        <v>15133</v>
      </c>
      <c r="Z15" s="131" t="s">
        <v>394</v>
      </c>
      <c r="AA15" s="139" t="s">
        <v>1152</v>
      </c>
      <c r="AB15" s="139" t="s">
        <v>1151</v>
      </c>
      <c r="AC15" s="10" t="s">
        <v>48</v>
      </c>
      <c r="AD15" s="72">
        <v>0</v>
      </c>
      <c r="AE15" s="158"/>
      <c r="AF15" s="158"/>
    </row>
    <row r="16" spans="1:34" s="13" customFormat="1" ht="15.75" x14ac:dyDescent="0.25">
      <c r="A16" s="5">
        <f t="shared" si="6"/>
        <v>14</v>
      </c>
      <c r="B16" s="159">
        <v>296</v>
      </c>
      <c r="C16" s="84" t="s">
        <v>1124</v>
      </c>
      <c r="D16" s="80" t="s">
        <v>99</v>
      </c>
      <c r="E16" s="80"/>
      <c r="F16" s="82">
        <v>45791</v>
      </c>
      <c r="G16" s="80" t="s">
        <v>99</v>
      </c>
      <c r="H16" s="81" t="s">
        <v>1143</v>
      </c>
      <c r="I16" s="30">
        <v>16000</v>
      </c>
      <c r="J16" s="12"/>
      <c r="K16" s="12"/>
      <c r="L16" s="30">
        <f t="shared" si="0"/>
        <v>16000</v>
      </c>
      <c r="M16" s="7">
        <v>30</v>
      </c>
      <c r="N16" s="66">
        <v>1.5</v>
      </c>
      <c r="O16" s="66">
        <v>1</v>
      </c>
      <c r="P16" s="66">
        <v>0.5</v>
      </c>
      <c r="Q16" s="66"/>
      <c r="R16" s="9">
        <f t="shared" si="1"/>
        <v>1</v>
      </c>
      <c r="S16" s="8">
        <f t="shared" si="2"/>
        <v>31</v>
      </c>
      <c r="T16" s="69">
        <f t="shared" si="3"/>
        <v>30</v>
      </c>
      <c r="U16" s="7">
        <f t="shared" si="4"/>
        <v>16000</v>
      </c>
      <c r="V16" s="7"/>
      <c r="W16" s="72"/>
      <c r="X16" s="72">
        <v>1000</v>
      </c>
      <c r="Y16" s="6">
        <f t="shared" si="5"/>
        <v>15000</v>
      </c>
      <c r="Z16" s="131" t="s">
        <v>393</v>
      </c>
      <c r="AA16" s="139" t="s">
        <v>1145</v>
      </c>
      <c r="AB16" s="139" t="s">
        <v>1144</v>
      </c>
      <c r="AC16" s="10" t="s">
        <v>48</v>
      </c>
      <c r="AD16" s="72">
        <v>0</v>
      </c>
      <c r="AE16" s="158"/>
      <c r="AF16" s="158"/>
    </row>
    <row r="17" spans="1:32" s="13" customFormat="1" ht="15.75" x14ac:dyDescent="0.25">
      <c r="A17" s="5">
        <f t="shared" si="6"/>
        <v>15</v>
      </c>
      <c r="B17" s="159">
        <v>297</v>
      </c>
      <c r="C17" s="84" t="s">
        <v>1142</v>
      </c>
      <c r="D17" s="80" t="s">
        <v>99</v>
      </c>
      <c r="E17" s="80"/>
      <c r="F17" s="82">
        <v>45796</v>
      </c>
      <c r="G17" s="80" t="s">
        <v>99</v>
      </c>
      <c r="H17" s="81" t="s">
        <v>1143</v>
      </c>
      <c r="I17" s="30">
        <v>16000</v>
      </c>
      <c r="J17" s="12"/>
      <c r="K17" s="12"/>
      <c r="L17" s="30">
        <f t="shared" si="0"/>
        <v>16000</v>
      </c>
      <c r="M17" s="7">
        <v>30</v>
      </c>
      <c r="N17" s="66">
        <v>0</v>
      </c>
      <c r="O17" s="66">
        <v>8</v>
      </c>
      <c r="P17" s="66">
        <v>0.5</v>
      </c>
      <c r="Q17" s="66"/>
      <c r="R17" s="9">
        <f t="shared" si="1"/>
        <v>-7.5</v>
      </c>
      <c r="S17" s="8">
        <f t="shared" si="2"/>
        <v>22.5</v>
      </c>
      <c r="T17" s="69">
        <f t="shared" si="3"/>
        <v>22.5</v>
      </c>
      <c r="U17" s="7">
        <f t="shared" si="4"/>
        <v>12000</v>
      </c>
      <c r="V17" s="7"/>
      <c r="W17" s="72"/>
      <c r="X17" s="72">
        <v>1000</v>
      </c>
      <c r="Y17" s="6">
        <f>U17+W17-V17-X17</f>
        <v>11000</v>
      </c>
      <c r="Z17" s="131" t="s">
        <v>425</v>
      </c>
      <c r="AA17" s="139" t="s">
        <v>1154</v>
      </c>
      <c r="AB17" s="139" t="s">
        <v>1153</v>
      </c>
      <c r="AC17" s="10" t="s">
        <v>48</v>
      </c>
      <c r="AD17" s="72">
        <v>0</v>
      </c>
      <c r="AE17" s="158"/>
      <c r="AF17" s="158"/>
    </row>
    <row r="18" spans="1:32" s="13" customFormat="1" ht="15.75" x14ac:dyDescent="0.25">
      <c r="A18" s="5">
        <f t="shared" si="6"/>
        <v>16</v>
      </c>
      <c r="B18" s="159">
        <v>300</v>
      </c>
      <c r="C18" s="84" t="s">
        <v>1126</v>
      </c>
      <c r="D18" s="80" t="s">
        <v>99</v>
      </c>
      <c r="E18" s="80"/>
      <c r="F18" s="82">
        <v>45805</v>
      </c>
      <c r="G18" s="80" t="s">
        <v>99</v>
      </c>
      <c r="H18" s="81" t="s">
        <v>1143</v>
      </c>
      <c r="I18" s="30">
        <v>19000</v>
      </c>
      <c r="J18" s="12"/>
      <c r="K18" s="12"/>
      <c r="L18" s="30">
        <v>19000</v>
      </c>
      <c r="M18" s="7">
        <v>30</v>
      </c>
      <c r="N18" s="66">
        <v>11.5</v>
      </c>
      <c r="O18" s="66">
        <v>2</v>
      </c>
      <c r="P18" s="66">
        <v>0.5</v>
      </c>
      <c r="Q18" s="66"/>
      <c r="R18" s="9">
        <f t="shared" si="1"/>
        <v>10</v>
      </c>
      <c r="S18" s="8">
        <f t="shared" si="2"/>
        <v>40</v>
      </c>
      <c r="T18" s="69">
        <f t="shared" si="3"/>
        <v>30</v>
      </c>
      <c r="U18" s="7">
        <f t="shared" si="4"/>
        <v>19000</v>
      </c>
      <c r="V18" s="7"/>
      <c r="W18" s="72"/>
      <c r="X18" s="72">
        <v>1000</v>
      </c>
      <c r="Y18" s="6">
        <f>U18+W18-V18-X18</f>
        <v>18000</v>
      </c>
      <c r="Z18" s="131" t="s">
        <v>1133</v>
      </c>
      <c r="AA18" s="139" t="s">
        <v>1360</v>
      </c>
      <c r="AB18" s="139" t="s">
        <v>1134</v>
      </c>
      <c r="AC18" s="10" t="s">
        <v>48</v>
      </c>
      <c r="AD18" s="72">
        <v>0</v>
      </c>
      <c r="AE18" s="158"/>
      <c r="AF18" s="158"/>
    </row>
    <row r="19" spans="1:32" s="13" customFormat="1" ht="15.75" x14ac:dyDescent="0.25">
      <c r="A19" s="5">
        <f t="shared" si="6"/>
        <v>17</v>
      </c>
      <c r="B19" s="159">
        <v>301</v>
      </c>
      <c r="C19" s="84" t="s">
        <v>1127</v>
      </c>
      <c r="D19" s="80" t="s">
        <v>99</v>
      </c>
      <c r="E19" s="80"/>
      <c r="F19" s="82">
        <v>45805</v>
      </c>
      <c r="G19" s="80" t="s">
        <v>99</v>
      </c>
      <c r="H19" s="81" t="s">
        <v>1128</v>
      </c>
      <c r="I19" s="30">
        <v>10000</v>
      </c>
      <c r="J19" s="12"/>
      <c r="K19" s="12"/>
      <c r="L19" s="30">
        <v>10000</v>
      </c>
      <c r="M19" s="7">
        <v>30</v>
      </c>
      <c r="N19" s="66">
        <v>1</v>
      </c>
      <c r="O19" s="66">
        <v>3</v>
      </c>
      <c r="P19" s="66">
        <v>0.5</v>
      </c>
      <c r="Q19" s="66"/>
      <c r="R19" s="9">
        <f t="shared" si="1"/>
        <v>-1.5</v>
      </c>
      <c r="S19" s="8">
        <f t="shared" si="2"/>
        <v>28.5</v>
      </c>
      <c r="T19" s="69">
        <f t="shared" si="3"/>
        <v>28.5</v>
      </c>
      <c r="U19" s="7">
        <f t="shared" si="4"/>
        <v>9500</v>
      </c>
      <c r="V19" s="7"/>
      <c r="W19" s="72"/>
      <c r="X19" s="72">
        <v>0</v>
      </c>
      <c r="Y19" s="6">
        <f>U19+W19-V19-X19</f>
        <v>9500</v>
      </c>
      <c r="Z19" s="131" t="s">
        <v>425</v>
      </c>
      <c r="AA19" s="139" t="s">
        <v>1131</v>
      </c>
      <c r="AB19" s="139" t="s">
        <v>1132</v>
      </c>
      <c r="AC19" s="10" t="s">
        <v>48</v>
      </c>
      <c r="AD19" s="72">
        <v>0</v>
      </c>
      <c r="AE19" s="158"/>
      <c r="AF19" s="158"/>
    </row>
    <row r="20" spans="1:32" s="13" customFormat="1" ht="15.75" x14ac:dyDescent="0.25">
      <c r="A20" s="5">
        <f t="shared" si="6"/>
        <v>18</v>
      </c>
      <c r="B20" s="159">
        <v>305</v>
      </c>
      <c r="C20" s="84" t="s">
        <v>1162</v>
      </c>
      <c r="D20" s="80" t="s">
        <v>99</v>
      </c>
      <c r="E20" s="80"/>
      <c r="F20" s="82">
        <v>45811</v>
      </c>
      <c r="G20" s="80" t="s">
        <v>99</v>
      </c>
      <c r="H20" s="81" t="s">
        <v>1143</v>
      </c>
      <c r="I20" s="30">
        <v>18000</v>
      </c>
      <c r="J20" s="12"/>
      <c r="K20" s="12"/>
      <c r="L20" s="30">
        <v>18000</v>
      </c>
      <c r="M20" s="7">
        <v>30</v>
      </c>
      <c r="N20" s="66">
        <v>4</v>
      </c>
      <c r="O20" s="66">
        <v>0</v>
      </c>
      <c r="P20" s="66">
        <v>0.5</v>
      </c>
      <c r="Q20" s="66"/>
      <c r="R20" s="9">
        <f t="shared" si="1"/>
        <v>4.5</v>
      </c>
      <c r="S20" s="8">
        <f t="shared" si="2"/>
        <v>34.5</v>
      </c>
      <c r="T20" s="69">
        <f t="shared" si="3"/>
        <v>30</v>
      </c>
      <c r="U20" s="7">
        <f t="shared" si="4"/>
        <v>18000</v>
      </c>
      <c r="V20" s="7"/>
      <c r="W20" s="72"/>
      <c r="X20" s="72">
        <v>1000</v>
      </c>
      <c r="Y20" s="6">
        <f t="shared" ref="Y20:Y25" si="7">U20+W20-V20-X20</f>
        <v>17000</v>
      </c>
      <c r="Z20" s="131" t="s">
        <v>543</v>
      </c>
      <c r="AA20" s="139" t="s">
        <v>1180</v>
      </c>
      <c r="AB20" s="139" t="s">
        <v>1181</v>
      </c>
      <c r="AC20" s="10" t="s">
        <v>48</v>
      </c>
      <c r="AD20" s="72">
        <v>0</v>
      </c>
      <c r="AE20" s="158"/>
      <c r="AF20" s="158"/>
    </row>
    <row r="21" spans="1:32" s="13" customFormat="1" ht="15.75" x14ac:dyDescent="0.25">
      <c r="A21" s="5">
        <f t="shared" si="6"/>
        <v>19</v>
      </c>
      <c r="B21" s="159">
        <v>306</v>
      </c>
      <c r="C21" s="84" t="s">
        <v>1165</v>
      </c>
      <c r="D21" s="80" t="s">
        <v>99</v>
      </c>
      <c r="E21" s="80"/>
      <c r="F21" s="82">
        <v>45814</v>
      </c>
      <c r="G21" s="80" t="s">
        <v>99</v>
      </c>
      <c r="H21" s="81" t="s">
        <v>1143</v>
      </c>
      <c r="I21" s="30">
        <v>20000</v>
      </c>
      <c r="J21" s="12"/>
      <c r="K21" s="12"/>
      <c r="L21" s="30">
        <v>20000</v>
      </c>
      <c r="M21" s="7">
        <v>30</v>
      </c>
      <c r="N21" s="66">
        <v>6</v>
      </c>
      <c r="O21" s="66">
        <v>0</v>
      </c>
      <c r="P21" s="66">
        <v>0.5</v>
      </c>
      <c r="Q21" s="66"/>
      <c r="R21" s="9">
        <f t="shared" si="1"/>
        <v>6.5</v>
      </c>
      <c r="S21" s="8">
        <f t="shared" si="2"/>
        <v>36.5</v>
      </c>
      <c r="T21" s="69">
        <f t="shared" si="3"/>
        <v>30</v>
      </c>
      <c r="U21" s="7">
        <f t="shared" si="4"/>
        <v>20000</v>
      </c>
      <c r="V21" s="7">
        <v>4500</v>
      </c>
      <c r="W21" s="72"/>
      <c r="X21" s="72">
        <v>1000</v>
      </c>
      <c r="Y21" s="6">
        <f t="shared" si="7"/>
        <v>14500</v>
      </c>
      <c r="Z21" s="131" t="s">
        <v>543</v>
      </c>
      <c r="AA21" s="139" t="s">
        <v>1178</v>
      </c>
      <c r="AB21" s="139" t="s">
        <v>1179</v>
      </c>
      <c r="AC21" s="10" t="s">
        <v>48</v>
      </c>
      <c r="AD21" s="72">
        <v>0</v>
      </c>
      <c r="AE21" s="158"/>
      <c r="AF21" s="158"/>
    </row>
    <row r="22" spans="1:32" s="13" customFormat="1" ht="15.75" x14ac:dyDescent="0.25">
      <c r="A22" s="5">
        <f t="shared" si="6"/>
        <v>20</v>
      </c>
      <c r="B22" s="159">
        <v>307</v>
      </c>
      <c r="C22" s="84" t="s">
        <v>1473</v>
      </c>
      <c r="D22" s="80" t="s">
        <v>99</v>
      </c>
      <c r="E22" s="80"/>
      <c r="F22" s="82">
        <v>45815</v>
      </c>
      <c r="G22" s="80" t="s">
        <v>99</v>
      </c>
      <c r="H22" s="81" t="s">
        <v>739</v>
      </c>
      <c r="I22" s="30">
        <v>16000</v>
      </c>
      <c r="J22" s="12"/>
      <c r="K22" s="12"/>
      <c r="L22" s="30">
        <v>16000</v>
      </c>
      <c r="M22" s="7">
        <v>30</v>
      </c>
      <c r="N22" s="66">
        <v>5</v>
      </c>
      <c r="O22" s="66">
        <v>1</v>
      </c>
      <c r="P22" s="66">
        <v>0.5</v>
      </c>
      <c r="Q22" s="66"/>
      <c r="R22" s="9">
        <f t="shared" si="1"/>
        <v>4.5</v>
      </c>
      <c r="S22" s="8">
        <f t="shared" si="2"/>
        <v>34.5</v>
      </c>
      <c r="T22" s="69">
        <f t="shared" si="3"/>
        <v>30</v>
      </c>
      <c r="U22" s="7">
        <f t="shared" si="4"/>
        <v>16000</v>
      </c>
      <c r="V22" s="7"/>
      <c r="W22" s="72"/>
      <c r="X22" s="72">
        <v>0</v>
      </c>
      <c r="Y22" s="6">
        <f t="shared" si="7"/>
        <v>16000</v>
      </c>
      <c r="Z22" s="131" t="s">
        <v>1182</v>
      </c>
      <c r="AA22" s="139" t="s">
        <v>325</v>
      </c>
      <c r="AB22" s="139" t="s">
        <v>1183</v>
      </c>
      <c r="AC22" s="10" t="s">
        <v>48</v>
      </c>
      <c r="AD22" s="72">
        <v>0</v>
      </c>
      <c r="AE22" s="158"/>
      <c r="AF22" s="158"/>
    </row>
    <row r="23" spans="1:32" s="13" customFormat="1" ht="15.75" x14ac:dyDescent="0.25">
      <c r="A23" s="5">
        <f t="shared" si="6"/>
        <v>21</v>
      </c>
      <c r="B23" s="159">
        <v>308</v>
      </c>
      <c r="C23" s="84" t="s">
        <v>1164</v>
      </c>
      <c r="D23" s="80" t="s">
        <v>99</v>
      </c>
      <c r="E23" s="80"/>
      <c r="F23" s="82">
        <v>45817</v>
      </c>
      <c r="G23" s="80" t="s">
        <v>99</v>
      </c>
      <c r="H23" s="81" t="s">
        <v>454</v>
      </c>
      <c r="I23" s="30">
        <v>13000</v>
      </c>
      <c r="J23" s="12"/>
      <c r="K23" s="12"/>
      <c r="L23" s="30">
        <v>13000</v>
      </c>
      <c r="M23" s="7">
        <v>30</v>
      </c>
      <c r="N23" s="66">
        <v>4</v>
      </c>
      <c r="O23" s="66">
        <v>2.5</v>
      </c>
      <c r="P23" s="66">
        <v>1.5</v>
      </c>
      <c r="Q23" s="66"/>
      <c r="R23" s="9">
        <f t="shared" si="1"/>
        <v>3</v>
      </c>
      <c r="S23" s="8">
        <f t="shared" si="2"/>
        <v>33</v>
      </c>
      <c r="T23" s="69">
        <f t="shared" si="3"/>
        <v>30</v>
      </c>
      <c r="U23" s="7">
        <f t="shared" si="4"/>
        <v>13000</v>
      </c>
      <c r="V23" s="7"/>
      <c r="W23" s="72"/>
      <c r="X23" s="72">
        <v>1000</v>
      </c>
      <c r="Y23" s="6">
        <f t="shared" si="7"/>
        <v>12000</v>
      </c>
      <c r="Z23" s="131" t="s">
        <v>1343</v>
      </c>
      <c r="AA23" s="139" t="s">
        <v>1344</v>
      </c>
      <c r="AB23" s="139" t="s">
        <v>1345</v>
      </c>
      <c r="AC23" s="10" t="s">
        <v>48</v>
      </c>
      <c r="AD23" s="72">
        <v>0</v>
      </c>
      <c r="AE23" s="158"/>
      <c r="AF23" s="158"/>
    </row>
    <row r="24" spans="1:32" s="13" customFormat="1" ht="15.75" x14ac:dyDescent="0.25">
      <c r="A24" s="5">
        <f t="shared" si="6"/>
        <v>22</v>
      </c>
      <c r="B24" s="159">
        <v>309</v>
      </c>
      <c r="C24" s="84" t="s">
        <v>1167</v>
      </c>
      <c r="D24" s="80" t="s">
        <v>99</v>
      </c>
      <c r="E24" s="80"/>
      <c r="F24" s="82">
        <v>45817</v>
      </c>
      <c r="G24" s="80" t="s">
        <v>99</v>
      </c>
      <c r="H24" s="81" t="s">
        <v>1168</v>
      </c>
      <c r="I24" s="30">
        <v>19000</v>
      </c>
      <c r="J24" s="12"/>
      <c r="K24" s="12"/>
      <c r="L24" s="30">
        <v>19000</v>
      </c>
      <c r="M24" s="7">
        <v>30</v>
      </c>
      <c r="N24" s="66">
        <v>1.5</v>
      </c>
      <c r="O24" s="66">
        <v>1</v>
      </c>
      <c r="P24" s="66">
        <v>0.5</v>
      </c>
      <c r="Q24" s="66"/>
      <c r="R24" s="9">
        <f t="shared" si="1"/>
        <v>1</v>
      </c>
      <c r="S24" s="8">
        <f t="shared" si="2"/>
        <v>31</v>
      </c>
      <c r="T24" s="69">
        <f t="shared" si="3"/>
        <v>30</v>
      </c>
      <c r="U24" s="7">
        <f t="shared" si="4"/>
        <v>19000</v>
      </c>
      <c r="V24" s="7"/>
      <c r="W24" s="72"/>
      <c r="X24" s="72">
        <v>0</v>
      </c>
      <c r="Y24" s="6">
        <f t="shared" si="7"/>
        <v>19000</v>
      </c>
      <c r="Z24" s="131" t="s">
        <v>394</v>
      </c>
      <c r="AA24" s="139" t="s">
        <v>1445</v>
      </c>
      <c r="AB24" s="139" t="s">
        <v>1446</v>
      </c>
      <c r="AC24" s="10" t="s">
        <v>48</v>
      </c>
      <c r="AD24" s="72">
        <v>0</v>
      </c>
      <c r="AE24" s="158"/>
      <c r="AF24" s="158"/>
    </row>
    <row r="25" spans="1:32" s="13" customFormat="1" ht="15.75" x14ac:dyDescent="0.25">
      <c r="A25" s="5">
        <f t="shared" si="6"/>
        <v>23</v>
      </c>
      <c r="B25" s="159">
        <v>310</v>
      </c>
      <c r="C25" s="84" t="s">
        <v>742</v>
      </c>
      <c r="D25" s="80" t="s">
        <v>99</v>
      </c>
      <c r="E25" s="80"/>
      <c r="F25" s="82">
        <v>45831</v>
      </c>
      <c r="G25" s="80" t="s">
        <v>99</v>
      </c>
      <c r="H25" s="81" t="s">
        <v>1170</v>
      </c>
      <c r="I25" s="30">
        <v>10000</v>
      </c>
      <c r="J25" s="12"/>
      <c r="K25" s="12"/>
      <c r="L25" s="30">
        <v>10000</v>
      </c>
      <c r="M25" s="7">
        <v>30</v>
      </c>
      <c r="N25" s="66">
        <v>0.5</v>
      </c>
      <c r="O25" s="66">
        <v>16</v>
      </c>
      <c r="P25" s="66">
        <v>0.5</v>
      </c>
      <c r="Q25" s="66"/>
      <c r="R25" s="9">
        <f t="shared" si="1"/>
        <v>-15</v>
      </c>
      <c r="S25" s="8">
        <f t="shared" si="2"/>
        <v>15</v>
      </c>
      <c r="T25" s="69">
        <f t="shared" si="3"/>
        <v>15</v>
      </c>
      <c r="U25" s="7">
        <f t="shared" si="4"/>
        <v>5000</v>
      </c>
      <c r="V25" s="7"/>
      <c r="W25" s="72"/>
      <c r="X25" s="72">
        <v>0</v>
      </c>
      <c r="Y25" s="6">
        <f t="shared" si="7"/>
        <v>5000</v>
      </c>
      <c r="Z25" s="131" t="s">
        <v>543</v>
      </c>
      <c r="AA25" s="139" t="s">
        <v>1176</v>
      </c>
      <c r="AB25" s="139" t="s">
        <v>1177</v>
      </c>
      <c r="AC25" s="10" t="s">
        <v>48</v>
      </c>
      <c r="AD25" s="72">
        <v>0</v>
      </c>
      <c r="AE25" s="158"/>
      <c r="AF25" s="158"/>
    </row>
    <row r="26" spans="1:32" s="13" customFormat="1" ht="15.75" x14ac:dyDescent="0.25">
      <c r="A26" s="5">
        <f t="shared" si="6"/>
        <v>24</v>
      </c>
      <c r="B26" s="159">
        <v>312</v>
      </c>
      <c r="C26" s="84" t="s">
        <v>1171</v>
      </c>
      <c r="D26" s="80" t="s">
        <v>99</v>
      </c>
      <c r="E26" s="80"/>
      <c r="F26" s="82">
        <v>45833</v>
      </c>
      <c r="G26" s="80" t="s">
        <v>99</v>
      </c>
      <c r="H26" s="81" t="s">
        <v>1170</v>
      </c>
      <c r="I26" s="30">
        <v>15000</v>
      </c>
      <c r="J26" s="12"/>
      <c r="K26" s="12"/>
      <c r="L26" s="30">
        <v>15000</v>
      </c>
      <c r="M26" s="7">
        <v>30</v>
      </c>
      <c r="N26" s="66">
        <v>0.5</v>
      </c>
      <c r="O26" s="66">
        <v>0</v>
      </c>
      <c r="P26" s="66">
        <v>0.5</v>
      </c>
      <c r="Q26" s="66"/>
      <c r="R26" s="9">
        <f>N26+P26-O26+Q26</f>
        <v>1</v>
      </c>
      <c r="S26" s="8">
        <f>M26+R26</f>
        <v>31</v>
      </c>
      <c r="T26" s="69">
        <f t="shared" si="3"/>
        <v>30</v>
      </c>
      <c r="U26" s="7">
        <f>ROUND(L26*T26/M26,0)</f>
        <v>15000</v>
      </c>
      <c r="V26" s="7"/>
      <c r="W26" s="72"/>
      <c r="X26" s="72">
        <v>0</v>
      </c>
      <c r="Y26" s="6">
        <f>U26+W26-V26-X26</f>
        <v>15000</v>
      </c>
      <c r="Z26" s="131" t="s">
        <v>139</v>
      </c>
      <c r="AA26" s="139" t="s">
        <v>1191</v>
      </c>
      <c r="AB26" s="139" t="s">
        <v>1192</v>
      </c>
      <c r="AC26" s="10" t="s">
        <v>48</v>
      </c>
      <c r="AD26" s="72">
        <v>0</v>
      </c>
      <c r="AE26" s="158"/>
      <c r="AF26" s="158"/>
    </row>
    <row r="27" spans="1:32" s="13" customFormat="1" ht="15.75" x14ac:dyDescent="0.25">
      <c r="A27" s="5">
        <f t="shared" si="6"/>
        <v>25</v>
      </c>
      <c r="B27" s="159">
        <v>315</v>
      </c>
      <c r="C27" s="84" t="s">
        <v>1208</v>
      </c>
      <c r="D27" s="80" t="s">
        <v>99</v>
      </c>
      <c r="E27" s="80" t="s">
        <v>1237</v>
      </c>
      <c r="F27" s="82">
        <v>45839</v>
      </c>
      <c r="G27" s="80" t="s">
        <v>99</v>
      </c>
      <c r="H27" s="81" t="s">
        <v>1143</v>
      </c>
      <c r="I27" s="30">
        <v>19000</v>
      </c>
      <c r="J27" s="12"/>
      <c r="K27" s="12"/>
      <c r="L27" s="30">
        <f t="shared" ref="L27:L49" si="8">+J27+I27</f>
        <v>19000</v>
      </c>
      <c r="M27" s="7">
        <v>30</v>
      </c>
      <c r="N27" s="66">
        <v>1</v>
      </c>
      <c r="O27" s="66">
        <v>1.5</v>
      </c>
      <c r="P27" s="66">
        <v>0.5</v>
      </c>
      <c r="Q27" s="66"/>
      <c r="R27" s="9">
        <f t="shared" ref="R27:R49" si="9">N27+P27-O27+Q27</f>
        <v>0</v>
      </c>
      <c r="S27" s="8">
        <f t="shared" ref="S27:S49" si="10">M27+R27</f>
        <v>30</v>
      </c>
      <c r="T27" s="69">
        <f t="shared" si="3"/>
        <v>30</v>
      </c>
      <c r="U27" s="7">
        <f t="shared" ref="U27:U49" si="11">ROUND(L27*T27/M27,0)</f>
        <v>19000</v>
      </c>
      <c r="V27" s="7"/>
      <c r="W27" s="72"/>
      <c r="X27" s="72">
        <v>0</v>
      </c>
      <c r="Y27" s="6">
        <f t="shared" ref="Y27:Y49" si="12">U27+W27-V27-X27</f>
        <v>19000</v>
      </c>
      <c r="Z27" s="131" t="s">
        <v>851</v>
      </c>
      <c r="AA27" s="139" t="s">
        <v>351</v>
      </c>
      <c r="AB27" s="139" t="s">
        <v>1238</v>
      </c>
      <c r="AC27" s="10" t="s">
        <v>48</v>
      </c>
      <c r="AD27" s="72">
        <v>0</v>
      </c>
      <c r="AE27" s="158"/>
      <c r="AF27" s="158"/>
    </row>
    <row r="28" spans="1:32" s="13" customFormat="1" ht="15.75" x14ac:dyDescent="0.25">
      <c r="A28" s="5">
        <f t="shared" si="6"/>
        <v>26</v>
      </c>
      <c r="B28" s="159">
        <v>317</v>
      </c>
      <c r="C28" s="84" t="s">
        <v>1211</v>
      </c>
      <c r="D28" s="80" t="s">
        <v>99</v>
      </c>
      <c r="E28" s="80" t="s">
        <v>1474</v>
      </c>
      <c r="F28" s="82">
        <v>45845</v>
      </c>
      <c r="G28" s="80" t="s">
        <v>99</v>
      </c>
      <c r="H28" s="81" t="s">
        <v>1143</v>
      </c>
      <c r="I28" s="30">
        <v>16000</v>
      </c>
      <c r="J28" s="12"/>
      <c r="K28" s="12"/>
      <c r="L28" s="30">
        <f t="shared" si="8"/>
        <v>16000</v>
      </c>
      <c r="M28" s="7">
        <v>30</v>
      </c>
      <c r="N28" s="66">
        <v>0</v>
      </c>
      <c r="O28" s="66">
        <v>23</v>
      </c>
      <c r="P28" s="66">
        <v>0.5</v>
      </c>
      <c r="Q28" s="66"/>
      <c r="R28" s="9">
        <f t="shared" si="9"/>
        <v>-22.5</v>
      </c>
      <c r="S28" s="8">
        <f t="shared" si="10"/>
        <v>7.5</v>
      </c>
      <c r="T28" s="69">
        <f t="shared" si="3"/>
        <v>7.5</v>
      </c>
      <c r="U28" s="7">
        <f t="shared" si="11"/>
        <v>4000</v>
      </c>
      <c r="V28" s="7"/>
      <c r="W28" s="72"/>
      <c r="X28" s="72">
        <v>0</v>
      </c>
      <c r="Y28" s="6">
        <f t="shared" si="12"/>
        <v>4000</v>
      </c>
      <c r="Z28" s="131" t="s">
        <v>471</v>
      </c>
      <c r="AA28" s="139" t="s">
        <v>1240</v>
      </c>
      <c r="AB28" s="139" t="s">
        <v>1239</v>
      </c>
      <c r="AC28" s="10" t="s">
        <v>48</v>
      </c>
      <c r="AD28" s="72">
        <v>0</v>
      </c>
      <c r="AE28" s="158"/>
      <c r="AF28" s="158"/>
    </row>
    <row r="29" spans="1:32" s="13" customFormat="1" ht="15.75" x14ac:dyDescent="0.25">
      <c r="A29" s="5">
        <f t="shared" si="6"/>
        <v>27</v>
      </c>
      <c r="B29" s="159">
        <v>319</v>
      </c>
      <c r="C29" s="84" t="s">
        <v>1212</v>
      </c>
      <c r="D29" s="80" t="s">
        <v>99</v>
      </c>
      <c r="E29" s="80" t="s">
        <v>1475</v>
      </c>
      <c r="F29" s="82">
        <v>45845</v>
      </c>
      <c r="G29" s="80" t="s">
        <v>99</v>
      </c>
      <c r="H29" s="81" t="s">
        <v>1143</v>
      </c>
      <c r="I29" s="30">
        <v>14000</v>
      </c>
      <c r="J29" s="12"/>
      <c r="K29" s="12"/>
      <c r="L29" s="30">
        <f t="shared" si="8"/>
        <v>14000</v>
      </c>
      <c r="M29" s="7">
        <v>30</v>
      </c>
      <c r="N29" s="66">
        <v>6</v>
      </c>
      <c r="O29" s="66">
        <v>0</v>
      </c>
      <c r="P29" s="66">
        <v>0.5</v>
      </c>
      <c r="Q29" s="66"/>
      <c r="R29" s="9">
        <f t="shared" si="9"/>
        <v>6.5</v>
      </c>
      <c r="S29" s="8">
        <f t="shared" si="10"/>
        <v>36.5</v>
      </c>
      <c r="T29" s="69">
        <f t="shared" si="3"/>
        <v>30</v>
      </c>
      <c r="U29" s="7">
        <f t="shared" si="11"/>
        <v>14000</v>
      </c>
      <c r="V29" s="7"/>
      <c r="W29" s="72"/>
      <c r="X29" s="72">
        <v>0</v>
      </c>
      <c r="Y29" s="6">
        <f t="shared" si="12"/>
        <v>14000</v>
      </c>
      <c r="Z29" s="131" t="s">
        <v>425</v>
      </c>
      <c r="AA29" s="139" t="s">
        <v>1244</v>
      </c>
      <c r="AB29" s="139" t="s">
        <v>1245</v>
      </c>
      <c r="AC29" s="10" t="s">
        <v>48</v>
      </c>
      <c r="AD29" s="72">
        <v>0</v>
      </c>
      <c r="AE29" s="158"/>
      <c r="AF29" s="158"/>
    </row>
    <row r="30" spans="1:32" s="13" customFormat="1" ht="15.75" x14ac:dyDescent="0.25">
      <c r="A30" s="5">
        <f t="shared" si="6"/>
        <v>28</v>
      </c>
      <c r="B30" s="159">
        <v>320</v>
      </c>
      <c r="C30" s="84" t="s">
        <v>655</v>
      </c>
      <c r="D30" s="80" t="s">
        <v>99</v>
      </c>
      <c r="E30" s="80" t="s">
        <v>1250</v>
      </c>
      <c r="F30" s="82">
        <v>45847</v>
      </c>
      <c r="G30" s="80" t="s">
        <v>99</v>
      </c>
      <c r="H30" s="81" t="s">
        <v>1209</v>
      </c>
      <c r="I30" s="30">
        <v>15000</v>
      </c>
      <c r="J30" s="12"/>
      <c r="K30" s="12"/>
      <c r="L30" s="30">
        <f t="shared" si="8"/>
        <v>15000</v>
      </c>
      <c r="M30" s="7">
        <v>30</v>
      </c>
      <c r="N30" s="66">
        <v>0</v>
      </c>
      <c r="O30" s="66">
        <v>8</v>
      </c>
      <c r="P30" s="66">
        <v>0.5</v>
      </c>
      <c r="Q30" s="66"/>
      <c r="R30" s="9">
        <f t="shared" si="9"/>
        <v>-7.5</v>
      </c>
      <c r="S30" s="8">
        <f t="shared" si="10"/>
        <v>22.5</v>
      </c>
      <c r="T30" s="69">
        <f t="shared" si="3"/>
        <v>22.5</v>
      </c>
      <c r="U30" s="7">
        <f t="shared" si="11"/>
        <v>11250</v>
      </c>
      <c r="V30" s="7"/>
      <c r="W30" s="72"/>
      <c r="X30" s="72">
        <v>1000</v>
      </c>
      <c r="Y30" s="6">
        <f t="shared" si="12"/>
        <v>10250</v>
      </c>
      <c r="Z30" s="131" t="s">
        <v>543</v>
      </c>
      <c r="AA30" s="139" t="s">
        <v>1251</v>
      </c>
      <c r="AB30" s="139" t="s">
        <v>1252</v>
      </c>
      <c r="AC30" s="10" t="s">
        <v>48</v>
      </c>
      <c r="AD30" s="72">
        <v>0</v>
      </c>
      <c r="AE30" s="158"/>
      <c r="AF30" s="158"/>
    </row>
    <row r="31" spans="1:32" s="13" customFormat="1" ht="15.75" x14ac:dyDescent="0.25">
      <c r="A31" s="5">
        <f t="shared" si="6"/>
        <v>29</v>
      </c>
      <c r="B31" s="159">
        <v>321</v>
      </c>
      <c r="C31" s="84" t="s">
        <v>1215</v>
      </c>
      <c r="D31" s="80" t="s">
        <v>99</v>
      </c>
      <c r="E31" s="80" t="s">
        <v>1260</v>
      </c>
      <c r="F31" s="82">
        <v>45848</v>
      </c>
      <c r="G31" s="80" t="s">
        <v>99</v>
      </c>
      <c r="H31" s="81" t="s">
        <v>1143</v>
      </c>
      <c r="I31" s="30">
        <v>20000</v>
      </c>
      <c r="J31" s="12"/>
      <c r="K31" s="12"/>
      <c r="L31" s="30">
        <f t="shared" si="8"/>
        <v>20000</v>
      </c>
      <c r="M31" s="7">
        <v>30</v>
      </c>
      <c r="N31" s="66">
        <v>4</v>
      </c>
      <c r="O31" s="66">
        <v>0</v>
      </c>
      <c r="P31" s="66">
        <v>0.5</v>
      </c>
      <c r="Q31" s="66"/>
      <c r="R31" s="9">
        <f t="shared" si="9"/>
        <v>4.5</v>
      </c>
      <c r="S31" s="8">
        <f t="shared" si="10"/>
        <v>34.5</v>
      </c>
      <c r="T31" s="69">
        <f t="shared" si="3"/>
        <v>30</v>
      </c>
      <c r="U31" s="7">
        <f t="shared" si="11"/>
        <v>20000</v>
      </c>
      <c r="V31" s="7"/>
      <c r="W31" s="72"/>
      <c r="X31" s="72">
        <v>0</v>
      </c>
      <c r="Y31" s="6">
        <f t="shared" si="12"/>
        <v>20000</v>
      </c>
      <c r="Z31" s="131" t="s">
        <v>543</v>
      </c>
      <c r="AA31" s="139" t="s">
        <v>1261</v>
      </c>
      <c r="AB31" s="139" t="s">
        <v>1262</v>
      </c>
      <c r="AC31" s="10" t="s">
        <v>48</v>
      </c>
      <c r="AD31" s="72">
        <v>0</v>
      </c>
      <c r="AE31" s="158"/>
      <c r="AF31" s="158"/>
    </row>
    <row r="32" spans="1:32" s="13" customFormat="1" ht="15.75" x14ac:dyDescent="0.25">
      <c r="A32" s="5">
        <f t="shared" si="6"/>
        <v>30</v>
      </c>
      <c r="B32" s="159">
        <v>322</v>
      </c>
      <c r="C32" s="84" t="s">
        <v>1216</v>
      </c>
      <c r="D32" s="80" t="s">
        <v>99</v>
      </c>
      <c r="E32" s="80" t="s">
        <v>1230</v>
      </c>
      <c r="F32" s="82">
        <v>45849</v>
      </c>
      <c r="G32" s="80" t="s">
        <v>99</v>
      </c>
      <c r="H32" s="81" t="s">
        <v>110</v>
      </c>
      <c r="I32" s="30">
        <v>13000</v>
      </c>
      <c r="J32" s="12"/>
      <c r="K32" s="12"/>
      <c r="L32" s="30">
        <f t="shared" si="8"/>
        <v>13000</v>
      </c>
      <c r="M32" s="7">
        <v>30</v>
      </c>
      <c r="N32" s="66">
        <v>7</v>
      </c>
      <c r="O32" s="66">
        <v>0</v>
      </c>
      <c r="P32" s="66">
        <v>1.5</v>
      </c>
      <c r="Q32" s="66"/>
      <c r="R32" s="9">
        <f t="shared" si="9"/>
        <v>8.5</v>
      </c>
      <c r="S32" s="8">
        <f t="shared" si="10"/>
        <v>38.5</v>
      </c>
      <c r="T32" s="69">
        <f t="shared" si="3"/>
        <v>30</v>
      </c>
      <c r="U32" s="7">
        <f t="shared" si="11"/>
        <v>13000</v>
      </c>
      <c r="V32" s="7"/>
      <c r="W32" s="72"/>
      <c r="X32" s="72">
        <v>0</v>
      </c>
      <c r="Y32" s="6">
        <f t="shared" si="12"/>
        <v>13000</v>
      </c>
      <c r="Z32" s="131" t="s">
        <v>1255</v>
      </c>
      <c r="AA32" s="139" t="s">
        <v>1285</v>
      </c>
      <c r="AB32" s="139" t="s">
        <v>1342</v>
      </c>
      <c r="AC32" s="10" t="s">
        <v>48</v>
      </c>
      <c r="AD32" s="72">
        <v>0</v>
      </c>
      <c r="AE32" s="158"/>
      <c r="AF32" s="158"/>
    </row>
    <row r="33" spans="1:32" s="13" customFormat="1" ht="15.75" x14ac:dyDescent="0.25">
      <c r="A33" s="5">
        <f t="shared" si="6"/>
        <v>31</v>
      </c>
      <c r="B33" s="159">
        <v>323</v>
      </c>
      <c r="C33" s="84" t="s">
        <v>1219</v>
      </c>
      <c r="D33" s="80" t="s">
        <v>99</v>
      </c>
      <c r="E33" s="80" t="s">
        <v>1236</v>
      </c>
      <c r="F33" s="82">
        <v>45852</v>
      </c>
      <c r="G33" s="80" t="s">
        <v>99</v>
      </c>
      <c r="H33" s="81" t="s">
        <v>1220</v>
      </c>
      <c r="I33" s="30">
        <v>14000</v>
      </c>
      <c r="J33" s="12"/>
      <c r="K33" s="12"/>
      <c r="L33" s="30">
        <f t="shared" si="8"/>
        <v>14000</v>
      </c>
      <c r="M33" s="7">
        <v>30</v>
      </c>
      <c r="N33" s="66">
        <v>0</v>
      </c>
      <c r="O33" s="66">
        <v>2</v>
      </c>
      <c r="P33" s="66">
        <v>0.5</v>
      </c>
      <c r="Q33" s="66"/>
      <c r="R33" s="9">
        <f t="shared" si="9"/>
        <v>-1.5</v>
      </c>
      <c r="S33" s="8">
        <f t="shared" si="10"/>
        <v>28.5</v>
      </c>
      <c r="T33" s="69">
        <f t="shared" si="3"/>
        <v>28.5</v>
      </c>
      <c r="U33" s="7">
        <f t="shared" si="11"/>
        <v>13300</v>
      </c>
      <c r="V33" s="7"/>
      <c r="W33" s="72"/>
      <c r="X33" s="72">
        <v>0</v>
      </c>
      <c r="Y33" s="6">
        <f t="shared" si="12"/>
        <v>13300</v>
      </c>
      <c r="Z33" s="131" t="s">
        <v>393</v>
      </c>
      <c r="AA33" s="139" t="s">
        <v>1234</v>
      </c>
      <c r="AB33" s="139" t="s">
        <v>1235</v>
      </c>
      <c r="AC33" s="10" t="s">
        <v>48</v>
      </c>
      <c r="AD33" s="72">
        <v>0</v>
      </c>
      <c r="AE33" s="158"/>
      <c r="AF33" s="158"/>
    </row>
    <row r="34" spans="1:32" s="13" customFormat="1" ht="15.75" x14ac:dyDescent="0.25">
      <c r="A34" s="5">
        <f t="shared" si="6"/>
        <v>32</v>
      </c>
      <c r="B34" s="159">
        <v>326</v>
      </c>
      <c r="C34" s="84" t="s">
        <v>1221</v>
      </c>
      <c r="D34" s="80" t="s">
        <v>99</v>
      </c>
      <c r="E34" s="80" t="s">
        <v>1476</v>
      </c>
      <c r="F34" s="82">
        <v>45853</v>
      </c>
      <c r="G34" s="80" t="s">
        <v>99</v>
      </c>
      <c r="H34" s="81" t="s">
        <v>977</v>
      </c>
      <c r="I34" s="30">
        <v>15000</v>
      </c>
      <c r="J34" s="12"/>
      <c r="K34" s="12"/>
      <c r="L34" s="30">
        <f t="shared" si="8"/>
        <v>15000</v>
      </c>
      <c r="M34" s="7">
        <v>30</v>
      </c>
      <c r="N34" s="66">
        <v>0</v>
      </c>
      <c r="O34" s="66">
        <v>1</v>
      </c>
      <c r="P34" s="66">
        <v>0.5</v>
      </c>
      <c r="Q34" s="66"/>
      <c r="R34" s="9">
        <f t="shared" si="9"/>
        <v>-0.5</v>
      </c>
      <c r="S34" s="8">
        <f t="shared" si="10"/>
        <v>29.5</v>
      </c>
      <c r="T34" s="69">
        <f t="shared" si="3"/>
        <v>29.5</v>
      </c>
      <c r="U34" s="7">
        <f t="shared" si="11"/>
        <v>14750</v>
      </c>
      <c r="V34" s="7"/>
      <c r="W34" s="72"/>
      <c r="X34" s="72">
        <v>1000</v>
      </c>
      <c r="Y34" s="6">
        <f t="shared" si="12"/>
        <v>13750</v>
      </c>
      <c r="Z34" s="131" t="s">
        <v>543</v>
      </c>
      <c r="AA34" s="139" t="s">
        <v>1231</v>
      </c>
      <c r="AB34" s="139" t="s">
        <v>1232</v>
      </c>
      <c r="AC34" s="10" t="s">
        <v>48</v>
      </c>
      <c r="AD34" s="72">
        <v>0</v>
      </c>
      <c r="AE34" s="158"/>
      <c r="AF34" s="158"/>
    </row>
    <row r="35" spans="1:32" s="13" customFormat="1" ht="15.75" x14ac:dyDescent="0.25">
      <c r="A35" s="5">
        <f t="shared" si="6"/>
        <v>33</v>
      </c>
      <c r="B35" s="159">
        <v>328</v>
      </c>
      <c r="C35" s="84" t="s">
        <v>1223</v>
      </c>
      <c r="D35" s="80" t="s">
        <v>99</v>
      </c>
      <c r="E35" s="80" t="s">
        <v>1265</v>
      </c>
      <c r="F35" s="82">
        <v>45860</v>
      </c>
      <c r="G35" s="80" t="s">
        <v>99</v>
      </c>
      <c r="H35" s="81" t="s">
        <v>1209</v>
      </c>
      <c r="I35" s="30">
        <v>15000</v>
      </c>
      <c r="J35" s="12"/>
      <c r="K35" s="12"/>
      <c r="L35" s="30">
        <f t="shared" si="8"/>
        <v>15000</v>
      </c>
      <c r="M35" s="7">
        <v>30</v>
      </c>
      <c r="N35" s="66">
        <v>0</v>
      </c>
      <c r="O35" s="66">
        <v>4</v>
      </c>
      <c r="P35" s="66">
        <v>0.5</v>
      </c>
      <c r="Q35" s="66"/>
      <c r="R35" s="9">
        <f t="shared" si="9"/>
        <v>-3.5</v>
      </c>
      <c r="S35" s="8">
        <f t="shared" si="10"/>
        <v>26.5</v>
      </c>
      <c r="T35" s="69">
        <f t="shared" si="3"/>
        <v>26.5</v>
      </c>
      <c r="U35" s="7">
        <f t="shared" si="11"/>
        <v>13250</v>
      </c>
      <c r="V35" s="7"/>
      <c r="W35" s="72"/>
      <c r="X35" s="72">
        <v>0</v>
      </c>
      <c r="Y35" s="6">
        <f t="shared" si="12"/>
        <v>13250</v>
      </c>
      <c r="Z35" s="131" t="s">
        <v>1266</v>
      </c>
      <c r="AA35" s="139" t="s">
        <v>1267</v>
      </c>
      <c r="AB35" s="139" t="s">
        <v>1268</v>
      </c>
      <c r="AC35" s="10" t="s">
        <v>48</v>
      </c>
      <c r="AD35" s="72">
        <v>0</v>
      </c>
      <c r="AE35" s="158"/>
      <c r="AF35" s="158"/>
    </row>
    <row r="36" spans="1:32" s="13" customFormat="1" ht="15.75" x14ac:dyDescent="0.25">
      <c r="A36" s="5">
        <f t="shared" si="6"/>
        <v>34</v>
      </c>
      <c r="B36" s="159">
        <v>329</v>
      </c>
      <c r="C36" s="84" t="s">
        <v>1224</v>
      </c>
      <c r="D36" s="80" t="s">
        <v>99</v>
      </c>
      <c r="E36" s="80" t="s">
        <v>1477</v>
      </c>
      <c r="F36" s="82">
        <v>45860</v>
      </c>
      <c r="G36" s="80" t="s">
        <v>99</v>
      </c>
      <c r="H36" s="81" t="s">
        <v>1209</v>
      </c>
      <c r="I36" s="30">
        <v>15000</v>
      </c>
      <c r="J36" s="12"/>
      <c r="K36" s="12"/>
      <c r="L36" s="30">
        <f t="shared" si="8"/>
        <v>15000</v>
      </c>
      <c r="M36" s="7">
        <v>30</v>
      </c>
      <c r="N36" s="66">
        <v>0</v>
      </c>
      <c r="O36" s="66">
        <v>1</v>
      </c>
      <c r="P36" s="66">
        <v>0.5</v>
      </c>
      <c r="Q36" s="66"/>
      <c r="R36" s="9">
        <f t="shared" si="9"/>
        <v>-0.5</v>
      </c>
      <c r="S36" s="8">
        <f t="shared" si="10"/>
        <v>29.5</v>
      </c>
      <c r="T36" s="69">
        <f t="shared" si="3"/>
        <v>29.5</v>
      </c>
      <c r="U36" s="7">
        <f t="shared" si="11"/>
        <v>14750</v>
      </c>
      <c r="V36" s="7"/>
      <c r="W36" s="72"/>
      <c r="X36" s="72">
        <v>0</v>
      </c>
      <c r="Y36" s="6">
        <f t="shared" si="12"/>
        <v>14750</v>
      </c>
      <c r="Z36" s="131" t="s">
        <v>1269</v>
      </c>
      <c r="AA36" s="139" t="s">
        <v>1267</v>
      </c>
      <c r="AB36" s="139" t="s">
        <v>1270</v>
      </c>
      <c r="AC36" s="10" t="s">
        <v>48</v>
      </c>
      <c r="AD36" s="72">
        <v>0</v>
      </c>
      <c r="AE36" s="158"/>
      <c r="AF36" s="158"/>
    </row>
    <row r="37" spans="1:32" s="13" customFormat="1" ht="15.75" x14ac:dyDescent="0.25">
      <c r="A37" s="5">
        <f t="shared" si="6"/>
        <v>35</v>
      </c>
      <c r="B37" s="159">
        <v>330</v>
      </c>
      <c r="C37" s="84" t="s">
        <v>1225</v>
      </c>
      <c r="D37" s="80" t="s">
        <v>99</v>
      </c>
      <c r="E37" s="80" t="s">
        <v>1271</v>
      </c>
      <c r="F37" s="82">
        <v>45860</v>
      </c>
      <c r="G37" s="80" t="s">
        <v>99</v>
      </c>
      <c r="H37" s="81" t="s">
        <v>1209</v>
      </c>
      <c r="I37" s="30">
        <v>14000</v>
      </c>
      <c r="J37" s="12"/>
      <c r="K37" s="12"/>
      <c r="L37" s="30">
        <f t="shared" si="8"/>
        <v>14000</v>
      </c>
      <c r="M37" s="7">
        <v>30</v>
      </c>
      <c r="N37" s="66">
        <v>0.5</v>
      </c>
      <c r="O37" s="66">
        <v>0</v>
      </c>
      <c r="P37" s="66">
        <v>0.5</v>
      </c>
      <c r="Q37" s="66"/>
      <c r="R37" s="9">
        <f t="shared" si="9"/>
        <v>1</v>
      </c>
      <c r="S37" s="8">
        <f t="shared" si="10"/>
        <v>31</v>
      </c>
      <c r="T37" s="69">
        <f t="shared" si="3"/>
        <v>30</v>
      </c>
      <c r="U37" s="7">
        <f t="shared" si="11"/>
        <v>14000</v>
      </c>
      <c r="V37" s="7"/>
      <c r="W37" s="72"/>
      <c r="X37" s="72">
        <v>0</v>
      </c>
      <c r="Y37" s="6">
        <f t="shared" si="12"/>
        <v>14000</v>
      </c>
      <c r="Z37" s="131" t="s">
        <v>1272</v>
      </c>
      <c r="AA37" s="139" t="s">
        <v>1273</v>
      </c>
      <c r="AB37" s="139" t="s">
        <v>1295</v>
      </c>
      <c r="AC37" s="10" t="s">
        <v>48</v>
      </c>
      <c r="AD37" s="72">
        <v>0</v>
      </c>
      <c r="AE37" s="158"/>
      <c r="AF37" s="158"/>
    </row>
    <row r="38" spans="1:32" s="13" customFormat="1" ht="15.75" x14ac:dyDescent="0.25">
      <c r="A38" s="5">
        <f t="shared" si="6"/>
        <v>36</v>
      </c>
      <c r="B38" s="159">
        <v>331</v>
      </c>
      <c r="C38" s="84" t="s">
        <v>1226</v>
      </c>
      <c r="D38" s="80" t="s">
        <v>99</v>
      </c>
      <c r="E38" s="80" t="s">
        <v>1274</v>
      </c>
      <c r="F38" s="82">
        <v>45860</v>
      </c>
      <c r="G38" s="80" t="s">
        <v>99</v>
      </c>
      <c r="H38" s="81" t="s">
        <v>1209</v>
      </c>
      <c r="I38" s="30">
        <v>17000</v>
      </c>
      <c r="J38" s="12"/>
      <c r="K38" s="12"/>
      <c r="L38" s="30">
        <f t="shared" si="8"/>
        <v>17000</v>
      </c>
      <c r="M38" s="7">
        <v>30</v>
      </c>
      <c r="N38" s="66">
        <v>0.5</v>
      </c>
      <c r="O38" s="66">
        <v>2</v>
      </c>
      <c r="P38" s="66">
        <v>0.5</v>
      </c>
      <c r="Q38" s="66"/>
      <c r="R38" s="9">
        <f t="shared" si="9"/>
        <v>-1</v>
      </c>
      <c r="S38" s="8">
        <f t="shared" si="10"/>
        <v>29</v>
      </c>
      <c r="T38" s="69">
        <f t="shared" si="3"/>
        <v>29</v>
      </c>
      <c r="U38" s="7">
        <f t="shared" si="11"/>
        <v>16433</v>
      </c>
      <c r="V38" s="7"/>
      <c r="W38" s="72"/>
      <c r="X38" s="72">
        <v>0</v>
      </c>
      <c r="Y38" s="6">
        <f t="shared" si="12"/>
        <v>16433</v>
      </c>
      <c r="Z38" s="131" t="s">
        <v>1272</v>
      </c>
      <c r="AA38" s="139" t="s">
        <v>1275</v>
      </c>
      <c r="AB38" s="139" t="s">
        <v>1288</v>
      </c>
      <c r="AC38" s="10" t="s">
        <v>48</v>
      </c>
      <c r="AD38" s="72">
        <v>0</v>
      </c>
      <c r="AE38" s="158"/>
      <c r="AF38" s="158"/>
    </row>
    <row r="39" spans="1:32" s="13" customFormat="1" ht="15.75" x14ac:dyDescent="0.25">
      <c r="A39" s="5">
        <f t="shared" si="6"/>
        <v>37</v>
      </c>
      <c r="B39" s="159">
        <v>332</v>
      </c>
      <c r="C39" s="84" t="s">
        <v>1227</v>
      </c>
      <c r="D39" s="80" t="s">
        <v>99</v>
      </c>
      <c r="E39" s="80" t="s">
        <v>1276</v>
      </c>
      <c r="F39" s="82">
        <v>45860</v>
      </c>
      <c r="G39" s="80" t="s">
        <v>99</v>
      </c>
      <c r="H39" s="81" t="s">
        <v>1209</v>
      </c>
      <c r="I39" s="30">
        <v>17000</v>
      </c>
      <c r="J39" s="12"/>
      <c r="K39" s="12"/>
      <c r="L39" s="30">
        <f t="shared" si="8"/>
        <v>17000</v>
      </c>
      <c r="M39" s="7">
        <v>30</v>
      </c>
      <c r="N39" s="66">
        <v>0</v>
      </c>
      <c r="O39" s="66">
        <v>2.5</v>
      </c>
      <c r="P39" s="66">
        <v>0.5</v>
      </c>
      <c r="Q39" s="66"/>
      <c r="R39" s="9">
        <f t="shared" si="9"/>
        <v>-2</v>
      </c>
      <c r="S39" s="8">
        <f t="shared" si="10"/>
        <v>28</v>
      </c>
      <c r="T39" s="69">
        <f t="shared" si="3"/>
        <v>28</v>
      </c>
      <c r="U39" s="7">
        <f t="shared" si="11"/>
        <v>15867</v>
      </c>
      <c r="V39" s="7"/>
      <c r="W39" s="72"/>
      <c r="X39" s="72">
        <v>0</v>
      </c>
      <c r="Y39" s="6">
        <f t="shared" si="12"/>
        <v>15867</v>
      </c>
      <c r="Z39" s="131" t="s">
        <v>1269</v>
      </c>
      <c r="AA39" s="139" t="s">
        <v>1277</v>
      </c>
      <c r="AB39" s="139" t="s">
        <v>1278</v>
      </c>
      <c r="AC39" s="10" t="s">
        <v>48</v>
      </c>
      <c r="AD39" s="72">
        <v>0</v>
      </c>
      <c r="AE39" s="158"/>
      <c r="AF39" s="158"/>
    </row>
    <row r="40" spans="1:32" s="13" customFormat="1" ht="15.75" x14ac:dyDescent="0.25">
      <c r="A40" s="5">
        <f t="shared" si="6"/>
        <v>38</v>
      </c>
      <c r="B40" s="159">
        <v>335</v>
      </c>
      <c r="C40" s="84" t="s">
        <v>1228</v>
      </c>
      <c r="D40" s="80" t="s">
        <v>99</v>
      </c>
      <c r="E40" s="80" t="s">
        <v>1478</v>
      </c>
      <c r="F40" s="82">
        <v>45863</v>
      </c>
      <c r="G40" s="80" t="s">
        <v>99</v>
      </c>
      <c r="H40" s="81" t="s">
        <v>1168</v>
      </c>
      <c r="I40" s="30">
        <v>17000</v>
      </c>
      <c r="J40" s="12"/>
      <c r="K40" s="12"/>
      <c r="L40" s="30">
        <f t="shared" si="8"/>
        <v>17000</v>
      </c>
      <c r="M40" s="7">
        <v>30</v>
      </c>
      <c r="N40" s="66">
        <v>0</v>
      </c>
      <c r="O40" s="66">
        <v>15.5</v>
      </c>
      <c r="P40" s="66">
        <v>0.5</v>
      </c>
      <c r="Q40" s="66"/>
      <c r="R40" s="9">
        <f t="shared" si="9"/>
        <v>-15</v>
      </c>
      <c r="S40" s="8">
        <f t="shared" si="10"/>
        <v>15</v>
      </c>
      <c r="T40" s="69">
        <f t="shared" si="3"/>
        <v>15</v>
      </c>
      <c r="U40" s="7">
        <f t="shared" si="11"/>
        <v>8500</v>
      </c>
      <c r="V40" s="7"/>
      <c r="W40" s="72"/>
      <c r="X40" s="72">
        <v>0</v>
      </c>
      <c r="Y40" s="6">
        <f t="shared" si="12"/>
        <v>8500</v>
      </c>
      <c r="Z40" s="131" t="s">
        <v>47</v>
      </c>
      <c r="AA40" s="139" t="s">
        <v>1279</v>
      </c>
      <c r="AB40" s="139" t="s">
        <v>1280</v>
      </c>
      <c r="AC40" s="10" t="s">
        <v>48</v>
      </c>
      <c r="AD40" s="72">
        <v>0</v>
      </c>
      <c r="AE40" s="158"/>
      <c r="AF40" s="158"/>
    </row>
    <row r="41" spans="1:32" s="13" customFormat="1" ht="15.75" x14ac:dyDescent="0.25">
      <c r="A41" s="5">
        <f t="shared" si="6"/>
        <v>39</v>
      </c>
      <c r="B41" s="159">
        <v>338</v>
      </c>
      <c r="C41" s="84" t="s">
        <v>1298</v>
      </c>
      <c r="D41" s="80" t="s">
        <v>99</v>
      </c>
      <c r="E41" s="80" t="s">
        <v>1333</v>
      </c>
      <c r="F41" s="82">
        <v>45870</v>
      </c>
      <c r="G41" s="80" t="s">
        <v>99</v>
      </c>
      <c r="H41" s="81" t="s">
        <v>1299</v>
      </c>
      <c r="I41" s="30">
        <v>15000</v>
      </c>
      <c r="J41" s="12"/>
      <c r="K41" s="12"/>
      <c r="L41" s="30">
        <f t="shared" si="8"/>
        <v>15000</v>
      </c>
      <c r="M41" s="7">
        <v>30</v>
      </c>
      <c r="N41" s="66">
        <v>2.5</v>
      </c>
      <c r="O41" s="66">
        <v>1</v>
      </c>
      <c r="P41" s="66">
        <v>0.5</v>
      </c>
      <c r="Q41" s="66"/>
      <c r="R41" s="9">
        <f t="shared" si="9"/>
        <v>2</v>
      </c>
      <c r="S41" s="8">
        <f t="shared" si="10"/>
        <v>32</v>
      </c>
      <c r="T41" s="69">
        <f t="shared" si="3"/>
        <v>30</v>
      </c>
      <c r="U41" s="7">
        <f t="shared" si="11"/>
        <v>15000</v>
      </c>
      <c r="V41" s="7"/>
      <c r="W41" s="72"/>
      <c r="X41" s="72">
        <v>1000</v>
      </c>
      <c r="Y41" s="6">
        <f t="shared" si="12"/>
        <v>14000</v>
      </c>
      <c r="Z41" s="131" t="s">
        <v>1355</v>
      </c>
      <c r="AA41" s="139" t="s">
        <v>1356</v>
      </c>
      <c r="AB41" s="139" t="s">
        <v>1357</v>
      </c>
      <c r="AC41" s="10" t="s">
        <v>48</v>
      </c>
      <c r="AD41" s="72">
        <v>0</v>
      </c>
      <c r="AE41" s="158"/>
      <c r="AF41" s="158"/>
    </row>
    <row r="42" spans="1:32" s="13" customFormat="1" ht="15.75" x14ac:dyDescent="0.25">
      <c r="A42" s="5">
        <f t="shared" si="6"/>
        <v>40</v>
      </c>
      <c r="B42" s="159">
        <v>339</v>
      </c>
      <c r="C42" s="84" t="s">
        <v>1306</v>
      </c>
      <c r="D42" s="80" t="s">
        <v>99</v>
      </c>
      <c r="E42" s="80" t="s">
        <v>1479</v>
      </c>
      <c r="F42" s="82">
        <v>45882</v>
      </c>
      <c r="G42" s="80" t="s">
        <v>99</v>
      </c>
      <c r="H42" s="81" t="s">
        <v>1307</v>
      </c>
      <c r="I42" s="30">
        <v>15000</v>
      </c>
      <c r="J42" s="12"/>
      <c r="K42" s="12"/>
      <c r="L42" s="30">
        <f t="shared" si="8"/>
        <v>15000</v>
      </c>
      <c r="M42" s="7">
        <v>30</v>
      </c>
      <c r="N42" s="66">
        <v>9</v>
      </c>
      <c r="O42" s="66">
        <v>0</v>
      </c>
      <c r="P42" s="66">
        <v>3.5</v>
      </c>
      <c r="Q42" s="66"/>
      <c r="R42" s="9">
        <f t="shared" si="9"/>
        <v>12.5</v>
      </c>
      <c r="S42" s="8">
        <f t="shared" si="10"/>
        <v>42.5</v>
      </c>
      <c r="T42" s="69">
        <f t="shared" si="3"/>
        <v>30</v>
      </c>
      <c r="U42" s="7">
        <f t="shared" si="11"/>
        <v>15000</v>
      </c>
      <c r="V42" s="7"/>
      <c r="W42" s="72"/>
      <c r="X42" s="72">
        <v>0</v>
      </c>
      <c r="Y42" s="6">
        <f t="shared" si="12"/>
        <v>15000</v>
      </c>
      <c r="Z42" s="131" t="s">
        <v>1255</v>
      </c>
      <c r="AA42" s="139" t="s">
        <v>1256</v>
      </c>
      <c r="AB42" s="139" t="s">
        <v>1346</v>
      </c>
      <c r="AC42" s="10" t="s">
        <v>48</v>
      </c>
      <c r="AD42" s="72">
        <v>0</v>
      </c>
      <c r="AE42" s="158"/>
      <c r="AF42" s="158"/>
    </row>
    <row r="43" spans="1:32" s="13" customFormat="1" ht="15.75" x14ac:dyDescent="0.25">
      <c r="A43" s="5">
        <f t="shared" si="6"/>
        <v>41</v>
      </c>
      <c r="B43" s="159">
        <v>341</v>
      </c>
      <c r="C43" s="84" t="s">
        <v>1309</v>
      </c>
      <c r="D43" s="80" t="s">
        <v>99</v>
      </c>
      <c r="E43" s="80" t="s">
        <v>1334</v>
      </c>
      <c r="F43" s="82">
        <v>45891</v>
      </c>
      <c r="G43" s="80" t="s">
        <v>99</v>
      </c>
      <c r="H43" s="81" t="s">
        <v>1143</v>
      </c>
      <c r="I43" s="30">
        <v>15000</v>
      </c>
      <c r="J43" s="12"/>
      <c r="K43" s="12"/>
      <c r="L43" s="30">
        <f t="shared" si="8"/>
        <v>15000</v>
      </c>
      <c r="M43" s="7">
        <v>30</v>
      </c>
      <c r="N43" s="66">
        <v>0</v>
      </c>
      <c r="O43" s="66">
        <v>5</v>
      </c>
      <c r="P43" s="66">
        <v>0.5</v>
      </c>
      <c r="Q43" s="66"/>
      <c r="R43" s="9">
        <f t="shared" si="9"/>
        <v>-4.5</v>
      </c>
      <c r="S43" s="8">
        <f t="shared" si="10"/>
        <v>25.5</v>
      </c>
      <c r="T43" s="69">
        <f t="shared" si="3"/>
        <v>25.5</v>
      </c>
      <c r="U43" s="7">
        <f t="shared" si="11"/>
        <v>12750</v>
      </c>
      <c r="V43" s="7"/>
      <c r="W43" s="72"/>
      <c r="X43" s="72">
        <v>1000</v>
      </c>
      <c r="Y43" s="6">
        <f t="shared" si="12"/>
        <v>11750</v>
      </c>
      <c r="Z43" s="131" t="s">
        <v>394</v>
      </c>
      <c r="AA43" s="139" t="s">
        <v>1358</v>
      </c>
      <c r="AB43" s="139" t="s">
        <v>1359</v>
      </c>
      <c r="AC43" s="10" t="s">
        <v>48</v>
      </c>
      <c r="AD43" s="72">
        <v>0</v>
      </c>
      <c r="AE43" s="158"/>
      <c r="AF43" s="158"/>
    </row>
    <row r="44" spans="1:32" s="13" customFormat="1" ht="15.75" x14ac:dyDescent="0.25">
      <c r="A44" s="5">
        <f t="shared" si="6"/>
        <v>42</v>
      </c>
      <c r="B44" s="159">
        <v>342</v>
      </c>
      <c r="C44" s="84" t="s">
        <v>1370</v>
      </c>
      <c r="D44" s="80" t="s">
        <v>99</v>
      </c>
      <c r="E44" s="80"/>
      <c r="F44" s="82">
        <v>45902</v>
      </c>
      <c r="G44" s="80" t="s">
        <v>99</v>
      </c>
      <c r="H44" s="81" t="s">
        <v>110</v>
      </c>
      <c r="I44" s="30">
        <v>14000</v>
      </c>
      <c r="J44" s="12"/>
      <c r="K44" s="12"/>
      <c r="L44" s="30">
        <f t="shared" si="8"/>
        <v>14000</v>
      </c>
      <c r="M44" s="7">
        <v>30</v>
      </c>
      <c r="N44" s="66">
        <v>0</v>
      </c>
      <c r="O44" s="66">
        <v>1</v>
      </c>
      <c r="P44" s="66">
        <v>0.5</v>
      </c>
      <c r="Q44" s="66"/>
      <c r="R44" s="9">
        <f t="shared" si="9"/>
        <v>-0.5</v>
      </c>
      <c r="S44" s="8">
        <f t="shared" si="10"/>
        <v>29.5</v>
      </c>
      <c r="T44" s="69">
        <f t="shared" si="3"/>
        <v>29.5</v>
      </c>
      <c r="U44" s="7">
        <f t="shared" si="11"/>
        <v>13767</v>
      </c>
      <c r="V44" s="7"/>
      <c r="W44" s="72"/>
      <c r="X44" s="72">
        <v>0</v>
      </c>
      <c r="Y44" s="6">
        <f t="shared" si="12"/>
        <v>13767</v>
      </c>
      <c r="Z44" s="131" t="s">
        <v>425</v>
      </c>
      <c r="AA44" s="139" t="s">
        <v>1394</v>
      </c>
      <c r="AB44" s="139" t="s">
        <v>1408</v>
      </c>
      <c r="AC44" s="10" t="s">
        <v>48</v>
      </c>
      <c r="AD44" s="72">
        <v>0</v>
      </c>
      <c r="AE44" s="158"/>
      <c r="AF44" s="158"/>
    </row>
    <row r="45" spans="1:32" s="13" customFormat="1" ht="15.75" x14ac:dyDescent="0.25">
      <c r="A45" s="5">
        <f t="shared" si="6"/>
        <v>43</v>
      </c>
      <c r="B45" s="159">
        <v>343</v>
      </c>
      <c r="C45" s="84" t="s">
        <v>1374</v>
      </c>
      <c r="D45" s="80" t="s">
        <v>99</v>
      </c>
      <c r="E45" s="80"/>
      <c r="F45" s="82">
        <v>45909</v>
      </c>
      <c r="G45" s="80" t="s">
        <v>99</v>
      </c>
      <c r="H45" s="167" t="s">
        <v>1375</v>
      </c>
      <c r="I45" s="30">
        <v>15000</v>
      </c>
      <c r="J45" s="12"/>
      <c r="K45" s="12"/>
      <c r="L45" s="30">
        <f t="shared" si="8"/>
        <v>15000</v>
      </c>
      <c r="M45" s="7">
        <v>30</v>
      </c>
      <c r="N45" s="66">
        <v>0</v>
      </c>
      <c r="O45" s="66">
        <v>5</v>
      </c>
      <c r="P45" s="66">
        <v>0.5</v>
      </c>
      <c r="Q45" s="66"/>
      <c r="R45" s="9">
        <f t="shared" si="9"/>
        <v>-4.5</v>
      </c>
      <c r="S45" s="8">
        <f t="shared" si="10"/>
        <v>25.5</v>
      </c>
      <c r="T45" s="69">
        <f t="shared" si="3"/>
        <v>25.5</v>
      </c>
      <c r="U45" s="7">
        <f t="shared" si="11"/>
        <v>12750</v>
      </c>
      <c r="V45" s="7"/>
      <c r="W45" s="72"/>
      <c r="X45" s="72">
        <v>0</v>
      </c>
      <c r="Y45" s="6">
        <f t="shared" si="12"/>
        <v>12750</v>
      </c>
      <c r="Z45" s="131" t="s">
        <v>394</v>
      </c>
      <c r="AA45" s="139" t="s">
        <v>1409</v>
      </c>
      <c r="AB45" s="139" t="s">
        <v>1382</v>
      </c>
      <c r="AC45" s="10" t="s">
        <v>48</v>
      </c>
      <c r="AD45" s="72">
        <v>0</v>
      </c>
      <c r="AE45" s="158"/>
      <c r="AF45" s="158"/>
    </row>
    <row r="46" spans="1:32" s="13" customFormat="1" ht="15.75" x14ac:dyDescent="0.25">
      <c r="A46" s="5">
        <f t="shared" si="6"/>
        <v>44</v>
      </c>
      <c r="B46" s="159">
        <v>344</v>
      </c>
      <c r="C46" s="84" t="s">
        <v>1379</v>
      </c>
      <c r="D46" s="80" t="s">
        <v>99</v>
      </c>
      <c r="E46" s="80"/>
      <c r="F46" s="82">
        <v>45916</v>
      </c>
      <c r="G46" s="80" t="s">
        <v>99</v>
      </c>
      <c r="H46" s="81" t="s">
        <v>1128</v>
      </c>
      <c r="I46" s="30">
        <v>15000</v>
      </c>
      <c r="J46" s="12"/>
      <c r="K46" s="12"/>
      <c r="L46" s="30">
        <f t="shared" si="8"/>
        <v>15000</v>
      </c>
      <c r="M46" s="7">
        <v>30</v>
      </c>
      <c r="N46" s="66">
        <v>4</v>
      </c>
      <c r="O46" s="66">
        <v>0</v>
      </c>
      <c r="P46" s="66">
        <v>0.5</v>
      </c>
      <c r="Q46" s="66"/>
      <c r="R46" s="9">
        <f t="shared" si="9"/>
        <v>4.5</v>
      </c>
      <c r="S46" s="8">
        <f t="shared" si="10"/>
        <v>34.5</v>
      </c>
      <c r="T46" s="69">
        <f t="shared" si="3"/>
        <v>30</v>
      </c>
      <c r="U46" s="7">
        <f t="shared" si="11"/>
        <v>15000</v>
      </c>
      <c r="V46" s="7"/>
      <c r="W46" s="72"/>
      <c r="X46" s="72">
        <v>0</v>
      </c>
      <c r="Y46" s="6">
        <f t="shared" si="12"/>
        <v>15000</v>
      </c>
      <c r="Z46" s="131" t="s">
        <v>543</v>
      </c>
      <c r="AA46" s="139" t="s">
        <v>1386</v>
      </c>
      <c r="AB46" s="139" t="s">
        <v>1385</v>
      </c>
      <c r="AC46" s="10" t="s">
        <v>48</v>
      </c>
      <c r="AD46" s="72">
        <v>0</v>
      </c>
      <c r="AE46" s="158"/>
      <c r="AF46" s="158"/>
    </row>
    <row r="47" spans="1:32" s="13" customFormat="1" ht="15.75" x14ac:dyDescent="0.25">
      <c r="A47" s="5">
        <f t="shared" si="6"/>
        <v>45</v>
      </c>
      <c r="B47" s="159">
        <v>345</v>
      </c>
      <c r="C47" s="84" t="s">
        <v>1415</v>
      </c>
      <c r="D47" s="80" t="s">
        <v>99</v>
      </c>
      <c r="E47" s="80"/>
      <c r="F47" s="82">
        <v>45931</v>
      </c>
      <c r="G47" s="80" t="s">
        <v>99</v>
      </c>
      <c r="H47" s="81" t="s">
        <v>110</v>
      </c>
      <c r="I47" s="30">
        <v>12000</v>
      </c>
      <c r="J47" s="12"/>
      <c r="K47" s="12"/>
      <c r="L47" s="30">
        <f t="shared" si="8"/>
        <v>12000</v>
      </c>
      <c r="M47" s="7">
        <v>30</v>
      </c>
      <c r="N47" s="66">
        <v>0.5</v>
      </c>
      <c r="O47" s="66">
        <v>1</v>
      </c>
      <c r="P47" s="66">
        <v>0.5</v>
      </c>
      <c r="Q47" s="66"/>
      <c r="R47" s="9">
        <f t="shared" si="9"/>
        <v>0</v>
      </c>
      <c r="S47" s="8">
        <f t="shared" si="10"/>
        <v>30</v>
      </c>
      <c r="T47" s="69">
        <f t="shared" si="3"/>
        <v>30</v>
      </c>
      <c r="U47" s="7">
        <f t="shared" si="11"/>
        <v>12000</v>
      </c>
      <c r="V47" s="7"/>
      <c r="W47" s="72"/>
      <c r="X47" s="72">
        <v>0</v>
      </c>
      <c r="Y47" s="6">
        <f t="shared" si="12"/>
        <v>12000</v>
      </c>
      <c r="Z47" s="131" t="s">
        <v>1426</v>
      </c>
      <c r="AA47" s="139" t="s">
        <v>1423</v>
      </c>
      <c r="AB47" s="139" t="s">
        <v>1429</v>
      </c>
      <c r="AC47" s="10" t="s">
        <v>48</v>
      </c>
      <c r="AD47" s="72">
        <v>0</v>
      </c>
      <c r="AE47" s="158"/>
      <c r="AF47" s="158"/>
    </row>
    <row r="48" spans="1:32" s="13" customFormat="1" ht="15.75" x14ac:dyDescent="0.25">
      <c r="A48" s="5">
        <f t="shared" si="6"/>
        <v>46</v>
      </c>
      <c r="B48" s="159">
        <v>347</v>
      </c>
      <c r="C48" s="84" t="s">
        <v>1416</v>
      </c>
      <c r="D48" s="80" t="s">
        <v>99</v>
      </c>
      <c r="E48" s="80"/>
      <c r="F48" s="82">
        <v>45943</v>
      </c>
      <c r="G48" s="80" t="s">
        <v>99</v>
      </c>
      <c r="H48" s="81" t="s">
        <v>110</v>
      </c>
      <c r="I48" s="30">
        <v>15000</v>
      </c>
      <c r="J48" s="12"/>
      <c r="K48" s="12"/>
      <c r="L48" s="30">
        <f t="shared" si="8"/>
        <v>15000</v>
      </c>
      <c r="M48" s="7">
        <v>30</v>
      </c>
      <c r="N48" s="66">
        <v>0.5</v>
      </c>
      <c r="O48" s="66">
        <v>2</v>
      </c>
      <c r="P48" s="66">
        <v>0.5</v>
      </c>
      <c r="Q48" s="66"/>
      <c r="R48" s="9">
        <f t="shared" si="9"/>
        <v>-1</v>
      </c>
      <c r="S48" s="8">
        <f t="shared" si="10"/>
        <v>29</v>
      </c>
      <c r="T48" s="69">
        <f t="shared" si="3"/>
        <v>29</v>
      </c>
      <c r="U48" s="7">
        <f t="shared" si="11"/>
        <v>14500</v>
      </c>
      <c r="V48" s="7"/>
      <c r="W48" s="72"/>
      <c r="X48" s="72">
        <v>0</v>
      </c>
      <c r="Y48" s="6">
        <f t="shared" si="12"/>
        <v>14500</v>
      </c>
      <c r="Z48" s="131" t="s">
        <v>543</v>
      </c>
      <c r="AA48" s="139" t="s">
        <v>1424</v>
      </c>
      <c r="AB48" s="139" t="s">
        <v>1427</v>
      </c>
      <c r="AC48" s="10" t="s">
        <v>48</v>
      </c>
      <c r="AD48" s="72">
        <v>0</v>
      </c>
      <c r="AE48" s="158"/>
      <c r="AF48" s="158"/>
    </row>
    <row r="49" spans="1:37" s="196" customFormat="1" ht="15.75" hidden="1" x14ac:dyDescent="0.25">
      <c r="A49" s="178">
        <f t="shared" si="6"/>
        <v>47</v>
      </c>
      <c r="B49" s="179">
        <v>348</v>
      </c>
      <c r="C49" s="180" t="s">
        <v>1417</v>
      </c>
      <c r="D49" s="181" t="s">
        <v>99</v>
      </c>
      <c r="E49" s="181"/>
      <c r="F49" s="182">
        <v>45943</v>
      </c>
      <c r="G49" s="181" t="s">
        <v>99</v>
      </c>
      <c r="H49" s="183" t="s">
        <v>975</v>
      </c>
      <c r="I49" s="184">
        <v>15000</v>
      </c>
      <c r="J49" s="185"/>
      <c r="K49" s="185"/>
      <c r="L49" s="184">
        <f t="shared" si="8"/>
        <v>15000</v>
      </c>
      <c r="M49" s="186">
        <v>30</v>
      </c>
      <c r="N49" s="187">
        <v>0.5</v>
      </c>
      <c r="O49" s="187">
        <v>25</v>
      </c>
      <c r="P49" s="187">
        <v>0.5</v>
      </c>
      <c r="Q49" s="187"/>
      <c r="R49" s="188">
        <f t="shared" si="9"/>
        <v>-24</v>
      </c>
      <c r="S49" s="189">
        <f t="shared" si="10"/>
        <v>6</v>
      </c>
      <c r="T49" s="190">
        <f t="shared" si="3"/>
        <v>6</v>
      </c>
      <c r="U49" s="186">
        <f t="shared" si="11"/>
        <v>3000</v>
      </c>
      <c r="V49" s="186"/>
      <c r="W49" s="191"/>
      <c r="X49" s="191">
        <v>0</v>
      </c>
      <c r="Y49" s="192">
        <f t="shared" si="12"/>
        <v>3000</v>
      </c>
      <c r="Z49" s="193" t="s">
        <v>425</v>
      </c>
      <c r="AA49" s="194" t="s">
        <v>1425</v>
      </c>
      <c r="AB49" s="194" t="s">
        <v>1428</v>
      </c>
      <c r="AC49" s="195" t="s">
        <v>1480</v>
      </c>
      <c r="AD49" s="191" t="s">
        <v>1489</v>
      </c>
      <c r="AE49" s="158"/>
      <c r="AF49" s="158"/>
    </row>
    <row r="50" spans="1:37" s="240" customFormat="1" ht="15.75" x14ac:dyDescent="0.25">
      <c r="A50" s="221">
        <f t="shared" si="6"/>
        <v>48</v>
      </c>
      <c r="B50" s="222">
        <v>350</v>
      </c>
      <c r="C50" s="223" t="s">
        <v>1466</v>
      </c>
      <c r="D50" s="224" t="s">
        <v>99</v>
      </c>
      <c r="E50" s="224"/>
      <c r="F50" s="225">
        <v>45971</v>
      </c>
      <c r="G50" s="224" t="s">
        <v>99</v>
      </c>
      <c r="H50" s="226" t="s">
        <v>110</v>
      </c>
      <c r="I50" s="227">
        <v>15000</v>
      </c>
      <c r="J50" s="228"/>
      <c r="K50" s="228"/>
      <c r="L50" s="227">
        <f t="shared" ref="L50:L54" si="13">+J50+I50</f>
        <v>15000</v>
      </c>
      <c r="M50" s="229">
        <v>30</v>
      </c>
      <c r="N50" s="230">
        <v>0</v>
      </c>
      <c r="O50" s="230">
        <v>9</v>
      </c>
      <c r="P50" s="230">
        <v>0.5</v>
      </c>
      <c r="Q50" s="230"/>
      <c r="R50" s="231">
        <f t="shared" ref="R50:R54" si="14">N50+P50-O50+Q50</f>
        <v>-8.5</v>
      </c>
      <c r="S50" s="232">
        <f t="shared" ref="S50:S54" si="15">M50+R50</f>
        <v>21.5</v>
      </c>
      <c r="T50" s="233">
        <f t="shared" si="3"/>
        <v>21.5</v>
      </c>
      <c r="U50" s="229">
        <f t="shared" ref="U50:U54" si="16">ROUND(L50*T50/M50,0)</f>
        <v>10750</v>
      </c>
      <c r="V50" s="229"/>
      <c r="W50" s="234"/>
      <c r="X50" s="234">
        <v>600</v>
      </c>
      <c r="Y50" s="235">
        <f t="shared" ref="Y50:Y54" si="17">U50+W50-V50-X50</f>
        <v>10150</v>
      </c>
      <c r="Z50" s="236" t="s">
        <v>1521</v>
      </c>
      <c r="AA50" s="237" t="s">
        <v>1522</v>
      </c>
      <c r="AB50" s="237" t="s">
        <v>1524</v>
      </c>
      <c r="AC50" s="238" t="s">
        <v>48</v>
      </c>
      <c r="AD50" s="234">
        <v>0</v>
      </c>
      <c r="AE50" s="239"/>
      <c r="AF50" s="239"/>
    </row>
    <row r="51" spans="1:37" s="240" customFormat="1" ht="15.75" x14ac:dyDescent="0.25">
      <c r="A51" s="221">
        <f t="shared" si="6"/>
        <v>49</v>
      </c>
      <c r="B51" s="222">
        <v>351</v>
      </c>
      <c r="C51" s="223" t="s">
        <v>1467</v>
      </c>
      <c r="D51" s="224" t="s">
        <v>99</v>
      </c>
      <c r="E51" s="224"/>
      <c r="F51" s="225">
        <v>45972</v>
      </c>
      <c r="G51" s="224" t="s">
        <v>99</v>
      </c>
      <c r="H51" s="226" t="s">
        <v>1471</v>
      </c>
      <c r="I51" s="227">
        <v>15000</v>
      </c>
      <c r="J51" s="228"/>
      <c r="K51" s="228"/>
      <c r="L51" s="227">
        <f t="shared" si="13"/>
        <v>15000</v>
      </c>
      <c r="M51" s="229">
        <v>30</v>
      </c>
      <c r="N51" s="230">
        <v>0</v>
      </c>
      <c r="O51" s="230">
        <v>10</v>
      </c>
      <c r="P51" s="230">
        <v>0.5</v>
      </c>
      <c r="Q51" s="230"/>
      <c r="R51" s="231">
        <f t="shared" si="14"/>
        <v>-9.5</v>
      </c>
      <c r="S51" s="232">
        <f t="shared" si="15"/>
        <v>20.5</v>
      </c>
      <c r="T51" s="233">
        <f t="shared" si="3"/>
        <v>20.5</v>
      </c>
      <c r="U51" s="229">
        <f t="shared" si="16"/>
        <v>10250</v>
      </c>
      <c r="V51" s="229"/>
      <c r="W51" s="234"/>
      <c r="X51" s="234">
        <v>600</v>
      </c>
      <c r="Y51" s="235">
        <f t="shared" si="17"/>
        <v>9650</v>
      </c>
      <c r="Z51" s="236" t="s">
        <v>1507</v>
      </c>
      <c r="AA51" s="237" t="s">
        <v>1256</v>
      </c>
      <c r="AB51" s="237" t="s">
        <v>1525</v>
      </c>
      <c r="AC51" s="238" t="s">
        <v>48</v>
      </c>
      <c r="AD51" s="234">
        <v>0</v>
      </c>
      <c r="AE51" s="239"/>
      <c r="AF51" s="239"/>
    </row>
    <row r="52" spans="1:37" s="240" customFormat="1" ht="15.75" x14ac:dyDescent="0.25">
      <c r="A52" s="221">
        <f t="shared" si="6"/>
        <v>50</v>
      </c>
      <c r="B52" s="222">
        <v>352</v>
      </c>
      <c r="C52" s="223" t="s">
        <v>1468</v>
      </c>
      <c r="D52" s="224" t="s">
        <v>99</v>
      </c>
      <c r="E52" s="224"/>
      <c r="F52" s="225">
        <v>45981</v>
      </c>
      <c r="G52" s="224" t="s">
        <v>99</v>
      </c>
      <c r="H52" s="226" t="s">
        <v>1000</v>
      </c>
      <c r="I52" s="227">
        <v>15000</v>
      </c>
      <c r="J52" s="228"/>
      <c r="K52" s="228"/>
      <c r="L52" s="227">
        <f t="shared" si="13"/>
        <v>15000</v>
      </c>
      <c r="M52" s="229">
        <v>30</v>
      </c>
      <c r="N52" s="230">
        <v>0</v>
      </c>
      <c r="O52" s="230">
        <v>19</v>
      </c>
      <c r="P52" s="230">
        <v>0</v>
      </c>
      <c r="Q52" s="230"/>
      <c r="R52" s="231">
        <f t="shared" si="14"/>
        <v>-19</v>
      </c>
      <c r="S52" s="232">
        <f t="shared" si="15"/>
        <v>11</v>
      </c>
      <c r="T52" s="233">
        <f t="shared" si="3"/>
        <v>11</v>
      </c>
      <c r="U52" s="229">
        <f t="shared" si="16"/>
        <v>5500</v>
      </c>
      <c r="V52" s="229"/>
      <c r="W52" s="234"/>
      <c r="X52" s="234">
        <v>0</v>
      </c>
      <c r="Y52" s="235">
        <f t="shared" si="17"/>
        <v>5500</v>
      </c>
      <c r="Z52" s="236" t="s">
        <v>1507</v>
      </c>
      <c r="AA52" s="237" t="s">
        <v>1256</v>
      </c>
      <c r="AB52" s="237" t="s">
        <v>1526</v>
      </c>
      <c r="AC52" s="238" t="s">
        <v>48</v>
      </c>
      <c r="AD52" s="234">
        <v>0</v>
      </c>
      <c r="AE52" s="239"/>
      <c r="AF52" s="239"/>
    </row>
    <row r="53" spans="1:37" s="240" customFormat="1" ht="15.75" x14ac:dyDescent="0.25">
      <c r="A53" s="221">
        <f t="shared" si="6"/>
        <v>51</v>
      </c>
      <c r="B53" s="222">
        <v>353</v>
      </c>
      <c r="C53" s="223" t="s">
        <v>1469</v>
      </c>
      <c r="D53" s="224" t="s">
        <v>99</v>
      </c>
      <c r="E53" s="224"/>
      <c r="F53" s="225">
        <v>45985</v>
      </c>
      <c r="G53" s="224" t="s">
        <v>99</v>
      </c>
      <c r="H53" s="226" t="s">
        <v>110</v>
      </c>
      <c r="I53" s="227">
        <v>15000</v>
      </c>
      <c r="J53" s="228"/>
      <c r="K53" s="228"/>
      <c r="L53" s="227">
        <f t="shared" si="13"/>
        <v>15000</v>
      </c>
      <c r="M53" s="229">
        <v>30</v>
      </c>
      <c r="N53" s="230">
        <v>0</v>
      </c>
      <c r="O53" s="230">
        <v>23</v>
      </c>
      <c r="P53" s="230">
        <v>0</v>
      </c>
      <c r="Q53" s="230"/>
      <c r="R53" s="231">
        <f t="shared" si="14"/>
        <v>-23</v>
      </c>
      <c r="S53" s="232">
        <f t="shared" si="15"/>
        <v>7</v>
      </c>
      <c r="T53" s="233">
        <f t="shared" si="3"/>
        <v>7</v>
      </c>
      <c r="U53" s="229">
        <f t="shared" si="16"/>
        <v>3500</v>
      </c>
      <c r="V53" s="229"/>
      <c r="W53" s="234"/>
      <c r="X53" s="234">
        <v>0</v>
      </c>
      <c r="Y53" s="235">
        <f t="shared" si="17"/>
        <v>3500</v>
      </c>
      <c r="Z53" s="236" t="s">
        <v>1507</v>
      </c>
      <c r="AA53" s="237" t="s">
        <v>1285</v>
      </c>
      <c r="AB53" s="237" t="s">
        <v>1527</v>
      </c>
      <c r="AC53" s="238" t="s">
        <v>48</v>
      </c>
      <c r="AD53" s="234">
        <v>0</v>
      </c>
      <c r="AE53" s="239"/>
      <c r="AF53" s="239"/>
    </row>
    <row r="54" spans="1:37" s="240" customFormat="1" ht="15.75" x14ac:dyDescent="0.25">
      <c r="A54" s="221">
        <f t="shared" si="6"/>
        <v>52</v>
      </c>
      <c r="B54" s="222">
        <v>354</v>
      </c>
      <c r="C54" s="223" t="s">
        <v>1470</v>
      </c>
      <c r="D54" s="224" t="s">
        <v>99</v>
      </c>
      <c r="E54" s="224"/>
      <c r="F54" s="225">
        <v>45985</v>
      </c>
      <c r="G54" s="224" t="s">
        <v>99</v>
      </c>
      <c r="H54" s="226" t="s">
        <v>1000</v>
      </c>
      <c r="I54" s="227">
        <v>15000</v>
      </c>
      <c r="J54" s="228"/>
      <c r="K54" s="228"/>
      <c r="L54" s="227">
        <f t="shared" si="13"/>
        <v>15000</v>
      </c>
      <c r="M54" s="229">
        <v>30</v>
      </c>
      <c r="N54" s="230">
        <v>0</v>
      </c>
      <c r="O54" s="230">
        <v>23</v>
      </c>
      <c r="P54" s="230">
        <v>0</v>
      </c>
      <c r="Q54" s="230"/>
      <c r="R54" s="231">
        <f t="shared" si="14"/>
        <v>-23</v>
      </c>
      <c r="S54" s="232">
        <f t="shared" si="15"/>
        <v>7</v>
      </c>
      <c r="T54" s="233">
        <f t="shared" si="3"/>
        <v>7</v>
      </c>
      <c r="U54" s="229">
        <f t="shared" si="16"/>
        <v>3500</v>
      </c>
      <c r="V54" s="229"/>
      <c r="W54" s="234"/>
      <c r="X54" s="234">
        <v>200</v>
      </c>
      <c r="Y54" s="235">
        <f t="shared" si="17"/>
        <v>3300</v>
      </c>
      <c r="Z54" s="236" t="s">
        <v>425</v>
      </c>
      <c r="AA54" s="237" t="s">
        <v>1523</v>
      </c>
      <c r="AB54" s="237" t="s">
        <v>1528</v>
      </c>
      <c r="AC54" s="238" t="s">
        <v>48</v>
      </c>
      <c r="AD54" s="234">
        <v>0</v>
      </c>
      <c r="AE54" s="239"/>
      <c r="AF54" s="239"/>
    </row>
    <row r="55" spans="1:37" x14ac:dyDescent="0.25">
      <c r="A55" s="5"/>
      <c r="S55" s="8"/>
    </row>
    <row r="56" spans="1:37" s="13" customFormat="1" x14ac:dyDescent="0.25">
      <c r="A56" s="76"/>
      <c r="B56" s="163"/>
      <c r="C56" s="163"/>
      <c r="D56" s="76"/>
      <c r="E56" s="76"/>
      <c r="F56" s="76"/>
      <c r="G56" s="76" t="s">
        <v>100</v>
      </c>
      <c r="H56" s="78"/>
      <c r="I56" s="78">
        <f>SUBTOTAL(9,I3:I54)</f>
        <v>753000</v>
      </c>
      <c r="J56" s="78"/>
      <c r="K56" s="78"/>
      <c r="L56" s="78">
        <f t="shared" ref="L56:AA56" si="18">SUBTOTAL(9,L3:L54)</f>
        <v>753000</v>
      </c>
      <c r="M56" s="78">
        <f t="shared" si="18"/>
        <v>1530</v>
      </c>
      <c r="N56" s="78">
        <f t="shared" si="18"/>
        <v>111</v>
      </c>
      <c r="O56" s="78">
        <f t="shared" si="18"/>
        <v>222</v>
      </c>
      <c r="P56" s="78">
        <f t="shared" si="18"/>
        <v>28.5</v>
      </c>
      <c r="Q56" s="78">
        <f t="shared" si="18"/>
        <v>0</v>
      </c>
      <c r="R56" s="78">
        <f t="shared" si="18"/>
        <v>-82.5</v>
      </c>
      <c r="S56" s="78">
        <f t="shared" si="18"/>
        <v>1447.5</v>
      </c>
      <c r="T56" s="78">
        <f t="shared" si="18"/>
        <v>1339.5</v>
      </c>
      <c r="U56" s="78">
        <f t="shared" si="18"/>
        <v>658350</v>
      </c>
      <c r="V56" s="78">
        <f t="shared" si="18"/>
        <v>19169</v>
      </c>
      <c r="W56" s="78">
        <f t="shared" si="18"/>
        <v>0</v>
      </c>
      <c r="X56" s="78">
        <f t="shared" si="18"/>
        <v>14000</v>
      </c>
      <c r="Y56" s="78">
        <f t="shared" si="18"/>
        <v>625181</v>
      </c>
      <c r="Z56" s="78">
        <f t="shared" si="18"/>
        <v>0</v>
      </c>
      <c r="AA56" s="78">
        <f t="shared" si="18"/>
        <v>0</v>
      </c>
      <c r="AB56" s="78"/>
      <c r="AC56" s="76"/>
      <c r="AD56" s="76"/>
      <c r="AE56" s="164"/>
      <c r="AF56" s="164"/>
      <c r="AG56" s="11"/>
      <c r="AH56" s="11"/>
      <c r="AI56" s="11"/>
      <c r="AJ56" s="11"/>
      <c r="AK56" s="11"/>
    </row>
    <row r="57" spans="1:37" s="13" customFormat="1" x14ac:dyDescent="0.25">
      <c r="A57" s="11"/>
      <c r="B57" s="161"/>
      <c r="C57" s="16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spans="1:37" s="13" customFormat="1" x14ac:dyDescent="0.25">
      <c r="A58" s="11"/>
      <c r="B58" s="161"/>
      <c r="C58" s="16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62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spans="1:37" s="13" customFormat="1" x14ac:dyDescent="0.25">
      <c r="A59" s="11"/>
      <c r="B59" s="161"/>
      <c r="C59" s="16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62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spans="1:37" s="13" customFormat="1" x14ac:dyDescent="0.25">
      <c r="A60" s="11"/>
      <c r="B60" s="161"/>
      <c r="C60" s="16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62"/>
      <c r="Q60" s="11"/>
      <c r="R60" s="11"/>
      <c r="S60" s="67"/>
      <c r="T60" s="67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5" spans="21:22" x14ac:dyDescent="0.25">
      <c r="U65" s="67"/>
      <c r="V65" s="67"/>
    </row>
    <row r="274" spans="9:9" x14ac:dyDescent="0.25">
      <c r="I274" s="11">
        <v>234</v>
      </c>
    </row>
    <row r="279" spans="9:9" x14ac:dyDescent="0.25">
      <c r="I279" s="11">
        <f>I274+I275</f>
        <v>234</v>
      </c>
    </row>
  </sheetData>
  <autoFilter ref="A2:AD54">
    <filterColumn colId="28">
      <filters>
        <filter val="Release"/>
      </filters>
    </filterColumn>
  </autoFilter>
  <conditionalFormatting sqref="B1:B2">
    <cfRule type="duplicateValues" dxfId="1" priority="1832"/>
  </conditionalFormatting>
  <conditionalFormatting sqref="C1:C2">
    <cfRule type="duplicateValues" dxfId="0" priority="183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75"/>
  <sheetViews>
    <sheetView topLeftCell="A13" workbookViewId="0">
      <selection activeCell="H33" sqref="H33"/>
    </sheetView>
  </sheetViews>
  <sheetFormatPr defaultRowHeight="15" x14ac:dyDescent="0.25"/>
  <cols>
    <col min="3" max="3" width="35.140625" customWidth="1"/>
    <col min="4" max="4" width="19.140625" customWidth="1"/>
    <col min="5" max="5" width="14.7109375" customWidth="1"/>
    <col min="6" max="6" width="9.5703125" bestFit="1" customWidth="1"/>
    <col min="7" max="7" width="10.5703125" bestFit="1" customWidth="1"/>
    <col min="8" max="8" width="11.28515625" customWidth="1"/>
    <col min="13" max="13" width="11" bestFit="1" customWidth="1"/>
  </cols>
  <sheetData>
    <row r="1" spans="3:8" x14ac:dyDescent="0.25">
      <c r="C1" s="40"/>
      <c r="D1" s="40"/>
      <c r="E1" s="41"/>
      <c r="F1" s="40"/>
      <c r="G1" s="40"/>
      <c r="H1" s="41"/>
    </row>
    <row r="2" spans="3:8" ht="15.75" thickBot="1" x14ac:dyDescent="0.3">
      <c r="C2" s="40"/>
      <c r="D2" s="40"/>
      <c r="E2" s="41"/>
      <c r="F2" s="40"/>
      <c r="G2" s="40"/>
      <c r="H2" s="41"/>
    </row>
    <row r="3" spans="3:8" ht="15.75" thickBot="1" x14ac:dyDescent="0.3">
      <c r="C3" s="265" t="s">
        <v>117</v>
      </c>
      <c r="D3" s="266"/>
      <c r="E3" s="267"/>
      <c r="F3" s="40"/>
      <c r="G3" s="40"/>
      <c r="H3" s="41"/>
    </row>
    <row r="4" spans="3:8" x14ac:dyDescent="0.25">
      <c r="C4" s="40"/>
      <c r="D4" s="41"/>
      <c r="E4" s="41"/>
      <c r="F4" s="40"/>
      <c r="G4" s="40"/>
      <c r="H4" s="40"/>
    </row>
    <row r="5" spans="3:8" x14ac:dyDescent="0.25">
      <c r="C5" s="40"/>
      <c r="D5" s="41"/>
      <c r="E5" s="41"/>
      <c r="F5" s="40"/>
      <c r="G5" s="40"/>
      <c r="H5" s="40"/>
    </row>
    <row r="6" spans="3:8" x14ac:dyDescent="0.25">
      <c r="C6" s="40"/>
      <c r="D6" s="41"/>
      <c r="E6" s="41"/>
      <c r="F6" s="40"/>
      <c r="G6" s="40"/>
      <c r="H6" s="40"/>
    </row>
    <row r="7" spans="3:8" ht="30" x14ac:dyDescent="0.25">
      <c r="C7" s="42" t="s">
        <v>118</v>
      </c>
      <c r="D7" s="43" t="s">
        <v>119</v>
      </c>
      <c r="E7" s="43" t="s">
        <v>120</v>
      </c>
      <c r="F7" s="40"/>
      <c r="G7" s="40"/>
      <c r="H7" s="40"/>
    </row>
    <row r="8" spans="3:8" x14ac:dyDescent="0.25">
      <c r="C8" s="44" t="s">
        <v>121</v>
      </c>
      <c r="D8" s="45">
        <f>+G8*0.5</f>
        <v>125</v>
      </c>
      <c r="E8" s="45">
        <f>D8*12</f>
        <v>1500</v>
      </c>
      <c r="F8" s="46"/>
      <c r="G8" s="46">
        <v>250</v>
      </c>
      <c r="H8" s="46"/>
    </row>
    <row r="9" spans="3:8" x14ac:dyDescent="0.25">
      <c r="C9" s="44" t="s">
        <v>17</v>
      </c>
      <c r="D9" s="45">
        <f>+D8*0.5</f>
        <v>62.5</v>
      </c>
      <c r="E9" s="45">
        <f t="shared" ref="E9:E15" si="0">D9*12</f>
        <v>750</v>
      </c>
      <c r="F9" s="47"/>
      <c r="G9" s="46"/>
      <c r="H9" s="46"/>
    </row>
    <row r="10" spans="3:8" x14ac:dyDescent="0.25">
      <c r="C10" s="44" t="s">
        <v>122</v>
      </c>
      <c r="D10" s="45">
        <v>0</v>
      </c>
      <c r="E10" s="45">
        <f t="shared" si="0"/>
        <v>0</v>
      </c>
      <c r="F10" s="46"/>
      <c r="G10" s="58"/>
      <c r="H10" s="46"/>
    </row>
    <row r="11" spans="3:8" x14ac:dyDescent="0.25">
      <c r="C11" s="44" t="s">
        <v>30</v>
      </c>
      <c r="D11" s="48">
        <f>27000-1800-4000+1000-100-54-2-19000+4000-344-2500+250-250+750-500-500-26-60+15+2-500-200+50-9+3000-500-12</f>
        <v>5710</v>
      </c>
      <c r="E11" s="45">
        <f t="shared" si="0"/>
        <v>68520</v>
      </c>
      <c r="F11" s="46"/>
      <c r="G11" s="96"/>
      <c r="H11" s="46"/>
    </row>
    <row r="12" spans="3:8" x14ac:dyDescent="0.25">
      <c r="C12" s="42" t="s">
        <v>123</v>
      </c>
      <c r="D12" s="49">
        <f>SUM(D8:D11)</f>
        <v>5897.5</v>
      </c>
      <c r="E12" s="49">
        <f t="shared" si="0"/>
        <v>70770</v>
      </c>
      <c r="F12" s="46"/>
      <c r="G12" s="46"/>
      <c r="H12" s="46"/>
    </row>
    <row r="13" spans="3:8" x14ac:dyDescent="0.25">
      <c r="C13" s="44"/>
      <c r="D13" s="45"/>
      <c r="E13" s="45"/>
      <c r="F13" s="46"/>
      <c r="G13" s="58"/>
      <c r="H13" s="46"/>
    </row>
    <row r="14" spans="3:8" x14ac:dyDescent="0.25">
      <c r="C14" s="44" t="s">
        <v>124</v>
      </c>
      <c r="D14" s="45">
        <f>ROUND(IF(D12&lt;21000,D12*3.25%,0),0)</f>
        <v>192</v>
      </c>
      <c r="E14" s="45">
        <f t="shared" si="0"/>
        <v>2304</v>
      </c>
      <c r="F14" s="46"/>
      <c r="G14" s="47"/>
      <c r="H14" s="46"/>
    </row>
    <row r="15" spans="3:8" x14ac:dyDescent="0.25">
      <c r="C15" s="44" t="s">
        <v>125</v>
      </c>
      <c r="D15" s="45">
        <v>1800</v>
      </c>
      <c r="E15" s="45">
        <f t="shared" si="0"/>
        <v>21600</v>
      </c>
      <c r="F15" s="46"/>
      <c r="G15" s="47"/>
      <c r="H15" s="46"/>
    </row>
    <row r="16" spans="3:8" x14ac:dyDescent="0.25">
      <c r="C16" s="44"/>
      <c r="D16" s="45"/>
      <c r="E16" s="45"/>
      <c r="F16" s="46"/>
      <c r="G16" s="46"/>
      <c r="H16" s="46"/>
    </row>
    <row r="17" spans="3:8" x14ac:dyDescent="0.25">
      <c r="C17" s="50" t="s">
        <v>126</v>
      </c>
      <c r="D17" s="51">
        <f>D12+D14+D15</f>
        <v>7889.5</v>
      </c>
      <c r="E17" s="51">
        <f>E12+E14+E15</f>
        <v>94674</v>
      </c>
      <c r="F17" s="47"/>
      <c r="G17" s="46"/>
      <c r="H17" s="46"/>
    </row>
    <row r="18" spans="3:8" x14ac:dyDescent="0.25">
      <c r="C18" s="52"/>
      <c r="D18" s="53"/>
      <c r="E18" s="53"/>
      <c r="F18" s="46"/>
      <c r="G18" s="47"/>
      <c r="H18" s="46"/>
    </row>
    <row r="19" spans="3:8" x14ac:dyDescent="0.25">
      <c r="C19" s="54" t="s">
        <v>127</v>
      </c>
      <c r="D19" s="45">
        <f>ROUND(IF(D12&lt;21000,D12*0.75%,0),0)</f>
        <v>44</v>
      </c>
      <c r="E19" s="45">
        <f>D19*12</f>
        <v>528</v>
      </c>
      <c r="F19" s="46"/>
      <c r="G19" s="47"/>
      <c r="H19" s="46"/>
    </row>
    <row r="20" spans="3:8" x14ac:dyDescent="0.25">
      <c r="C20" s="44" t="s">
        <v>128</v>
      </c>
      <c r="D20" s="45">
        <v>1800</v>
      </c>
      <c r="E20" s="45">
        <f>D20*12</f>
        <v>21600</v>
      </c>
      <c r="F20" s="46"/>
      <c r="G20" s="47"/>
      <c r="H20" s="46"/>
    </row>
    <row r="21" spans="3:8" x14ac:dyDescent="0.25">
      <c r="C21" s="55" t="s">
        <v>129</v>
      </c>
      <c r="D21" s="45">
        <f>SUM(D19:D20)</f>
        <v>1844</v>
      </c>
      <c r="E21" s="45">
        <f>SUM(E19:E20)</f>
        <v>22128</v>
      </c>
      <c r="F21" s="47"/>
      <c r="G21" s="46"/>
      <c r="H21" s="46"/>
    </row>
    <row r="22" spans="3:8" x14ac:dyDescent="0.25">
      <c r="C22" s="46"/>
      <c r="D22" s="56"/>
      <c r="E22" s="56"/>
      <c r="F22" s="47"/>
      <c r="G22" s="46"/>
      <c r="H22" s="46"/>
    </row>
    <row r="23" spans="3:8" x14ac:dyDescent="0.25">
      <c r="C23" s="50" t="s">
        <v>130</v>
      </c>
      <c r="D23" s="51">
        <f>D12-D21</f>
        <v>4053.5</v>
      </c>
      <c r="E23" s="51">
        <f>E12-E21</f>
        <v>48642</v>
      </c>
      <c r="F23" s="46"/>
      <c r="G23" s="46"/>
      <c r="H23" s="46"/>
    </row>
    <row r="24" spans="3:8" x14ac:dyDescent="0.25">
      <c r="C24" s="40"/>
      <c r="D24" s="41"/>
      <c r="E24" s="41"/>
      <c r="F24" s="40"/>
      <c r="G24" s="57"/>
      <c r="H24" s="40"/>
    </row>
    <row r="25" spans="3:8" x14ac:dyDescent="0.25">
      <c r="C25" s="40"/>
      <c r="D25" s="41"/>
      <c r="E25" s="41"/>
      <c r="F25" s="40"/>
      <c r="G25" s="40"/>
      <c r="H25" s="40"/>
    </row>
    <row r="32" spans="3:8" ht="30" x14ac:dyDescent="0.25">
      <c r="C32" s="42" t="s">
        <v>118</v>
      </c>
      <c r="D32" s="43" t="s">
        <v>119</v>
      </c>
      <c r="E32" s="43" t="s">
        <v>120</v>
      </c>
    </row>
    <row r="33" spans="3:8" x14ac:dyDescent="0.25">
      <c r="C33" s="44" t="s">
        <v>121</v>
      </c>
      <c r="D33" s="45">
        <f>+H33*0.5+0.5</f>
        <v>17180</v>
      </c>
      <c r="E33" s="45">
        <f>D33*12</f>
        <v>206160</v>
      </c>
      <c r="H33">
        <v>34359</v>
      </c>
    </row>
    <row r="34" spans="3:8" x14ac:dyDescent="0.25">
      <c r="C34" s="44" t="s">
        <v>17</v>
      </c>
      <c r="D34" s="45">
        <f>+D33*0.5</f>
        <v>8590</v>
      </c>
      <c r="E34" s="45">
        <f t="shared" ref="E34:E40" si="1">D34*12</f>
        <v>103080</v>
      </c>
    </row>
    <row r="35" spans="3:8" x14ac:dyDescent="0.25">
      <c r="C35" s="44" t="s">
        <v>122</v>
      </c>
      <c r="D35" s="45">
        <v>0</v>
      </c>
      <c r="E35" s="45">
        <f t="shared" si="1"/>
        <v>0</v>
      </c>
    </row>
    <row r="36" spans="3:8" x14ac:dyDescent="0.25">
      <c r="C36" s="44" t="s">
        <v>30</v>
      </c>
      <c r="D36" s="48">
        <f>5000-1200-350+100-8+1+400-30+3+3000-100+15-40-2</f>
        <v>6789</v>
      </c>
      <c r="E36" s="45">
        <f t="shared" si="1"/>
        <v>81468</v>
      </c>
    </row>
    <row r="37" spans="3:8" x14ac:dyDescent="0.25">
      <c r="C37" s="42" t="s">
        <v>123</v>
      </c>
      <c r="D37" s="49">
        <f>SUM(D33:D36)</f>
        <v>32559</v>
      </c>
      <c r="E37" s="49">
        <f t="shared" si="1"/>
        <v>390708</v>
      </c>
    </row>
    <row r="38" spans="3:8" x14ac:dyDescent="0.25">
      <c r="C38" s="44"/>
      <c r="D38" s="45"/>
      <c r="E38" s="45"/>
    </row>
    <row r="39" spans="3:8" x14ac:dyDescent="0.25">
      <c r="C39" s="44" t="s">
        <v>124</v>
      </c>
      <c r="D39" s="45">
        <f>ROUND(IF(D37&lt;21000,D37*3.25%,0),0)</f>
        <v>0</v>
      </c>
      <c r="E39" s="45">
        <f t="shared" si="1"/>
        <v>0</v>
      </c>
    </row>
    <row r="40" spans="3:8" x14ac:dyDescent="0.25">
      <c r="C40" s="44" t="s">
        <v>125</v>
      </c>
      <c r="D40" s="45">
        <f>ROUND(IF(D33&gt;=15001,1800,D33*12%),0)</f>
        <v>1800</v>
      </c>
      <c r="E40" s="45">
        <f t="shared" si="1"/>
        <v>21600</v>
      </c>
    </row>
    <row r="41" spans="3:8" x14ac:dyDescent="0.25">
      <c r="C41" s="44"/>
      <c r="D41" s="45"/>
      <c r="E41" s="45"/>
    </row>
    <row r="42" spans="3:8" x14ac:dyDescent="0.25">
      <c r="C42" s="50" t="s">
        <v>126</v>
      </c>
      <c r="D42" s="51">
        <f>D37+D39+D40</f>
        <v>34359</v>
      </c>
      <c r="E42" s="51">
        <f>E37+E39+E40</f>
        <v>412308</v>
      </c>
    </row>
    <row r="43" spans="3:8" x14ac:dyDescent="0.25">
      <c r="C43" s="52"/>
      <c r="D43" s="53"/>
      <c r="E43" s="53"/>
      <c r="H43" s="68"/>
    </row>
    <row r="44" spans="3:8" x14ac:dyDescent="0.25">
      <c r="C44" s="54" t="s">
        <v>127</v>
      </c>
      <c r="D44" s="45">
        <f>ROUND(IF(D37&lt;21000,D37*0.75%,0),0)</f>
        <v>0</v>
      </c>
      <c r="E44" s="45">
        <f>D44*12</f>
        <v>0</v>
      </c>
    </row>
    <row r="45" spans="3:8" x14ac:dyDescent="0.25">
      <c r="C45" s="44" t="s">
        <v>128</v>
      </c>
      <c r="D45" s="45">
        <f>ROUND(IF(D33&gt;=15001,1800,D33*12%),0)</f>
        <v>1800</v>
      </c>
      <c r="E45" s="45">
        <f>D45*12</f>
        <v>21600</v>
      </c>
    </row>
    <row r="46" spans="3:8" x14ac:dyDescent="0.25">
      <c r="C46" s="55" t="s">
        <v>129</v>
      </c>
      <c r="D46" s="45">
        <f>SUM(D44:D45)</f>
        <v>1800</v>
      </c>
      <c r="E46" s="45">
        <f>SUM(E44:E45)</f>
        <v>21600</v>
      </c>
    </row>
    <row r="47" spans="3:8" x14ac:dyDescent="0.25">
      <c r="C47" s="46"/>
      <c r="D47" s="56"/>
      <c r="E47" s="56"/>
    </row>
    <row r="48" spans="3:8" x14ac:dyDescent="0.25">
      <c r="C48" s="50" t="s">
        <v>130</v>
      </c>
      <c r="D48" s="51">
        <f>D37-D46</f>
        <v>30759</v>
      </c>
      <c r="E48" s="51">
        <f>E37-E46</f>
        <v>369108</v>
      </c>
    </row>
    <row r="52" spans="3:8" ht="30" x14ac:dyDescent="0.25">
      <c r="C52" s="42" t="s">
        <v>118</v>
      </c>
      <c r="D52" s="43" t="s">
        <v>119</v>
      </c>
      <c r="E52" s="43" t="s">
        <v>120</v>
      </c>
    </row>
    <row r="53" spans="3:8" x14ac:dyDescent="0.25">
      <c r="C53" s="44" t="s">
        <v>121</v>
      </c>
      <c r="D53" s="45">
        <v>10800</v>
      </c>
      <c r="E53" s="45">
        <f>D53*12</f>
        <v>129600</v>
      </c>
      <c r="H53">
        <v>20216</v>
      </c>
    </row>
    <row r="54" spans="3:8" x14ac:dyDescent="0.25">
      <c r="C54" s="44" t="s">
        <v>17</v>
      </c>
      <c r="D54" s="45">
        <f>+D53*0.5</f>
        <v>5400</v>
      </c>
      <c r="E54" s="45">
        <f t="shared" ref="E54:E57" si="2">D54*12</f>
        <v>64800</v>
      </c>
    </row>
    <row r="55" spans="3:8" x14ac:dyDescent="0.25">
      <c r="C55" s="44" t="s">
        <v>122</v>
      </c>
      <c r="D55" s="45">
        <v>0</v>
      </c>
      <c r="E55" s="45">
        <f t="shared" si="2"/>
        <v>0</v>
      </c>
    </row>
    <row r="56" spans="3:8" x14ac:dyDescent="0.25">
      <c r="C56" s="44" t="s">
        <v>30</v>
      </c>
      <c r="D56" s="48">
        <f>2700-110+3-500+30+2-1</f>
        <v>2124</v>
      </c>
      <c r="E56" s="45">
        <f t="shared" si="2"/>
        <v>25488</v>
      </c>
    </row>
    <row r="57" spans="3:8" x14ac:dyDescent="0.25">
      <c r="C57" s="42" t="s">
        <v>123</v>
      </c>
      <c r="D57" s="49">
        <f>SUM(D53:D56)</f>
        <v>18324</v>
      </c>
      <c r="E57" s="49">
        <f t="shared" si="2"/>
        <v>219888</v>
      </c>
    </row>
    <row r="58" spans="3:8" x14ac:dyDescent="0.25">
      <c r="C58" s="44"/>
      <c r="D58" s="45"/>
      <c r="E58" s="45"/>
    </row>
    <row r="59" spans="3:8" x14ac:dyDescent="0.25">
      <c r="C59" s="44" t="s">
        <v>124</v>
      </c>
      <c r="D59" s="45">
        <f>ROUND(IF(D57&lt;21000,D57*3.25%,0),0)</f>
        <v>596</v>
      </c>
      <c r="E59" s="45">
        <f t="shared" ref="E59:E60" si="3">D59*12</f>
        <v>7152</v>
      </c>
    </row>
    <row r="60" spans="3:8" x14ac:dyDescent="0.25">
      <c r="C60" s="44" t="s">
        <v>125</v>
      </c>
      <c r="D60" s="45">
        <f>ROUND(IF(D53&gt;=15001,0,D53*12%),0)</f>
        <v>1296</v>
      </c>
      <c r="E60" s="45">
        <f t="shared" si="3"/>
        <v>15552</v>
      </c>
    </row>
    <row r="61" spans="3:8" x14ac:dyDescent="0.25">
      <c r="C61" s="44"/>
      <c r="D61" s="45"/>
      <c r="E61" s="45"/>
    </row>
    <row r="62" spans="3:8" x14ac:dyDescent="0.25">
      <c r="C62" s="50" t="s">
        <v>126</v>
      </c>
      <c r="D62" s="51">
        <f>D57+D59+D60</f>
        <v>20216</v>
      </c>
      <c r="E62" s="51">
        <f>E57+E59+E60</f>
        <v>242592</v>
      </c>
    </row>
    <row r="63" spans="3:8" x14ac:dyDescent="0.25">
      <c r="C63" s="52"/>
      <c r="D63" s="53"/>
      <c r="E63" s="53"/>
    </row>
    <row r="64" spans="3:8" x14ac:dyDescent="0.25">
      <c r="C64" s="54" t="s">
        <v>127</v>
      </c>
      <c r="D64" s="45">
        <f>ROUND(IF(D57&lt;21000,D57*0.75%,0),0)</f>
        <v>137</v>
      </c>
      <c r="E64" s="45">
        <f>D64*12</f>
        <v>1644</v>
      </c>
    </row>
    <row r="65" spans="3:7" x14ac:dyDescent="0.25">
      <c r="C65" s="44" t="s">
        <v>128</v>
      </c>
      <c r="D65" s="45">
        <f>ROUND(IF(D53&gt;=15001,0,D53*12%),0)</f>
        <v>1296</v>
      </c>
      <c r="E65" s="45">
        <f>D65*12</f>
        <v>15552</v>
      </c>
    </row>
    <row r="66" spans="3:7" x14ac:dyDescent="0.25">
      <c r="C66" s="55" t="s">
        <v>129</v>
      </c>
      <c r="D66" s="45">
        <f>SUM(D64:D65)</f>
        <v>1433</v>
      </c>
      <c r="E66" s="45">
        <f>SUM(E64:E65)</f>
        <v>17196</v>
      </c>
    </row>
    <row r="67" spans="3:7" x14ac:dyDescent="0.25">
      <c r="C67" s="46"/>
      <c r="D67" s="56"/>
      <c r="E67" s="56"/>
    </row>
    <row r="68" spans="3:7" x14ac:dyDescent="0.25">
      <c r="C68" s="50" t="s">
        <v>130</v>
      </c>
      <c r="D68" s="51">
        <f>D57-D66</f>
        <v>16891</v>
      </c>
      <c r="E68" s="51">
        <f>E57-E66</f>
        <v>202692</v>
      </c>
    </row>
    <row r="70" spans="3:7" x14ac:dyDescent="0.25">
      <c r="G70" t="s">
        <v>494</v>
      </c>
    </row>
    <row r="71" spans="3:7" x14ac:dyDescent="0.25">
      <c r="G71" t="s">
        <v>495</v>
      </c>
    </row>
    <row r="72" spans="3:7" x14ac:dyDescent="0.25">
      <c r="G72" t="s">
        <v>496</v>
      </c>
    </row>
    <row r="73" spans="3:7" x14ac:dyDescent="0.25">
      <c r="G73" t="s">
        <v>497</v>
      </c>
    </row>
    <row r="75" spans="3:7" x14ac:dyDescent="0.25">
      <c r="G75" t="s">
        <v>498</v>
      </c>
    </row>
  </sheetData>
  <mergeCells count="1">
    <mergeCell ref="C3:E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</vt:lpstr>
      <vt:lpstr>Trainee</vt:lpstr>
      <vt:lpstr>Structure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sadiya</dc:creator>
  <cp:lastModifiedBy>Sachin Dubey</cp:lastModifiedBy>
  <cp:lastPrinted>2025-11-06T06:55:59Z</cp:lastPrinted>
  <dcterms:created xsi:type="dcterms:W3CDTF">2020-09-16T11:12:58Z</dcterms:created>
  <dcterms:modified xsi:type="dcterms:W3CDTF">2025-12-09T11:05:32Z</dcterms:modified>
</cp:coreProperties>
</file>