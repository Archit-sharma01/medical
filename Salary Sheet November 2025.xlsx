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 activeTab="1"/>
  </bookViews>
  <sheets>
    <sheet name="Timing " sheetId="1" r:id="rId1"/>
    <sheet name="Attendance" sheetId="2" r:id="rId2"/>
    <sheet name="Sunday Working" sheetId="3" r:id="rId3"/>
    <sheet name="Cab Deductions" sheetId="6" r:id="rId4"/>
  </sheets>
  <definedNames>
    <definedName name="_xlnm._FilterDatabase" localSheetId="1" hidden="1">Attendance!$C$1:$E$278</definedName>
    <definedName name="_xlnm._FilterDatabase" localSheetId="3" hidden="1">'Cab Deductions'!$A$1:$I$977</definedName>
    <definedName name="_xlnm._FilterDatabase" localSheetId="2" hidden="1">'Sunday Working'!$A$1:$L$560</definedName>
    <definedName name="_xlnm._FilterDatabase" localSheetId="0" hidden="1">'Timing '!$A$1:$AQ$959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76" i="2" l="1"/>
  <c r="AM76" i="2"/>
  <c r="AN76" i="2"/>
  <c r="AP76" i="2" s="1"/>
  <c r="AO76" i="2" l="1"/>
  <c r="AN7" i="2"/>
  <c r="AP7" i="2" s="1"/>
  <c r="AN12" i="2"/>
  <c r="AP12" i="2" s="1"/>
  <c r="AN13" i="2"/>
  <c r="AP13" i="2" s="1"/>
  <c r="AN14" i="2"/>
  <c r="AP14" i="2" s="1"/>
  <c r="AN17" i="2"/>
  <c r="AP17" i="2" s="1"/>
  <c r="AN18" i="2"/>
  <c r="AP18" i="2" s="1"/>
  <c r="AN22" i="2"/>
  <c r="AP22" i="2" s="1"/>
  <c r="AN23" i="2"/>
  <c r="AP23" i="2" s="1"/>
  <c r="AN24" i="2"/>
  <c r="AP24" i="2" s="1"/>
  <c r="AN26" i="2"/>
  <c r="AP26" i="2" s="1"/>
  <c r="AN29" i="2"/>
  <c r="AP29" i="2" s="1"/>
  <c r="AN30" i="2"/>
  <c r="AP30" i="2" s="1"/>
  <c r="AN31" i="2"/>
  <c r="AP31" i="2" s="1"/>
  <c r="AN32" i="2"/>
  <c r="AP32" i="2" s="1"/>
  <c r="AN34" i="2"/>
  <c r="AP34" i="2" s="1"/>
  <c r="AN36" i="2"/>
  <c r="AP36" i="2" s="1"/>
  <c r="AN37" i="2"/>
  <c r="AP37" i="2" s="1"/>
  <c r="AN38" i="2"/>
  <c r="AP38" i="2" s="1"/>
  <c r="AN40" i="2"/>
  <c r="AP40" i="2" s="1"/>
  <c r="AN42" i="2"/>
  <c r="AP42" i="2" s="1"/>
  <c r="AN43" i="2"/>
  <c r="AP43" i="2" s="1"/>
  <c r="AN44" i="2"/>
  <c r="AP44" i="2" s="1"/>
  <c r="AN45" i="2"/>
  <c r="AP45" i="2" s="1"/>
  <c r="AN46" i="2"/>
  <c r="AP46" i="2" s="1"/>
  <c r="AN47" i="2"/>
  <c r="AP47" i="2" s="1"/>
  <c r="AN48" i="2"/>
  <c r="AP48" i="2" s="1"/>
  <c r="AN49" i="2"/>
  <c r="AP49" i="2" s="1"/>
  <c r="AN50" i="2"/>
  <c r="AP50" i="2" s="1"/>
  <c r="AN51" i="2"/>
  <c r="AP51" i="2" s="1"/>
  <c r="AN52" i="2"/>
  <c r="AP52" i="2" s="1"/>
  <c r="AN53" i="2"/>
  <c r="AP53" i="2" s="1"/>
  <c r="AN54" i="2"/>
  <c r="AP54" i="2" s="1"/>
  <c r="AN55" i="2"/>
  <c r="AP55" i="2" s="1"/>
  <c r="AN56" i="2"/>
  <c r="AP56" i="2" s="1"/>
  <c r="AN57" i="2"/>
  <c r="AP57" i="2" s="1"/>
  <c r="AN58" i="2"/>
  <c r="AP58" i="2" s="1"/>
  <c r="AN59" i="2"/>
  <c r="AP59" i="2" s="1"/>
  <c r="AN60" i="2"/>
  <c r="AP60" i="2" s="1"/>
  <c r="AN61" i="2"/>
  <c r="AP61" i="2" s="1"/>
  <c r="AN62" i="2"/>
  <c r="AP62" i="2" s="1"/>
  <c r="AN63" i="2"/>
  <c r="AP63" i="2" s="1"/>
  <c r="AN64" i="2"/>
  <c r="AP64" i="2" s="1"/>
  <c r="AN65" i="2"/>
  <c r="AP65" i="2" s="1"/>
  <c r="AN66" i="2"/>
  <c r="AP66" i="2" s="1"/>
  <c r="AN67" i="2"/>
  <c r="AP67" i="2" s="1"/>
  <c r="AN68" i="2"/>
  <c r="AP68" i="2" s="1"/>
  <c r="AN69" i="2"/>
  <c r="AP69" i="2" s="1"/>
  <c r="AN70" i="2"/>
  <c r="AP70" i="2" s="1"/>
  <c r="AN71" i="2"/>
  <c r="AP71" i="2" s="1"/>
  <c r="AN72" i="2"/>
  <c r="AP72" i="2" s="1"/>
  <c r="AN73" i="2"/>
  <c r="AP73" i="2" s="1"/>
  <c r="AN74" i="2"/>
  <c r="AP74" i="2" s="1"/>
  <c r="AN75" i="2"/>
  <c r="AP75" i="2" s="1"/>
  <c r="AN77" i="2"/>
  <c r="AP77" i="2" s="1"/>
  <c r="AN78" i="2"/>
  <c r="AP78" i="2" s="1"/>
  <c r="AN79" i="2"/>
  <c r="AP79" i="2" s="1"/>
  <c r="AN80" i="2"/>
  <c r="AP80" i="2" s="1"/>
  <c r="AN81" i="2"/>
  <c r="AP81" i="2" s="1"/>
  <c r="AN82" i="2"/>
  <c r="AP82" i="2" s="1"/>
  <c r="AN83" i="2"/>
  <c r="AP83" i="2" s="1"/>
  <c r="AN84" i="2"/>
  <c r="AP84" i="2" s="1"/>
  <c r="AN85" i="2"/>
  <c r="AP85" i="2" s="1"/>
  <c r="AN86" i="2"/>
  <c r="AP86" i="2" s="1"/>
  <c r="AN87" i="2"/>
  <c r="AP87" i="2" s="1"/>
  <c r="AN88" i="2"/>
  <c r="AP88" i="2" s="1"/>
  <c r="AN89" i="2"/>
  <c r="AP89" i="2" s="1"/>
  <c r="AN90" i="2"/>
  <c r="AP90" i="2" s="1"/>
  <c r="AN91" i="2"/>
  <c r="AP91" i="2" s="1"/>
  <c r="AN92" i="2"/>
  <c r="AP92" i="2" s="1"/>
  <c r="AN93" i="2"/>
  <c r="AP93" i="2" s="1"/>
  <c r="AN94" i="2"/>
  <c r="AP94" i="2" s="1"/>
  <c r="AN95" i="2"/>
  <c r="AP95" i="2" s="1"/>
  <c r="AN96" i="2"/>
  <c r="AP96" i="2" s="1"/>
  <c r="AN97" i="2"/>
  <c r="AP97" i="2" s="1"/>
  <c r="AN98" i="2"/>
  <c r="AP98" i="2" s="1"/>
  <c r="AN99" i="2"/>
  <c r="AP99" i="2" s="1"/>
  <c r="AN100" i="2"/>
  <c r="AP100" i="2" s="1"/>
  <c r="AN101" i="2"/>
  <c r="AP101" i="2" s="1"/>
  <c r="AN102" i="2"/>
  <c r="AP102" i="2" s="1"/>
  <c r="AN103" i="2"/>
  <c r="AP103" i="2" s="1"/>
  <c r="AN104" i="2"/>
  <c r="AP104" i="2" s="1"/>
  <c r="AN105" i="2"/>
  <c r="AP105" i="2" s="1"/>
  <c r="AN106" i="2"/>
  <c r="AP106" i="2" s="1"/>
  <c r="AN107" i="2"/>
  <c r="AP107" i="2" s="1"/>
  <c r="AN108" i="2"/>
  <c r="AP108" i="2" s="1"/>
  <c r="AN109" i="2"/>
  <c r="AP109" i="2" s="1"/>
  <c r="AN110" i="2"/>
  <c r="AP110" i="2" s="1"/>
  <c r="AN111" i="2"/>
  <c r="AP111" i="2" s="1"/>
  <c r="AN112" i="2"/>
  <c r="AP112" i="2" s="1"/>
  <c r="AN113" i="2"/>
  <c r="AP113" i="2" s="1"/>
  <c r="AN114" i="2"/>
  <c r="AP114" i="2" s="1"/>
  <c r="AN115" i="2"/>
  <c r="AP115" i="2" s="1"/>
  <c r="AN116" i="2"/>
  <c r="AP116" i="2" s="1"/>
  <c r="AN117" i="2"/>
  <c r="AP117" i="2" s="1"/>
  <c r="AN118" i="2"/>
  <c r="AP118" i="2" s="1"/>
  <c r="AN119" i="2"/>
  <c r="AP119" i="2" s="1"/>
  <c r="AN120" i="2"/>
  <c r="AP120" i="2" s="1"/>
  <c r="AN121" i="2"/>
  <c r="AP121" i="2" s="1"/>
  <c r="AN122" i="2"/>
  <c r="AP122" i="2" s="1"/>
  <c r="AN123" i="2"/>
  <c r="AP123" i="2" s="1"/>
  <c r="AN124" i="2"/>
  <c r="AP124" i="2" s="1"/>
  <c r="AN125" i="2"/>
  <c r="AP125" i="2" s="1"/>
  <c r="AN126" i="2"/>
  <c r="AP126" i="2" s="1"/>
  <c r="AN127" i="2"/>
  <c r="AP127" i="2" s="1"/>
  <c r="AN128" i="2"/>
  <c r="AP128" i="2" s="1"/>
  <c r="AN129" i="2"/>
  <c r="AP129" i="2" s="1"/>
  <c r="AN130" i="2"/>
  <c r="AP130" i="2" s="1"/>
  <c r="AN131" i="2"/>
  <c r="AP131" i="2" s="1"/>
  <c r="AN132" i="2"/>
  <c r="AP132" i="2" s="1"/>
  <c r="AN133" i="2"/>
  <c r="AP133" i="2" s="1"/>
  <c r="AN134" i="2"/>
  <c r="AP134" i="2" s="1"/>
  <c r="AN135" i="2"/>
  <c r="AP135" i="2" s="1"/>
  <c r="AN136" i="2"/>
  <c r="AP136" i="2" s="1"/>
  <c r="AN137" i="2"/>
  <c r="AP137" i="2" s="1"/>
  <c r="AN138" i="2"/>
  <c r="AP138" i="2" s="1"/>
  <c r="AN139" i="2"/>
  <c r="AP139" i="2" s="1"/>
  <c r="AN140" i="2"/>
  <c r="AP140" i="2" s="1"/>
  <c r="AN141" i="2"/>
  <c r="AP141" i="2" s="1"/>
  <c r="AN142" i="2"/>
  <c r="AP142" i="2" s="1"/>
  <c r="AN143" i="2"/>
  <c r="AP143" i="2" s="1"/>
  <c r="AN144" i="2"/>
  <c r="AP144" i="2" s="1"/>
  <c r="AN145" i="2"/>
  <c r="AP145" i="2" s="1"/>
  <c r="AN146" i="2"/>
  <c r="AP146" i="2" s="1"/>
  <c r="AN147" i="2"/>
  <c r="AP147" i="2" s="1"/>
  <c r="AN148" i="2"/>
  <c r="AP148" i="2" s="1"/>
  <c r="AN149" i="2"/>
  <c r="AP149" i="2" s="1"/>
  <c r="AN150" i="2"/>
  <c r="AP150" i="2" s="1"/>
  <c r="AN151" i="2"/>
  <c r="AP151" i="2" s="1"/>
  <c r="AN152" i="2"/>
  <c r="AP152" i="2" s="1"/>
  <c r="AN153" i="2"/>
  <c r="AP153" i="2" s="1"/>
  <c r="AN154" i="2"/>
  <c r="AP154" i="2" s="1"/>
  <c r="AN155" i="2"/>
  <c r="AP155" i="2" s="1"/>
  <c r="AN156" i="2"/>
  <c r="AP156" i="2" s="1"/>
  <c r="AN157" i="2"/>
  <c r="AP157" i="2" s="1"/>
  <c r="AN158" i="2"/>
  <c r="AP158" i="2" s="1"/>
  <c r="AN159" i="2"/>
  <c r="AP159" i="2" s="1"/>
  <c r="AN160" i="2"/>
  <c r="AP160" i="2" s="1"/>
  <c r="AN161" i="2"/>
  <c r="AP161" i="2" s="1"/>
  <c r="AN162" i="2"/>
  <c r="AP162" i="2" s="1"/>
  <c r="AN163" i="2"/>
  <c r="AP163" i="2" s="1"/>
  <c r="AN164" i="2"/>
  <c r="AP164" i="2" s="1"/>
  <c r="AN165" i="2"/>
  <c r="AP165" i="2" s="1"/>
  <c r="AN166" i="2"/>
  <c r="AP166" i="2" s="1"/>
  <c r="AN167" i="2"/>
  <c r="AP167" i="2" s="1"/>
  <c r="AN168" i="2"/>
  <c r="AP168" i="2" s="1"/>
  <c r="AN169" i="2"/>
  <c r="AP169" i="2" s="1"/>
  <c r="AN170" i="2"/>
  <c r="AP170" i="2" s="1"/>
  <c r="AN171" i="2"/>
  <c r="AP171" i="2" s="1"/>
  <c r="AN172" i="2"/>
  <c r="AP172" i="2" s="1"/>
  <c r="AN173" i="2"/>
  <c r="AP173" i="2" s="1"/>
  <c r="AN174" i="2"/>
  <c r="AP174" i="2" s="1"/>
  <c r="AN175" i="2"/>
  <c r="AP175" i="2" s="1"/>
  <c r="AN176" i="2"/>
  <c r="AP176" i="2" s="1"/>
  <c r="AN177" i="2"/>
  <c r="AP177" i="2" s="1"/>
  <c r="AN178" i="2"/>
  <c r="AP178" i="2" s="1"/>
  <c r="AN179" i="2"/>
  <c r="AP179" i="2" s="1"/>
  <c r="AN180" i="2"/>
  <c r="AP180" i="2" s="1"/>
  <c r="AN181" i="2"/>
  <c r="AP181" i="2" s="1"/>
  <c r="AN182" i="2"/>
  <c r="AP182" i="2" s="1"/>
  <c r="AN183" i="2"/>
  <c r="AP183" i="2" s="1"/>
  <c r="AN184" i="2"/>
  <c r="AP184" i="2" s="1"/>
  <c r="AN185" i="2"/>
  <c r="AP185" i="2" s="1"/>
  <c r="AN186" i="2"/>
  <c r="AP186" i="2" s="1"/>
  <c r="AN187" i="2"/>
  <c r="AP187" i="2" s="1"/>
  <c r="AN188" i="2"/>
  <c r="AP188" i="2" s="1"/>
  <c r="AN189" i="2"/>
  <c r="AP189" i="2" s="1"/>
  <c r="AN190" i="2"/>
  <c r="AP190" i="2" s="1"/>
  <c r="AN191" i="2"/>
  <c r="AP191" i="2" s="1"/>
  <c r="AN192" i="2"/>
  <c r="AP192" i="2" s="1"/>
  <c r="AN193" i="2"/>
  <c r="AP193" i="2" s="1"/>
  <c r="AN194" i="2"/>
  <c r="AP194" i="2" s="1"/>
  <c r="AN195" i="2"/>
  <c r="AP195" i="2" s="1"/>
  <c r="AN196" i="2"/>
  <c r="AP196" i="2" s="1"/>
  <c r="AN197" i="2"/>
  <c r="AP197" i="2" s="1"/>
  <c r="AN198" i="2"/>
  <c r="AP198" i="2" s="1"/>
  <c r="AN199" i="2"/>
  <c r="AP199" i="2" s="1"/>
  <c r="AN200" i="2"/>
  <c r="AP200" i="2" s="1"/>
  <c r="AN201" i="2"/>
  <c r="AP201" i="2" s="1"/>
  <c r="AN202" i="2"/>
  <c r="AP202" i="2" s="1"/>
  <c r="AN203" i="2"/>
  <c r="AP203" i="2" s="1"/>
  <c r="AN204" i="2"/>
  <c r="AP204" i="2" s="1"/>
  <c r="AN205" i="2"/>
  <c r="AP205" i="2" s="1"/>
  <c r="AN206" i="2"/>
  <c r="AP206" i="2" s="1"/>
  <c r="AN207" i="2"/>
  <c r="AP207" i="2" s="1"/>
  <c r="AN208" i="2"/>
  <c r="AP208" i="2" s="1"/>
  <c r="AN209" i="2"/>
  <c r="AP209" i="2" s="1"/>
  <c r="AN210" i="2"/>
  <c r="AP210" i="2" s="1"/>
  <c r="AN211" i="2"/>
  <c r="AP211" i="2" s="1"/>
  <c r="AN212" i="2"/>
  <c r="AP212" i="2" s="1"/>
  <c r="AN213" i="2"/>
  <c r="AP213" i="2" s="1"/>
  <c r="AN214" i="2"/>
  <c r="AP214" i="2" s="1"/>
  <c r="AN215" i="2"/>
  <c r="AP215" i="2" s="1"/>
  <c r="AN216" i="2"/>
  <c r="AP216" i="2" s="1"/>
  <c r="AN217" i="2"/>
  <c r="AP217" i="2" s="1"/>
  <c r="AN218" i="2"/>
  <c r="AP218" i="2" s="1"/>
  <c r="AN219" i="2"/>
  <c r="AP219" i="2" s="1"/>
  <c r="AN220" i="2"/>
  <c r="AP220" i="2" s="1"/>
  <c r="AN221" i="2"/>
  <c r="AP221" i="2" s="1"/>
  <c r="AN222" i="2"/>
  <c r="AP222" i="2" s="1"/>
  <c r="AN223" i="2"/>
  <c r="AP223" i="2" s="1"/>
  <c r="AN224" i="2"/>
  <c r="AP224" i="2" s="1"/>
  <c r="AN225" i="2"/>
  <c r="AP225" i="2" s="1"/>
  <c r="AN226" i="2"/>
  <c r="AP226" i="2" s="1"/>
  <c r="AN227" i="2"/>
  <c r="AP227" i="2" s="1"/>
  <c r="AN228" i="2"/>
  <c r="AP228" i="2" s="1"/>
  <c r="AN229" i="2"/>
  <c r="AP229" i="2" s="1"/>
  <c r="AN230" i="2"/>
  <c r="AP230" i="2" s="1"/>
  <c r="AN231" i="2"/>
  <c r="AP231" i="2" s="1"/>
  <c r="AN232" i="2"/>
  <c r="AP232" i="2" s="1"/>
  <c r="AN233" i="2"/>
  <c r="AP233" i="2" s="1"/>
  <c r="AN234" i="2"/>
  <c r="AP234" i="2" s="1"/>
  <c r="AN235" i="2"/>
  <c r="AP235" i="2" s="1"/>
  <c r="AN236" i="2"/>
  <c r="AP236" i="2" s="1"/>
  <c r="AN237" i="2"/>
  <c r="AP237" i="2" s="1"/>
  <c r="AN238" i="2"/>
  <c r="AP238" i="2" s="1"/>
  <c r="AN239" i="2"/>
  <c r="AP239" i="2" s="1"/>
  <c r="AN240" i="2"/>
  <c r="AP240" i="2" s="1"/>
  <c r="AN241" i="2"/>
  <c r="AP241" i="2" s="1"/>
  <c r="AN242" i="2"/>
  <c r="AP242" i="2" s="1"/>
  <c r="AN243" i="2"/>
  <c r="AP243" i="2" s="1"/>
  <c r="AN244" i="2"/>
  <c r="AP244" i="2" s="1"/>
  <c r="AN245" i="2"/>
  <c r="AP245" i="2" s="1"/>
  <c r="AN246" i="2"/>
  <c r="AP246" i="2" s="1"/>
  <c r="AN247" i="2"/>
  <c r="AP247" i="2" s="1"/>
  <c r="AN248" i="2"/>
  <c r="AP248" i="2" s="1"/>
  <c r="AN249" i="2"/>
  <c r="AP249" i="2" s="1"/>
  <c r="AN250" i="2"/>
  <c r="AP250" i="2" s="1"/>
  <c r="AN251" i="2"/>
  <c r="AP251" i="2" s="1"/>
  <c r="AN252" i="2"/>
  <c r="AP252" i="2" s="1"/>
  <c r="AN253" i="2"/>
  <c r="AP253" i="2" s="1"/>
  <c r="AN254" i="2"/>
  <c r="AP254" i="2" s="1"/>
  <c r="AN255" i="2"/>
  <c r="AP255" i="2" s="1"/>
  <c r="AN256" i="2"/>
  <c r="AP256" i="2" s="1"/>
  <c r="AN257" i="2"/>
  <c r="AP257" i="2" s="1"/>
  <c r="AN258" i="2"/>
  <c r="AP258" i="2" s="1"/>
  <c r="AN259" i="2"/>
  <c r="AP259" i="2" s="1"/>
  <c r="AN260" i="2"/>
  <c r="AP260" i="2" s="1"/>
  <c r="AN261" i="2"/>
  <c r="AP261" i="2" s="1"/>
  <c r="AN262" i="2"/>
  <c r="AP262" i="2" s="1"/>
  <c r="AN263" i="2"/>
  <c r="AP263" i="2" s="1"/>
  <c r="AN264" i="2"/>
  <c r="AP264" i="2" s="1"/>
  <c r="AN265" i="2"/>
  <c r="AP265" i="2" s="1"/>
  <c r="AN266" i="2"/>
  <c r="AP266" i="2" s="1"/>
  <c r="AN267" i="2"/>
  <c r="AP267" i="2" s="1"/>
  <c r="AN268" i="2"/>
  <c r="AP268" i="2" s="1"/>
  <c r="AN269" i="2"/>
  <c r="AP269" i="2" s="1"/>
  <c r="AN270" i="2"/>
  <c r="AP270" i="2" s="1"/>
  <c r="AN271" i="2"/>
  <c r="AP271" i="2" s="1"/>
  <c r="AN272" i="2"/>
  <c r="AP272" i="2" s="1"/>
  <c r="AN273" i="2"/>
  <c r="AP273" i="2" s="1"/>
  <c r="AN274" i="2"/>
  <c r="AP274" i="2" s="1"/>
  <c r="AN275" i="2"/>
  <c r="AP275" i="2" s="1"/>
  <c r="AN276" i="2"/>
  <c r="AP276" i="2" s="1"/>
  <c r="AN33" i="2"/>
  <c r="AP33" i="2" s="1"/>
  <c r="AN20" i="2"/>
  <c r="AP20" i="2" s="1"/>
  <c r="AN27" i="2"/>
  <c r="AP27" i="2" s="1"/>
  <c r="AN16" i="2"/>
  <c r="AP16" i="2" s="1"/>
  <c r="AN15" i="2"/>
  <c r="AP15" i="2" s="1"/>
  <c r="AN10" i="2"/>
  <c r="AP10" i="2" s="1"/>
  <c r="AN8" i="2"/>
  <c r="AP8" i="2" s="1"/>
  <c r="AN5" i="2"/>
  <c r="AP5" i="2" s="1"/>
  <c r="AN41" i="2"/>
  <c r="AP41" i="2" s="1"/>
  <c r="AN11" i="2"/>
  <c r="AP11" i="2" s="1"/>
  <c r="AN19" i="2"/>
  <c r="AP19" i="2" s="1"/>
  <c r="AN9" i="2"/>
  <c r="AP9" i="2" s="1"/>
  <c r="AN6" i="2"/>
  <c r="AP6" i="2" s="1"/>
  <c r="AN3" i="2"/>
  <c r="AP3" i="2" s="1"/>
  <c r="AN39" i="2"/>
  <c r="AP39" i="2" s="1"/>
  <c r="AN4" i="2"/>
  <c r="AP4" i="2" s="1"/>
  <c r="AN35" i="2"/>
  <c r="AP35" i="2" s="1"/>
  <c r="AN21" i="2"/>
  <c r="AP21" i="2" s="1"/>
  <c r="AN25" i="2"/>
  <c r="AP25" i="2" s="1"/>
  <c r="AN28" i="2"/>
  <c r="AP28" i="2" s="1"/>
  <c r="AN277" i="2"/>
  <c r="AP277" i="2" s="1"/>
  <c r="AN278" i="2"/>
  <c r="AP278" i="2" s="1"/>
  <c r="AN2" i="2"/>
  <c r="AP2" i="2" s="1"/>
  <c r="AL7" i="2" l="1"/>
  <c r="AM7" i="2"/>
  <c r="AL12" i="2"/>
  <c r="AM12" i="2"/>
  <c r="AL13" i="2"/>
  <c r="AM13" i="2"/>
  <c r="AL14" i="2"/>
  <c r="AM14" i="2"/>
  <c r="AL17" i="2"/>
  <c r="AM17" i="2"/>
  <c r="AL18" i="2"/>
  <c r="AM18" i="2"/>
  <c r="AL22" i="2"/>
  <c r="AM22" i="2"/>
  <c r="AL23" i="2"/>
  <c r="AM23" i="2"/>
  <c r="AL24" i="2"/>
  <c r="AM24" i="2"/>
  <c r="AL26" i="2"/>
  <c r="AM26" i="2"/>
  <c r="AL29" i="2"/>
  <c r="AM29" i="2"/>
  <c r="AL30" i="2"/>
  <c r="AM30" i="2"/>
  <c r="AL31" i="2"/>
  <c r="AM31" i="2"/>
  <c r="AL32" i="2"/>
  <c r="AM32" i="2"/>
  <c r="AL34" i="2"/>
  <c r="AM34" i="2"/>
  <c r="AL36" i="2"/>
  <c r="AM36" i="2"/>
  <c r="AL37" i="2"/>
  <c r="AM37" i="2"/>
  <c r="AL38" i="2"/>
  <c r="AM38" i="2"/>
  <c r="AL40" i="2"/>
  <c r="AM40" i="2"/>
  <c r="AL42" i="2"/>
  <c r="AM42" i="2"/>
  <c r="AL43" i="2"/>
  <c r="AM43" i="2"/>
  <c r="AL44" i="2"/>
  <c r="AM44" i="2"/>
  <c r="AL45" i="2"/>
  <c r="AM45" i="2"/>
  <c r="AL46" i="2"/>
  <c r="AM46" i="2"/>
  <c r="AL47" i="2"/>
  <c r="AM47" i="2"/>
  <c r="AL48" i="2"/>
  <c r="AM48" i="2"/>
  <c r="AL49" i="2"/>
  <c r="AM49" i="2"/>
  <c r="AL50" i="2"/>
  <c r="AM50" i="2"/>
  <c r="AL51" i="2"/>
  <c r="AM51" i="2"/>
  <c r="AL52" i="2"/>
  <c r="AM52" i="2"/>
  <c r="AL53" i="2"/>
  <c r="AM53" i="2"/>
  <c r="AL54" i="2"/>
  <c r="AM54" i="2"/>
  <c r="AL55" i="2"/>
  <c r="AM55" i="2"/>
  <c r="AL56" i="2"/>
  <c r="AM56" i="2"/>
  <c r="AL57" i="2"/>
  <c r="AM57" i="2"/>
  <c r="AL58" i="2"/>
  <c r="AM58" i="2"/>
  <c r="AL59" i="2"/>
  <c r="AM59" i="2"/>
  <c r="AL60" i="2"/>
  <c r="AM60" i="2"/>
  <c r="AL61" i="2"/>
  <c r="AM61" i="2"/>
  <c r="AL62" i="2"/>
  <c r="AM62" i="2"/>
  <c r="AL63" i="2"/>
  <c r="AM63" i="2"/>
  <c r="AL64" i="2"/>
  <c r="AM64" i="2"/>
  <c r="AL65" i="2"/>
  <c r="AM65" i="2"/>
  <c r="AL66" i="2"/>
  <c r="AM66" i="2"/>
  <c r="AL67" i="2"/>
  <c r="AM67" i="2"/>
  <c r="AL68" i="2"/>
  <c r="AM68" i="2"/>
  <c r="AL69" i="2"/>
  <c r="AM69" i="2"/>
  <c r="AL70" i="2"/>
  <c r="AM70" i="2"/>
  <c r="AL71" i="2"/>
  <c r="AM71" i="2"/>
  <c r="AL72" i="2"/>
  <c r="AM72" i="2"/>
  <c r="AL73" i="2"/>
  <c r="AM73" i="2"/>
  <c r="AL74" i="2"/>
  <c r="AM74" i="2"/>
  <c r="AL75" i="2"/>
  <c r="AM75" i="2"/>
  <c r="AL77" i="2"/>
  <c r="AM77" i="2"/>
  <c r="AL78" i="2"/>
  <c r="AM78" i="2"/>
  <c r="AL79" i="2"/>
  <c r="AM79" i="2"/>
  <c r="AL80" i="2"/>
  <c r="AM80" i="2"/>
  <c r="AL81" i="2"/>
  <c r="AM81" i="2"/>
  <c r="AL82" i="2"/>
  <c r="AM82" i="2"/>
  <c r="AL83" i="2"/>
  <c r="AM83" i="2"/>
  <c r="AL84" i="2"/>
  <c r="AM84" i="2"/>
  <c r="AL85" i="2"/>
  <c r="AM85" i="2"/>
  <c r="AL86" i="2"/>
  <c r="AM86" i="2"/>
  <c r="AL87" i="2"/>
  <c r="AM87" i="2"/>
  <c r="AL88" i="2"/>
  <c r="AM88" i="2"/>
  <c r="AL89" i="2"/>
  <c r="AM89" i="2"/>
  <c r="AL90" i="2"/>
  <c r="AM90" i="2"/>
  <c r="AL91" i="2"/>
  <c r="AM91" i="2"/>
  <c r="AL92" i="2"/>
  <c r="AM92" i="2"/>
  <c r="AL93" i="2"/>
  <c r="AM93" i="2"/>
  <c r="AL94" i="2"/>
  <c r="AM94" i="2"/>
  <c r="AL95" i="2"/>
  <c r="AM95" i="2"/>
  <c r="AL96" i="2"/>
  <c r="AM96" i="2"/>
  <c r="AL97" i="2"/>
  <c r="AM97" i="2"/>
  <c r="AL98" i="2"/>
  <c r="AM98" i="2"/>
  <c r="AL99" i="2"/>
  <c r="AM99" i="2"/>
  <c r="AL100" i="2"/>
  <c r="AM100" i="2"/>
  <c r="AL101" i="2"/>
  <c r="AM101" i="2"/>
  <c r="AL102" i="2"/>
  <c r="AM102" i="2"/>
  <c r="AL103" i="2"/>
  <c r="AM103" i="2"/>
  <c r="AL104" i="2"/>
  <c r="AM104" i="2"/>
  <c r="AL105" i="2"/>
  <c r="AM105" i="2"/>
  <c r="AL106" i="2"/>
  <c r="AM106" i="2"/>
  <c r="AL107" i="2"/>
  <c r="AM107" i="2"/>
  <c r="AL108" i="2"/>
  <c r="AM108" i="2"/>
  <c r="AL109" i="2"/>
  <c r="AM109" i="2"/>
  <c r="AL110" i="2"/>
  <c r="AM110" i="2"/>
  <c r="AL111" i="2"/>
  <c r="AM111" i="2"/>
  <c r="AL112" i="2"/>
  <c r="AM112" i="2"/>
  <c r="AL113" i="2"/>
  <c r="AM113" i="2"/>
  <c r="AL114" i="2"/>
  <c r="AM114" i="2"/>
  <c r="AL115" i="2"/>
  <c r="AM115" i="2"/>
  <c r="AL116" i="2"/>
  <c r="AM116" i="2"/>
  <c r="AL117" i="2"/>
  <c r="AM117" i="2"/>
  <c r="AL118" i="2"/>
  <c r="AM118" i="2"/>
  <c r="AL119" i="2"/>
  <c r="AM119" i="2"/>
  <c r="AL120" i="2"/>
  <c r="AM120" i="2"/>
  <c r="AL121" i="2"/>
  <c r="AM121" i="2"/>
  <c r="AL122" i="2"/>
  <c r="AM122" i="2"/>
  <c r="AL123" i="2"/>
  <c r="AM123" i="2"/>
  <c r="AL124" i="2"/>
  <c r="AM124" i="2"/>
  <c r="AL125" i="2"/>
  <c r="AM125" i="2"/>
  <c r="AL126" i="2"/>
  <c r="AM126" i="2"/>
  <c r="AL127" i="2"/>
  <c r="AM127" i="2"/>
  <c r="AL128" i="2"/>
  <c r="AM128" i="2"/>
  <c r="AL129" i="2"/>
  <c r="AM129" i="2"/>
  <c r="AL130" i="2"/>
  <c r="AM130" i="2"/>
  <c r="AL131" i="2"/>
  <c r="AM131" i="2"/>
  <c r="AL132" i="2"/>
  <c r="AM132" i="2"/>
  <c r="AL133" i="2"/>
  <c r="AM133" i="2"/>
  <c r="AL134" i="2"/>
  <c r="AM134" i="2"/>
  <c r="AL135" i="2"/>
  <c r="AM135" i="2"/>
  <c r="AL136" i="2"/>
  <c r="AM136" i="2"/>
  <c r="AL137" i="2"/>
  <c r="AM137" i="2"/>
  <c r="AL138" i="2"/>
  <c r="AM138" i="2"/>
  <c r="AL139" i="2"/>
  <c r="AM139" i="2"/>
  <c r="AL140" i="2"/>
  <c r="AM140" i="2"/>
  <c r="AL141" i="2"/>
  <c r="AM141" i="2"/>
  <c r="AL142" i="2"/>
  <c r="AM142" i="2"/>
  <c r="AL143" i="2"/>
  <c r="AM143" i="2"/>
  <c r="AL144" i="2"/>
  <c r="AM144" i="2"/>
  <c r="AL145" i="2"/>
  <c r="AM145" i="2"/>
  <c r="AL146" i="2"/>
  <c r="AM146" i="2"/>
  <c r="AL147" i="2"/>
  <c r="AM147" i="2"/>
  <c r="AL148" i="2"/>
  <c r="AM148" i="2"/>
  <c r="AL149" i="2"/>
  <c r="AM149" i="2"/>
  <c r="AL150" i="2"/>
  <c r="AM150" i="2"/>
  <c r="AL151" i="2"/>
  <c r="AM151" i="2"/>
  <c r="AL152" i="2"/>
  <c r="AM152" i="2"/>
  <c r="AL153" i="2"/>
  <c r="AM153" i="2"/>
  <c r="AL154" i="2"/>
  <c r="AM154" i="2"/>
  <c r="AL155" i="2"/>
  <c r="AM155" i="2"/>
  <c r="AL156" i="2"/>
  <c r="AM156" i="2"/>
  <c r="AL157" i="2"/>
  <c r="AM157" i="2"/>
  <c r="AL158" i="2"/>
  <c r="AM158" i="2"/>
  <c r="AL159" i="2"/>
  <c r="AM159" i="2"/>
  <c r="AL160" i="2"/>
  <c r="AM160" i="2"/>
  <c r="AL161" i="2"/>
  <c r="AM161" i="2"/>
  <c r="AL162" i="2"/>
  <c r="AM162" i="2"/>
  <c r="AL163" i="2"/>
  <c r="AM163" i="2"/>
  <c r="AL164" i="2"/>
  <c r="AM164" i="2"/>
  <c r="AL165" i="2"/>
  <c r="AM165" i="2"/>
  <c r="AL166" i="2"/>
  <c r="AM166" i="2"/>
  <c r="AL167" i="2"/>
  <c r="AM167" i="2"/>
  <c r="AL168" i="2"/>
  <c r="AM168" i="2"/>
  <c r="AL169" i="2"/>
  <c r="AM169" i="2"/>
  <c r="AL170" i="2"/>
  <c r="AM170" i="2"/>
  <c r="AL171" i="2"/>
  <c r="AM171" i="2"/>
  <c r="AL172" i="2"/>
  <c r="AM172" i="2"/>
  <c r="AL173" i="2"/>
  <c r="AM173" i="2"/>
  <c r="AL174" i="2"/>
  <c r="AM174" i="2"/>
  <c r="AL175" i="2"/>
  <c r="AM175" i="2"/>
  <c r="AL176" i="2"/>
  <c r="AM176" i="2"/>
  <c r="AL177" i="2"/>
  <c r="AM177" i="2"/>
  <c r="AL178" i="2"/>
  <c r="AM178" i="2"/>
  <c r="AL179" i="2"/>
  <c r="AM179" i="2"/>
  <c r="AL180" i="2"/>
  <c r="AM180" i="2"/>
  <c r="AL181" i="2"/>
  <c r="AM181" i="2"/>
  <c r="AL182" i="2"/>
  <c r="AM182" i="2"/>
  <c r="AL183" i="2"/>
  <c r="AM183" i="2"/>
  <c r="AL184" i="2"/>
  <c r="AM184" i="2"/>
  <c r="AL185" i="2"/>
  <c r="AM185" i="2"/>
  <c r="AL186" i="2"/>
  <c r="AM186" i="2"/>
  <c r="AL187" i="2"/>
  <c r="AM187" i="2"/>
  <c r="AL188" i="2"/>
  <c r="AM188" i="2"/>
  <c r="AL189" i="2"/>
  <c r="AM189" i="2"/>
  <c r="AL190" i="2"/>
  <c r="AM190" i="2"/>
  <c r="AL191" i="2"/>
  <c r="AM191" i="2"/>
  <c r="AL192" i="2"/>
  <c r="AM192" i="2"/>
  <c r="AL193" i="2"/>
  <c r="AM193" i="2"/>
  <c r="AL194" i="2"/>
  <c r="AM194" i="2"/>
  <c r="AL195" i="2"/>
  <c r="AM195" i="2"/>
  <c r="AL196" i="2"/>
  <c r="AM196" i="2"/>
  <c r="AL197" i="2"/>
  <c r="AM197" i="2"/>
  <c r="AL198" i="2"/>
  <c r="AM198" i="2"/>
  <c r="AL199" i="2"/>
  <c r="AM199" i="2"/>
  <c r="AL200" i="2"/>
  <c r="AM200" i="2"/>
  <c r="AL201" i="2"/>
  <c r="AM201" i="2"/>
  <c r="AL202" i="2"/>
  <c r="AM202" i="2"/>
  <c r="AL203" i="2"/>
  <c r="AM203" i="2"/>
  <c r="AL204" i="2"/>
  <c r="AM204" i="2"/>
  <c r="AL205" i="2"/>
  <c r="AM205" i="2"/>
  <c r="AL206" i="2"/>
  <c r="AM206" i="2"/>
  <c r="AL207" i="2"/>
  <c r="AM207" i="2"/>
  <c r="AL208" i="2"/>
  <c r="AM208" i="2"/>
  <c r="AL209" i="2"/>
  <c r="AM209" i="2"/>
  <c r="AL210" i="2"/>
  <c r="AM210" i="2"/>
  <c r="AL211" i="2"/>
  <c r="AM211" i="2"/>
  <c r="AL212" i="2"/>
  <c r="AM212" i="2"/>
  <c r="AL213" i="2"/>
  <c r="AM213" i="2"/>
  <c r="AL214" i="2"/>
  <c r="AM214" i="2"/>
  <c r="AL215" i="2"/>
  <c r="AM215" i="2"/>
  <c r="AL216" i="2"/>
  <c r="AM216" i="2"/>
  <c r="AL217" i="2"/>
  <c r="AM217" i="2"/>
  <c r="AL218" i="2"/>
  <c r="AM218" i="2"/>
  <c r="AL219" i="2"/>
  <c r="AM219" i="2"/>
  <c r="AL220" i="2"/>
  <c r="AM220" i="2"/>
  <c r="AL221" i="2"/>
  <c r="AM221" i="2"/>
  <c r="AL222" i="2"/>
  <c r="AM222" i="2"/>
  <c r="AL223" i="2"/>
  <c r="AM223" i="2"/>
  <c r="AL224" i="2"/>
  <c r="AM224" i="2"/>
  <c r="AL225" i="2"/>
  <c r="AM225" i="2"/>
  <c r="AL226" i="2"/>
  <c r="AM226" i="2"/>
  <c r="AL227" i="2"/>
  <c r="AM227" i="2"/>
  <c r="AL228" i="2"/>
  <c r="AM228" i="2"/>
  <c r="AL229" i="2"/>
  <c r="AM229" i="2"/>
  <c r="AL230" i="2"/>
  <c r="AM230" i="2"/>
  <c r="AL231" i="2"/>
  <c r="AM231" i="2"/>
  <c r="AL232" i="2"/>
  <c r="AM232" i="2"/>
  <c r="AL233" i="2"/>
  <c r="AM233" i="2"/>
  <c r="AL234" i="2"/>
  <c r="AM234" i="2"/>
  <c r="AL235" i="2"/>
  <c r="AM235" i="2"/>
  <c r="AL236" i="2"/>
  <c r="AM236" i="2"/>
  <c r="AL237" i="2"/>
  <c r="AM237" i="2"/>
  <c r="AL238" i="2"/>
  <c r="AM238" i="2"/>
  <c r="AL239" i="2"/>
  <c r="AM239" i="2"/>
  <c r="AL240" i="2"/>
  <c r="AM240" i="2"/>
  <c r="AL241" i="2"/>
  <c r="AM241" i="2"/>
  <c r="AL242" i="2"/>
  <c r="AM242" i="2"/>
  <c r="AL243" i="2"/>
  <c r="AM243" i="2"/>
  <c r="AL244" i="2"/>
  <c r="AM244" i="2"/>
  <c r="AL245" i="2"/>
  <c r="AM245" i="2"/>
  <c r="AL246" i="2"/>
  <c r="AM246" i="2"/>
  <c r="AL247" i="2"/>
  <c r="AM247" i="2"/>
  <c r="AL248" i="2"/>
  <c r="AM248" i="2"/>
  <c r="AL249" i="2"/>
  <c r="AM249" i="2"/>
  <c r="AL250" i="2"/>
  <c r="AM250" i="2"/>
  <c r="AL251" i="2"/>
  <c r="AM251" i="2"/>
  <c r="AL252" i="2"/>
  <c r="AM252" i="2"/>
  <c r="AL253" i="2"/>
  <c r="AM253" i="2"/>
  <c r="AL254" i="2"/>
  <c r="AM254" i="2"/>
  <c r="AL255" i="2"/>
  <c r="AM255" i="2"/>
  <c r="AL256" i="2"/>
  <c r="AM256" i="2"/>
  <c r="AL257" i="2"/>
  <c r="AM257" i="2"/>
  <c r="AL258" i="2"/>
  <c r="AM258" i="2"/>
  <c r="AL259" i="2"/>
  <c r="AM259" i="2"/>
  <c r="AL260" i="2"/>
  <c r="AM260" i="2"/>
  <c r="AL261" i="2"/>
  <c r="AM261" i="2"/>
  <c r="AL262" i="2"/>
  <c r="AM262" i="2"/>
  <c r="AL263" i="2"/>
  <c r="AM263" i="2"/>
  <c r="AL264" i="2"/>
  <c r="AM264" i="2"/>
  <c r="AL265" i="2"/>
  <c r="AM265" i="2"/>
  <c r="AL266" i="2"/>
  <c r="AM266" i="2"/>
  <c r="AL267" i="2"/>
  <c r="AM267" i="2"/>
  <c r="AL268" i="2"/>
  <c r="AM268" i="2"/>
  <c r="AL269" i="2"/>
  <c r="AM269" i="2"/>
  <c r="AL270" i="2"/>
  <c r="AM270" i="2"/>
  <c r="AL271" i="2"/>
  <c r="AM271" i="2"/>
  <c r="AL272" i="2"/>
  <c r="AM272" i="2"/>
  <c r="AL273" i="2"/>
  <c r="AM273" i="2"/>
  <c r="AL274" i="2"/>
  <c r="AM274" i="2"/>
  <c r="AL275" i="2"/>
  <c r="AM275" i="2"/>
  <c r="AL276" i="2"/>
  <c r="AM276" i="2"/>
  <c r="AL33" i="2"/>
  <c r="AM33" i="2"/>
  <c r="AL20" i="2"/>
  <c r="AM20" i="2"/>
  <c r="AL27" i="2"/>
  <c r="AM27" i="2"/>
  <c r="AL16" i="2"/>
  <c r="AM16" i="2"/>
  <c r="AL15" i="2"/>
  <c r="AM15" i="2"/>
  <c r="AL10" i="2"/>
  <c r="AM10" i="2"/>
  <c r="AL8" i="2"/>
  <c r="AM8" i="2"/>
  <c r="AL5" i="2"/>
  <c r="AM5" i="2"/>
  <c r="AL41" i="2"/>
  <c r="AM41" i="2"/>
  <c r="AL11" i="2"/>
  <c r="AM11" i="2"/>
  <c r="AL19" i="2"/>
  <c r="AM19" i="2"/>
  <c r="AL9" i="2"/>
  <c r="AM9" i="2"/>
  <c r="AL6" i="2"/>
  <c r="AM6" i="2"/>
  <c r="AL3" i="2"/>
  <c r="AM3" i="2"/>
  <c r="AL39" i="2"/>
  <c r="AM39" i="2"/>
  <c r="AL4" i="2"/>
  <c r="AM4" i="2"/>
  <c r="AL35" i="2"/>
  <c r="AM35" i="2"/>
  <c r="AL21" i="2"/>
  <c r="AM21" i="2"/>
  <c r="AL25" i="2"/>
  <c r="AM25" i="2"/>
  <c r="AL28" i="2"/>
  <c r="AM28" i="2"/>
  <c r="AL277" i="2"/>
  <c r="AM277" i="2"/>
  <c r="AL278" i="2"/>
  <c r="AM278" i="2"/>
  <c r="AL2" i="2"/>
  <c r="AM2" i="2"/>
  <c r="AO32" i="2" l="1"/>
  <c r="AO26" i="2"/>
  <c r="AO18" i="2"/>
  <c r="AO12" i="2"/>
  <c r="AO4" i="2"/>
  <c r="AO16" i="2"/>
  <c r="AO268" i="2"/>
  <c r="AO258" i="2"/>
  <c r="AO246" i="2"/>
  <c r="AO235" i="2"/>
  <c r="AO227" i="2"/>
  <c r="AO219" i="2"/>
  <c r="AO215" i="2"/>
  <c r="AO211" i="2"/>
  <c r="AO207" i="2"/>
  <c r="AO203" i="2"/>
  <c r="AO199" i="2"/>
  <c r="AO195" i="2"/>
  <c r="AO191" i="2"/>
  <c r="AO187" i="2"/>
  <c r="AO183" i="2"/>
  <c r="AO179" i="2"/>
  <c r="AO175" i="2"/>
  <c r="AO171" i="2"/>
  <c r="AO167" i="2"/>
  <c r="AO163" i="2"/>
  <c r="AO159" i="2"/>
  <c r="AO155" i="2"/>
  <c r="AO151" i="2"/>
  <c r="AO147" i="2"/>
  <c r="AO143" i="2"/>
  <c r="AO139" i="2"/>
  <c r="AO135" i="2"/>
  <c r="AO131" i="2"/>
  <c r="AO127" i="2"/>
  <c r="AO123" i="2"/>
  <c r="AO119" i="2"/>
  <c r="AO115" i="2"/>
  <c r="AO111" i="2"/>
  <c r="AO107" i="2"/>
  <c r="AO103" i="2"/>
  <c r="AO99" i="2"/>
  <c r="AO95" i="2"/>
  <c r="AO91" i="2"/>
  <c r="AO87" i="2"/>
  <c r="AO83" i="2"/>
  <c r="AO79" i="2"/>
  <c r="AO72" i="2"/>
  <c r="AO68" i="2"/>
  <c r="AO64" i="2"/>
  <c r="AO60" i="2"/>
  <c r="AO56" i="2"/>
  <c r="AO52" i="2"/>
  <c r="AO48" i="2"/>
  <c r="AO44" i="2"/>
  <c r="AO38" i="2"/>
  <c r="AO9" i="2"/>
  <c r="AO276" i="2"/>
  <c r="AO262" i="2"/>
  <c r="AO254" i="2"/>
  <c r="AO239" i="2"/>
  <c r="AO223" i="2"/>
  <c r="AO28" i="2"/>
  <c r="AO5" i="2"/>
  <c r="AO272" i="2"/>
  <c r="AO266" i="2"/>
  <c r="AO250" i="2"/>
  <c r="AO231" i="2"/>
  <c r="AO25" i="2"/>
  <c r="AO39" i="2"/>
  <c r="AO8" i="2"/>
  <c r="AO27" i="2"/>
  <c r="AO271" i="2"/>
  <c r="AO265" i="2"/>
  <c r="AO257" i="2"/>
  <c r="AO249" i="2"/>
  <c r="AO242" i="2"/>
  <c r="AO238" i="2"/>
  <c r="AO230" i="2"/>
  <c r="AO222" i="2"/>
  <c r="AO214" i="2"/>
  <c r="AO206" i="2"/>
  <c r="AO198" i="2"/>
  <c r="AO190" i="2"/>
  <c r="AO182" i="2"/>
  <c r="AO178" i="2"/>
  <c r="AO170" i="2"/>
  <c r="AO162" i="2"/>
  <c r="AO154" i="2"/>
  <c r="AO146" i="2"/>
  <c r="AO138" i="2"/>
  <c r="AO130" i="2"/>
  <c r="AO122" i="2"/>
  <c r="AO118" i="2"/>
  <c r="AO110" i="2"/>
  <c r="AO102" i="2"/>
  <c r="AO94" i="2"/>
  <c r="AO86" i="2"/>
  <c r="AO78" i="2"/>
  <c r="AO75" i="2"/>
  <c r="AO67" i="2"/>
  <c r="AO59" i="2"/>
  <c r="AO55" i="2"/>
  <c r="AO47" i="2"/>
  <c r="AO37" i="2"/>
  <c r="AO31" i="2"/>
  <c r="AO17" i="2"/>
  <c r="AO7" i="2"/>
  <c r="AO278" i="2"/>
  <c r="AO21" i="2"/>
  <c r="AO11" i="2"/>
  <c r="AO20" i="2"/>
  <c r="AO274" i="2"/>
  <c r="AO267" i="2"/>
  <c r="AO260" i="2"/>
  <c r="AO252" i="2"/>
  <c r="AO244" i="2"/>
  <c r="AO237" i="2"/>
  <c r="AO229" i="2"/>
  <c r="AO221" i="2"/>
  <c r="AO217" i="2"/>
  <c r="AO209" i="2"/>
  <c r="AO201" i="2"/>
  <c r="AO193" i="2"/>
  <c r="AO189" i="2"/>
  <c r="AO181" i="2"/>
  <c r="AO173" i="2"/>
  <c r="AO165" i="2"/>
  <c r="AO157" i="2"/>
  <c r="AO149" i="2"/>
  <c r="AO141" i="2"/>
  <c r="AO133" i="2"/>
  <c r="AO129" i="2"/>
  <c r="AO121" i="2"/>
  <c r="AO117" i="2"/>
  <c r="AO109" i="2"/>
  <c r="AO105" i="2"/>
  <c r="AO97" i="2"/>
  <c r="AO89" i="2"/>
  <c r="AO85" i="2"/>
  <c r="AO74" i="2"/>
  <c r="AO70" i="2"/>
  <c r="AO62" i="2"/>
  <c r="AO54" i="2"/>
  <c r="AO46" i="2"/>
  <c r="AO36" i="2"/>
  <c r="AO30" i="2"/>
  <c r="AO277" i="2"/>
  <c r="AO35" i="2"/>
  <c r="AO6" i="2"/>
  <c r="AO41" i="2"/>
  <c r="AO15" i="2"/>
  <c r="AO33" i="2"/>
  <c r="AO273" i="2"/>
  <c r="AO269" i="2"/>
  <c r="AO263" i="2"/>
  <c r="AO259" i="2"/>
  <c r="AO255" i="2"/>
  <c r="AO251" i="2"/>
  <c r="AO247" i="2"/>
  <c r="AO243" i="2"/>
  <c r="AO240" i="2"/>
  <c r="AO236" i="2"/>
  <c r="AO232" i="2"/>
  <c r="AO228" i="2"/>
  <c r="AO224" i="2"/>
  <c r="AO220" i="2"/>
  <c r="AO216" i="2"/>
  <c r="AO212" i="2"/>
  <c r="AO208" i="2"/>
  <c r="AO204" i="2"/>
  <c r="AO200" i="2"/>
  <c r="AO196" i="2"/>
  <c r="AO192" i="2"/>
  <c r="AO188" i="2"/>
  <c r="AO184" i="2"/>
  <c r="AO180" i="2"/>
  <c r="AO176" i="2"/>
  <c r="AO172" i="2"/>
  <c r="AO168" i="2"/>
  <c r="AO164" i="2"/>
  <c r="AO160" i="2"/>
  <c r="AO156" i="2"/>
  <c r="AO152" i="2"/>
  <c r="AO148" i="2"/>
  <c r="AO144" i="2"/>
  <c r="AO140" i="2"/>
  <c r="AO136" i="2"/>
  <c r="AO132" i="2"/>
  <c r="AO128" i="2"/>
  <c r="AO124" i="2"/>
  <c r="AO120" i="2"/>
  <c r="AO116" i="2"/>
  <c r="AO112" i="2"/>
  <c r="AO108" i="2"/>
  <c r="AO104" i="2"/>
  <c r="AO100" i="2"/>
  <c r="AO96" i="2"/>
  <c r="AO92" i="2"/>
  <c r="AO88" i="2"/>
  <c r="AO84" i="2"/>
  <c r="AO80" i="2"/>
  <c r="AO73" i="2"/>
  <c r="AO69" i="2"/>
  <c r="AO65" i="2"/>
  <c r="AO61" i="2"/>
  <c r="AO57" i="2"/>
  <c r="AO53" i="2"/>
  <c r="AO49" i="2"/>
  <c r="AO45" i="2"/>
  <c r="AO40" i="2"/>
  <c r="AO34" i="2"/>
  <c r="AO29" i="2"/>
  <c r="AO22" i="2"/>
  <c r="AO13" i="2"/>
  <c r="AO2" i="2"/>
  <c r="AO19" i="2"/>
  <c r="AO275" i="2"/>
  <c r="AO261" i="2"/>
  <c r="AO253" i="2"/>
  <c r="AO245" i="2"/>
  <c r="AO234" i="2"/>
  <c r="AO226" i="2"/>
  <c r="AO218" i="2"/>
  <c r="AO210" i="2"/>
  <c r="AO202" i="2"/>
  <c r="AO194" i="2"/>
  <c r="AO186" i="2"/>
  <c r="AO174" i="2"/>
  <c r="AO166" i="2"/>
  <c r="AO158" i="2"/>
  <c r="AO150" i="2"/>
  <c r="AO142" i="2"/>
  <c r="AO134" i="2"/>
  <c r="AO126" i="2"/>
  <c r="AO114" i="2"/>
  <c r="AO106" i="2"/>
  <c r="AO98" i="2"/>
  <c r="AO90" i="2"/>
  <c r="AO82" i="2"/>
  <c r="AO71" i="2"/>
  <c r="AO63" i="2"/>
  <c r="AO51" i="2"/>
  <c r="AO43" i="2"/>
  <c r="AO24" i="2"/>
  <c r="AO3" i="2"/>
  <c r="AO10" i="2"/>
  <c r="AO270" i="2"/>
  <c r="AO264" i="2"/>
  <c r="AO256" i="2"/>
  <c r="AO248" i="2"/>
  <c r="AO241" i="2"/>
  <c r="AO233" i="2"/>
  <c r="AO225" i="2"/>
  <c r="AO213" i="2"/>
  <c r="AO205" i="2"/>
  <c r="AO197" i="2"/>
  <c r="AO185" i="2"/>
  <c r="AO177" i="2"/>
  <c r="AO169" i="2"/>
  <c r="AO161" i="2"/>
  <c r="AO153" i="2"/>
  <c r="AO145" i="2"/>
  <c r="AO137" i="2"/>
  <c r="AO125" i="2"/>
  <c r="AO113" i="2"/>
  <c r="AO101" i="2"/>
  <c r="AO93" i="2"/>
  <c r="AO81" i="2"/>
  <c r="AO77" i="2"/>
  <c r="AO66" i="2"/>
  <c r="AO58" i="2"/>
  <c r="AO50" i="2"/>
  <c r="AO42" i="2"/>
  <c r="AO23" i="2"/>
  <c r="AO14" i="2"/>
  <c r="J4" i="3" l="1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3" i="3"/>
  <c r="J2" i="3"/>
  <c r="AC51" i="1"/>
  <c r="AB51" i="1"/>
</calcChain>
</file>

<file path=xl/sharedStrings.xml><?xml version="1.0" encoding="utf-8"?>
<sst xmlns="http://schemas.openxmlformats.org/spreadsheetml/2006/main" count="15274" uniqueCount="429">
  <si>
    <t>S. No.</t>
  </si>
  <si>
    <t>Emp Id</t>
  </si>
  <si>
    <t>Name</t>
  </si>
  <si>
    <t>DEPARTMENT</t>
  </si>
  <si>
    <t>Reporting Person</t>
  </si>
  <si>
    <t>Designation</t>
  </si>
  <si>
    <t>DOJ</t>
  </si>
  <si>
    <t>Arti</t>
  </si>
  <si>
    <t>Education</t>
  </si>
  <si>
    <t>Nitin Saxena</t>
  </si>
  <si>
    <t>Freelancer</t>
  </si>
  <si>
    <t>22-05-2023</t>
  </si>
  <si>
    <t xml:space="preserve"> OFF</t>
  </si>
  <si>
    <t>W/O</t>
  </si>
  <si>
    <t>A</t>
  </si>
  <si>
    <t>Abhinav Arya</t>
  </si>
  <si>
    <t>Tagging</t>
  </si>
  <si>
    <t>Trainee</t>
  </si>
  <si>
    <t>Darpan sharma</t>
  </si>
  <si>
    <t>Employment</t>
  </si>
  <si>
    <t>Sanyam Agarwal</t>
  </si>
  <si>
    <t>21/04/2025</t>
  </si>
  <si>
    <t>Akriti mahajan</t>
  </si>
  <si>
    <t>Quality</t>
  </si>
  <si>
    <t>Amit Tevatia</t>
  </si>
  <si>
    <t>28-04-2025</t>
  </si>
  <si>
    <t>Vanshika Aggarwal</t>
  </si>
  <si>
    <t>Musharraf Hussain</t>
  </si>
  <si>
    <t>Kuvar Vibhor Singh</t>
  </si>
  <si>
    <t>28-05-25</t>
  </si>
  <si>
    <t>Anurag Gupta</t>
  </si>
  <si>
    <t>Insuff</t>
  </si>
  <si>
    <t>Anubhav Mishra</t>
  </si>
  <si>
    <t>Aryan tripathi</t>
  </si>
  <si>
    <t>Data Analyst</t>
  </si>
  <si>
    <t>Gaurav Kumar</t>
  </si>
  <si>
    <t>23-06-25</t>
  </si>
  <si>
    <t>Sonali Singh</t>
  </si>
  <si>
    <t>QC</t>
  </si>
  <si>
    <t>Mukta Srivastava</t>
  </si>
  <si>
    <t>Sachin Kumar</t>
  </si>
  <si>
    <t>Verification</t>
  </si>
  <si>
    <t>Gaurav srivastava</t>
  </si>
  <si>
    <t>Saksham Maurya</t>
  </si>
  <si>
    <t>Allocation</t>
  </si>
  <si>
    <t>Shivam Sharma</t>
  </si>
  <si>
    <t>Verification - Education</t>
  </si>
  <si>
    <t>14/07/2025</t>
  </si>
  <si>
    <t>Anant Katiyar</t>
  </si>
  <si>
    <t>Verification - Employment</t>
  </si>
  <si>
    <t>22/07/2025</t>
  </si>
  <si>
    <t>Aryan Jain</t>
  </si>
  <si>
    <t>Mohd Danish malik</t>
  </si>
  <si>
    <t>Swati Verma</t>
  </si>
  <si>
    <t>Subhamita Rout</t>
  </si>
  <si>
    <t>Verification- Address</t>
  </si>
  <si>
    <t>Yash Srivastava</t>
  </si>
  <si>
    <t>22/08/2025</t>
  </si>
  <si>
    <t>Arpit Dwivedi</t>
  </si>
  <si>
    <t>Umang Tyagi</t>
  </si>
  <si>
    <t>VANTAKU CHANDRA KRISHNA SEKHAR</t>
  </si>
  <si>
    <t>insuff</t>
  </si>
  <si>
    <t>cooman poll</t>
  </si>
  <si>
    <t>16-09-2025</t>
  </si>
  <si>
    <t>ADITYA JAISWAL</t>
  </si>
  <si>
    <t>Ayush Raj</t>
  </si>
  <si>
    <t>Kaifi Khan</t>
  </si>
  <si>
    <t>Manish Mahaur</t>
  </si>
  <si>
    <t>Aditya Ojha</t>
  </si>
  <si>
    <t>RW</t>
  </si>
  <si>
    <t>Harpreet Kaur</t>
  </si>
  <si>
    <t>Anant Mittal</t>
  </si>
  <si>
    <t>Mohit Kumar Sharma</t>
  </si>
  <si>
    <t>Satyajeet Pandey</t>
  </si>
  <si>
    <t>Management</t>
  </si>
  <si>
    <t>CMD</t>
  </si>
  <si>
    <t>Vinod Kumar</t>
  </si>
  <si>
    <t>IT</t>
  </si>
  <si>
    <t>System Administrator</t>
  </si>
  <si>
    <t>Rahul Rastogi</t>
  </si>
  <si>
    <t>PoC</t>
  </si>
  <si>
    <t>Team Leader</t>
  </si>
  <si>
    <t>Sunil Kumar Dubey</t>
  </si>
  <si>
    <t>AV/CV</t>
  </si>
  <si>
    <t>Rakesh Kumar</t>
  </si>
  <si>
    <t>Aditya Girdhar</t>
  </si>
  <si>
    <t>Assistant Manager</t>
  </si>
  <si>
    <t>Vinay Rai</t>
  </si>
  <si>
    <t>Support &amp; Tagging</t>
  </si>
  <si>
    <t>Sr. Executive</t>
  </si>
  <si>
    <t>Pramod kumar</t>
  </si>
  <si>
    <t>Rishab Ojha</t>
  </si>
  <si>
    <t>Report Writing</t>
  </si>
  <si>
    <t>Assistant Team Leader</t>
  </si>
  <si>
    <t>Amit Singh Tevatia</t>
  </si>
  <si>
    <t>Deputy Manager</t>
  </si>
  <si>
    <t>Prem Singh</t>
  </si>
  <si>
    <t>Narender Singh Bisht</t>
  </si>
  <si>
    <t>Nitin Rai</t>
  </si>
  <si>
    <t>Mr. Satyajeet Pandey</t>
  </si>
  <si>
    <t>Vice President</t>
  </si>
  <si>
    <t>Ramashanker Singh</t>
  </si>
  <si>
    <t>Desktop Support Executive</t>
  </si>
  <si>
    <t>Manoj Kumar Paswan</t>
  </si>
  <si>
    <t>Anis</t>
  </si>
  <si>
    <t>Durga Kumar</t>
  </si>
  <si>
    <t>Deepak Kumar</t>
  </si>
  <si>
    <t>Executive</t>
  </si>
  <si>
    <t>Ravi Sharma</t>
  </si>
  <si>
    <t>Naved Sarosh</t>
  </si>
  <si>
    <t>Aditya Maurya</t>
  </si>
  <si>
    <t>Vikas Gautam</t>
  </si>
  <si>
    <t>Sandeep</t>
  </si>
  <si>
    <t>Ritesh Kumar Srivastava</t>
  </si>
  <si>
    <t>Accounts</t>
  </si>
  <si>
    <t>Sachin Dubey</t>
  </si>
  <si>
    <t>Neha</t>
  </si>
  <si>
    <t>Anubhav Bhatt</t>
  </si>
  <si>
    <t>Sr Team Leader</t>
  </si>
  <si>
    <t>Anamika Kumari</t>
  </si>
  <si>
    <t>Sudipta Jana</t>
  </si>
  <si>
    <t>Anjali Rai</t>
  </si>
  <si>
    <t>Jayantika Chandak</t>
  </si>
  <si>
    <t>Hussain Ahmed</t>
  </si>
  <si>
    <t>Anuvrat Pandey</t>
  </si>
  <si>
    <t>Manager</t>
  </si>
  <si>
    <t>Akash</t>
  </si>
  <si>
    <t>Jitendra Singh</t>
  </si>
  <si>
    <t>Ravi Kumar</t>
  </si>
  <si>
    <t>Abhishek kamti</t>
  </si>
  <si>
    <t>Dharam Raj Bhati</t>
  </si>
  <si>
    <t>Software Developer</t>
  </si>
  <si>
    <t>Lokesh</t>
  </si>
  <si>
    <t>Dharam Raj Singh</t>
  </si>
  <si>
    <t>Mahendra Singh</t>
  </si>
  <si>
    <t>Yuvan Singh</t>
  </si>
  <si>
    <t>Insurance</t>
  </si>
  <si>
    <t>Vimal Bhardwaj</t>
  </si>
  <si>
    <t>Deepak Rawat</t>
  </si>
  <si>
    <t>1st Dec, 2021</t>
  </si>
  <si>
    <t>Sahil Jain</t>
  </si>
  <si>
    <t>General Manager</t>
  </si>
  <si>
    <t>Sandeep Sharma</t>
  </si>
  <si>
    <t>Akshay</t>
  </si>
  <si>
    <t>Abhishek Kumar</t>
  </si>
  <si>
    <t>Pramod Tiwari</t>
  </si>
  <si>
    <t>Shiv Kumar</t>
  </si>
  <si>
    <t>Ashish Mishra</t>
  </si>
  <si>
    <t>Jitendra Kumar Pal</t>
  </si>
  <si>
    <t>Harshita Tiwari</t>
  </si>
  <si>
    <t>Prahlad Singh</t>
  </si>
  <si>
    <t>Pawan Kumar</t>
  </si>
  <si>
    <t>Ajaz Ahmad</t>
  </si>
  <si>
    <t>Omnath Jha</t>
  </si>
  <si>
    <t>Fouziya</t>
  </si>
  <si>
    <t>Aditya Anand</t>
  </si>
  <si>
    <t>Jagrit Vashista</t>
  </si>
  <si>
    <t>Aditya kumar Jha</t>
  </si>
  <si>
    <t>Shreya Raghuvanshi</t>
  </si>
  <si>
    <t>Rahul Acharya</t>
  </si>
  <si>
    <t>Shivam Mishra</t>
  </si>
  <si>
    <t>Sakshi Choudhary</t>
  </si>
  <si>
    <t>Jayant Diwakar</t>
  </si>
  <si>
    <t>Akash Kumar</t>
  </si>
  <si>
    <t>Sahiba Parveen</t>
  </si>
  <si>
    <t>Hina Naj</t>
  </si>
  <si>
    <t>Shivam Gupta</t>
  </si>
  <si>
    <t>Vishwas Sahu</t>
  </si>
  <si>
    <t>Tanu Shree</t>
  </si>
  <si>
    <t>Jyoti Maurya</t>
  </si>
  <si>
    <t>Gaurav Vishwakarma</t>
  </si>
  <si>
    <t>Liopi</t>
  </si>
  <si>
    <t>Priyanka Sengar</t>
  </si>
  <si>
    <t>Neeraj Pargai</t>
  </si>
  <si>
    <t>Ajay Pratap Singh</t>
  </si>
  <si>
    <t>Mohit Kumar</t>
  </si>
  <si>
    <t>Sales</t>
  </si>
  <si>
    <t>Sr. Manager</t>
  </si>
  <si>
    <t>Ankit Negi</t>
  </si>
  <si>
    <t>21-06-2023</t>
  </si>
  <si>
    <t>Gayatri</t>
  </si>
  <si>
    <t>Vishal Tiwari</t>
  </si>
  <si>
    <t>Ashvani Maurya</t>
  </si>
  <si>
    <t>Gautam Kashyap</t>
  </si>
  <si>
    <t>Bhawana</t>
  </si>
  <si>
    <t>Sudhanshu Kumar</t>
  </si>
  <si>
    <t>Deepak Kumar Mahato</t>
  </si>
  <si>
    <t>Shivam Yadav</t>
  </si>
  <si>
    <t>Atish Subhash Chalke</t>
  </si>
  <si>
    <t>Ashish Gupta</t>
  </si>
  <si>
    <t>Ashutosh</t>
  </si>
  <si>
    <t>Himanashu</t>
  </si>
  <si>
    <t>Akash Mishra</t>
  </si>
  <si>
    <t>Vipin Kumar</t>
  </si>
  <si>
    <t>Avinash Maurya</t>
  </si>
  <si>
    <t>Brijesh Kumar Yadav</t>
  </si>
  <si>
    <t>Junior Developer</t>
  </si>
  <si>
    <t>23-10-2023</t>
  </si>
  <si>
    <t>Jitendra</t>
  </si>
  <si>
    <t>Sandeep Kumar</t>
  </si>
  <si>
    <t>Paras Dhariyal</t>
  </si>
  <si>
    <t>Abhishek Dhyani</t>
  </si>
  <si>
    <t>Priya Pokhariya</t>
  </si>
  <si>
    <t>Deepanshu</t>
  </si>
  <si>
    <t>Naveen Sharma</t>
  </si>
  <si>
    <t>Archit Sharma</t>
  </si>
  <si>
    <t>Chirag Verma</t>
  </si>
  <si>
    <t>Arunima Singh</t>
  </si>
  <si>
    <t>Devendra Kumar</t>
  </si>
  <si>
    <t>Kavitha Koti</t>
  </si>
  <si>
    <t>Kashyab Pran Batchya</t>
  </si>
  <si>
    <t>Abhishek Shrivastava</t>
  </si>
  <si>
    <t>Saket Jain</t>
  </si>
  <si>
    <t>Amit Verma</t>
  </si>
  <si>
    <t>Ankit Kumar Singh</t>
  </si>
  <si>
    <t>Siddhartha Sharma</t>
  </si>
  <si>
    <t>Mohit Shishodia</t>
  </si>
  <si>
    <t>Ankush Kumar</t>
  </si>
  <si>
    <t>Atul Kumar</t>
  </si>
  <si>
    <t>Manjeet Singh</t>
  </si>
  <si>
    <t>Farzan Haider</t>
  </si>
  <si>
    <t>Jr. Software Developer (11/28/2022)</t>
  </si>
  <si>
    <t>Alok Singh</t>
  </si>
  <si>
    <t>Abhijeet Das</t>
  </si>
  <si>
    <t>Vivek Kumar</t>
  </si>
  <si>
    <t>Dabbiru Sowmithra</t>
  </si>
  <si>
    <t>Muskan Soni</t>
  </si>
  <si>
    <t>Ashwani Malik</t>
  </si>
  <si>
    <t>Roshni Singh</t>
  </si>
  <si>
    <t>Ankit Yadav</t>
  </si>
  <si>
    <t>Aarav Raj</t>
  </si>
  <si>
    <t>15-05-2024</t>
  </si>
  <si>
    <t>Heena Sharma</t>
  </si>
  <si>
    <t>Ankit Bhoj</t>
  </si>
  <si>
    <t>Shankar Sharma</t>
  </si>
  <si>
    <t>Sonal Dubey</t>
  </si>
  <si>
    <t>Nandita Soni</t>
  </si>
  <si>
    <t>Sunita Pradhan</t>
  </si>
  <si>
    <t>Mayuri Verma</t>
  </si>
  <si>
    <t>Gagan Tomar</t>
  </si>
  <si>
    <t>Saurav Kumar</t>
  </si>
  <si>
    <t>Prabhat Yadav</t>
  </si>
  <si>
    <t>Vishwas</t>
  </si>
  <si>
    <t>Director</t>
  </si>
  <si>
    <t>Farheen Bano</t>
  </si>
  <si>
    <t>S. Adithy</t>
  </si>
  <si>
    <t>Ayush Yadav</t>
  </si>
  <si>
    <t>Kajal Sahu</t>
  </si>
  <si>
    <t>Kanchan Kumari</t>
  </si>
  <si>
    <t>Amit Rajput</t>
  </si>
  <si>
    <t>Jyoti Soni</t>
  </si>
  <si>
    <t>Khushboo Tiwari</t>
  </si>
  <si>
    <t>Khushboo</t>
  </si>
  <si>
    <t>Anjali</t>
  </si>
  <si>
    <t>Ajit Kumar</t>
  </si>
  <si>
    <t>Sunil Chauhan</t>
  </si>
  <si>
    <t>Akash Kumar Maurya</t>
  </si>
  <si>
    <t>Jigyasa Pathak</t>
  </si>
  <si>
    <t>Operations</t>
  </si>
  <si>
    <t>AVP</t>
  </si>
  <si>
    <t>Kishan Behera</t>
  </si>
  <si>
    <t>Deepak Tiwari</t>
  </si>
  <si>
    <t>Vishal Kumar</t>
  </si>
  <si>
    <t>Chetan Sharma</t>
  </si>
  <si>
    <t>Rohit kumar</t>
  </si>
  <si>
    <t>Muskan Gupta</t>
  </si>
  <si>
    <t>Vivek Verma</t>
  </si>
  <si>
    <t>Junior Software Developer</t>
  </si>
  <si>
    <t>Ankit Pateria</t>
  </si>
  <si>
    <t>Atish Kumar</t>
  </si>
  <si>
    <t>Abhishek</t>
  </si>
  <si>
    <t>Himanshu Bhatt</t>
  </si>
  <si>
    <t>MIS</t>
  </si>
  <si>
    <t>Mahima Kumari</t>
  </si>
  <si>
    <t>Arnav Saxena</t>
  </si>
  <si>
    <t>Santosh Prasad</t>
  </si>
  <si>
    <t>Sani kumar</t>
  </si>
  <si>
    <t>Prakhar Sharma</t>
  </si>
  <si>
    <t>Udayraj Sati</t>
  </si>
  <si>
    <t>Ruchi Tyagi</t>
  </si>
  <si>
    <t>Vishnu</t>
  </si>
  <si>
    <t>Saad Ishrat Husain</t>
  </si>
  <si>
    <t>28-04-25</t>
  </si>
  <si>
    <t>Pramod Kumar</t>
  </si>
  <si>
    <t>Raja Singh</t>
  </si>
  <si>
    <t>Aman kumar</t>
  </si>
  <si>
    <t>Vipin Paswan</t>
  </si>
  <si>
    <t>Anand Pandey</t>
  </si>
  <si>
    <t>Divya Singh</t>
  </si>
  <si>
    <t>14-05-25</t>
  </si>
  <si>
    <t>Dronveer</t>
  </si>
  <si>
    <t>27-05-25</t>
  </si>
  <si>
    <t>Amrita Singh</t>
  </si>
  <si>
    <t>Manoj Kumar Singh</t>
  </si>
  <si>
    <t>Ekta pandey</t>
  </si>
  <si>
    <t>Amrita Vishwakarma</t>
  </si>
  <si>
    <t>16-06-25</t>
  </si>
  <si>
    <t>Shivaprasad L</t>
  </si>
  <si>
    <t>Nitish Pradhan</t>
  </si>
  <si>
    <t>25-06-25</t>
  </si>
  <si>
    <t>Monika Verma</t>
  </si>
  <si>
    <t>Asst. Team leader</t>
  </si>
  <si>
    <t>Nandni Sharma</t>
  </si>
  <si>
    <t>HR</t>
  </si>
  <si>
    <t>Manisha Bhutani</t>
  </si>
  <si>
    <t>Gagan Sharma</t>
  </si>
  <si>
    <t>Nikita Sanatan</t>
  </si>
  <si>
    <t>21/07/2025</t>
  </si>
  <si>
    <t>Varsha Kesharwani</t>
  </si>
  <si>
    <t>Ahmad faraz</t>
  </si>
  <si>
    <t>Pragati Srivastava</t>
  </si>
  <si>
    <t>Operations-QC</t>
  </si>
  <si>
    <t>Senior Executive</t>
  </si>
  <si>
    <t>Sachin Singh Baghel</t>
  </si>
  <si>
    <t>Founder's Office</t>
  </si>
  <si>
    <t>Asst. Manager</t>
  </si>
  <si>
    <t>18/08/2025</t>
  </si>
  <si>
    <t>Sandhya</t>
  </si>
  <si>
    <t>13/08/25</t>
  </si>
  <si>
    <t>Mohd. Izaz</t>
  </si>
  <si>
    <t>Verification-education</t>
  </si>
  <si>
    <t>26/08/25</t>
  </si>
  <si>
    <t>Aditya motla</t>
  </si>
  <si>
    <t>Hrithik Singh</t>
  </si>
  <si>
    <t>Ashish Patel</t>
  </si>
  <si>
    <t>Sunita Haldar</t>
  </si>
  <si>
    <t>Amisha Kumari</t>
  </si>
  <si>
    <t>15-09-2025</t>
  </si>
  <si>
    <t>Shivank Malik</t>
  </si>
  <si>
    <t>Saksham Chaudhary</t>
  </si>
  <si>
    <t>Poc/QC</t>
  </si>
  <si>
    <t>19-09-2025</t>
  </si>
  <si>
    <t>Tushar Bishnoi</t>
  </si>
  <si>
    <t>Akash singh</t>
  </si>
  <si>
    <t>Edu-Verification</t>
  </si>
  <si>
    <t>Saqib Arsalan</t>
  </si>
  <si>
    <t>employment</t>
  </si>
  <si>
    <t>Brajesh kumar gupta</t>
  </si>
  <si>
    <t>Khushi Kumari</t>
  </si>
  <si>
    <t>Shubham Sharma</t>
  </si>
  <si>
    <t>Koshindra</t>
  </si>
  <si>
    <t>Amanjeet</t>
  </si>
  <si>
    <t>Dhreendra kumar</t>
  </si>
  <si>
    <t>Pankaj singh Sisodiya</t>
  </si>
  <si>
    <t>Divyansh Sriyastava</t>
  </si>
  <si>
    <t>Pankaj</t>
  </si>
  <si>
    <t>AC/VC</t>
  </si>
  <si>
    <t>15/07/25</t>
  </si>
  <si>
    <t>Vishesh Baranwal</t>
  </si>
  <si>
    <t>Prithvi Singh</t>
  </si>
  <si>
    <t>Samarth Tiwari</t>
  </si>
  <si>
    <t>19-05-25</t>
  </si>
  <si>
    <t>Jigar Pratap singh</t>
  </si>
  <si>
    <t>Komal Roy</t>
  </si>
  <si>
    <t>Shivani Bhati</t>
  </si>
  <si>
    <t>Monika</t>
  </si>
  <si>
    <t>Manish shakya</t>
  </si>
  <si>
    <t>Operations-Insurance</t>
  </si>
  <si>
    <t>13/08/2025</t>
  </si>
  <si>
    <t>Rishabh Dubey</t>
  </si>
  <si>
    <t>16/04/2025</t>
  </si>
  <si>
    <t>Nikita Kumari</t>
  </si>
  <si>
    <t>Yashsvi Singh</t>
  </si>
  <si>
    <t>Stuti Bhadauria</t>
  </si>
  <si>
    <t>UAN Verification- Capgemini</t>
  </si>
  <si>
    <t>Priyanshu ojha</t>
  </si>
  <si>
    <t>Yashendra Dubey</t>
  </si>
  <si>
    <t>25/07/2025</t>
  </si>
  <si>
    <t>Seema rai</t>
  </si>
  <si>
    <t>Harshit Katiyar</t>
  </si>
  <si>
    <t>Shwet Dubey</t>
  </si>
  <si>
    <t>Sumit Tiwari</t>
  </si>
  <si>
    <t>Divyanshu Meet</t>
  </si>
  <si>
    <t>Sanjeev Kumar</t>
  </si>
  <si>
    <t>Praveen Mahore</t>
  </si>
  <si>
    <t>RW/QC</t>
  </si>
  <si>
    <t>Fozeb Ansari</t>
  </si>
  <si>
    <t>WFO</t>
  </si>
  <si>
    <t>WFH</t>
  </si>
  <si>
    <t>H/D</t>
  </si>
  <si>
    <t>Total Working Days</t>
  </si>
  <si>
    <t>Total Absent</t>
  </si>
  <si>
    <t>Target</t>
  </si>
  <si>
    <t>Total Target</t>
  </si>
  <si>
    <t>Achieved Target</t>
  </si>
  <si>
    <t>Productivivty</t>
  </si>
  <si>
    <t>Salary Release/Hold</t>
  </si>
  <si>
    <t>Remarks</t>
  </si>
  <si>
    <t>Deductions</t>
  </si>
  <si>
    <t>OFF</t>
  </si>
  <si>
    <t>P</t>
  </si>
  <si>
    <t>RO</t>
  </si>
  <si>
    <t>HD</t>
  </si>
  <si>
    <t>Onhold</t>
  </si>
  <si>
    <t>Absconded</t>
  </si>
  <si>
    <t>R/O</t>
  </si>
  <si>
    <t>Attendance not confirmed by manager</t>
  </si>
  <si>
    <t>Remaining Salary process with FNF</t>
  </si>
  <si>
    <t>Absent Full Month</t>
  </si>
  <si>
    <t>Medical Issue (On Sabatical)</t>
  </si>
  <si>
    <t>Jr. Software Developer</t>
  </si>
  <si>
    <t>Full Month on leave</t>
  </si>
  <si>
    <t>Brother Death  - 3 BR Leave</t>
  </si>
  <si>
    <t>Full Month Absent</t>
  </si>
  <si>
    <t>Total</t>
  </si>
  <si>
    <t>S.No.</t>
  </si>
  <si>
    <t>EMP ID</t>
  </si>
  <si>
    <t>EMP NAME</t>
  </si>
  <si>
    <t>Amount</t>
  </si>
  <si>
    <t>Rishabh dubey</t>
  </si>
  <si>
    <t>Vanshika Aggrawal</t>
  </si>
  <si>
    <t>Jigar pratap singh</t>
  </si>
  <si>
    <t>Vishesh baranwal</t>
  </si>
  <si>
    <t>Anubhav</t>
  </si>
  <si>
    <t>Subhasmita Rout</t>
  </si>
  <si>
    <t>Yash Shrivastava</t>
  </si>
  <si>
    <t>Shreya raghuvanshi</t>
  </si>
  <si>
    <t>Rohit Kumar</t>
  </si>
  <si>
    <t>Amisha</t>
  </si>
  <si>
    <t>Remark</t>
  </si>
  <si>
    <t>Refund of Rs. 1000 (Cab deduction on Oct 2025)</t>
  </si>
  <si>
    <t>From 10th to till 14th (Marriage Leave) &amp; Refund Rs. 1000 for cab deduction for oct 2025</t>
  </si>
  <si>
    <t>Refund of Rs. 1000 for cab deduction in the month of oct 2025. (WFH User)</t>
  </si>
  <si>
    <t>Refund of Rs. 1000 (Deduction on Oct 2025 - WFH User)</t>
  </si>
  <si>
    <t>Do not deduct this month (WFH user)</t>
  </si>
  <si>
    <t>No deduction (For this month) - WFH</t>
  </si>
  <si>
    <t>Devendra</t>
  </si>
  <si>
    <t>Release</t>
  </si>
  <si>
    <t>Release Rs. 1056 for 33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</si>
</sst>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d\-mmm\-yyyy"/>
    <numFmt numFmtId="165" formatCode="d\-mmm\-yy"/>
    <numFmt numFmtId="166" formatCode="mm\-dd\-yyyy"/>
    <numFmt numFmtId="167" formatCode="dd\-mmm\-yy"/>
    <numFmt numFmtId="168" formatCode="dd\-mmmm\-yy"/>
    <numFmt numFmtId="169" formatCode="d\-mmmm\-yy"/>
    <numFmt numFmtId="170" formatCode="0.0"/>
  </numFmts>
  <fonts count="1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A6A6A6"/>
        <bgColor rgb="FFA6A6A6"/>
      </patternFill>
    </fill>
    <fill>
      <patternFill patternType="solid">
        <fgColor rgb="FF00B0F0"/>
        <bgColor rgb="FF00B0F0"/>
      </patternFill>
    </fill>
    <fill>
      <patternFill patternType="solid">
        <fgColor rgb="FF548235"/>
        <bgColor rgb="FF548235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left" vertical="center"/>
    </xf>
    <xf numFmtId="20" fontId="3" fillId="0" borderId="1" xfId="0" applyNumberFormat="1" applyFont="1" applyBorder="1" applyAlignment="1">
      <alignment horizontal="center"/>
    </xf>
    <xf numFmtId="20" fontId="3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67" fontId="5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167" fontId="4" fillId="0" borderId="1" xfId="0" applyNumberFormat="1" applyFont="1" applyBorder="1" applyAlignment="1">
      <alignment horizontal="left"/>
    </xf>
    <xf numFmtId="165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left" vertical="center"/>
    </xf>
    <xf numFmtId="168" fontId="4" fillId="3" borderId="1" xfId="0" applyNumberFormat="1" applyFont="1" applyFill="1" applyBorder="1" applyAlignment="1">
      <alignment horizontal="left" vertical="center"/>
    </xf>
    <xf numFmtId="167" fontId="4" fillId="3" borderId="1" xfId="0" applyNumberFormat="1" applyFont="1" applyFill="1" applyBorder="1" applyAlignment="1">
      <alignment horizontal="left" vertical="center"/>
    </xf>
    <xf numFmtId="169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165" fontId="5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3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0" xfId="0" applyFont="1"/>
    <xf numFmtId="0" fontId="7" fillId="4" borderId="4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3" fillId="0" borderId="0" xfId="0" applyFont="1"/>
    <xf numFmtId="0" fontId="8" fillId="7" borderId="1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165" fontId="4" fillId="3" borderId="7" xfId="0" applyNumberFormat="1" applyFont="1" applyFill="1" applyBorder="1" applyAlignment="1">
      <alignment horizontal="left"/>
    </xf>
    <xf numFmtId="166" fontId="4" fillId="3" borderId="7" xfId="0" applyNumberFormat="1" applyFont="1" applyFill="1" applyBorder="1" applyAlignment="1">
      <alignment horizontal="left"/>
    </xf>
    <xf numFmtId="166" fontId="5" fillId="3" borderId="7" xfId="0" applyNumberFormat="1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167" fontId="4" fillId="0" borderId="7" xfId="0" applyNumberFormat="1" applyFont="1" applyBorder="1" applyAlignment="1">
      <alignment horizontal="left"/>
    </xf>
    <xf numFmtId="165" fontId="4" fillId="0" borderId="7" xfId="0" applyNumberFormat="1" applyFont="1" applyBorder="1" applyAlignment="1">
      <alignment horizontal="left"/>
    </xf>
    <xf numFmtId="164" fontId="4" fillId="0" borderId="7" xfId="0" applyNumberFormat="1" applyFont="1" applyBorder="1" applyAlignment="1">
      <alignment horizontal="left" vertical="center"/>
    </xf>
    <xf numFmtId="167" fontId="4" fillId="3" borderId="7" xfId="0" applyNumberFormat="1" applyFont="1" applyFill="1" applyBorder="1" applyAlignment="1">
      <alignment horizontal="left"/>
    </xf>
    <xf numFmtId="168" fontId="4" fillId="3" borderId="7" xfId="0" applyNumberFormat="1" applyFont="1" applyFill="1" applyBorder="1" applyAlignment="1">
      <alignment horizontal="left"/>
    </xf>
    <xf numFmtId="169" fontId="4" fillId="3" borderId="7" xfId="0" applyNumberFormat="1" applyFont="1" applyFill="1" applyBorder="1" applyAlignment="1">
      <alignment horizontal="left"/>
    </xf>
    <xf numFmtId="165" fontId="4" fillId="5" borderId="7" xfId="0" applyNumberFormat="1" applyFont="1" applyFill="1" applyBorder="1" applyAlignment="1">
      <alignment horizontal="left"/>
    </xf>
    <xf numFmtId="167" fontId="4" fillId="5" borderId="7" xfId="0" applyNumberFormat="1" applyFont="1" applyFill="1" applyBorder="1" applyAlignment="1">
      <alignment horizontal="left"/>
    </xf>
    <xf numFmtId="164" fontId="4" fillId="3" borderId="7" xfId="0" applyNumberFormat="1" applyFont="1" applyFill="1" applyBorder="1" applyAlignment="1">
      <alignment horizontal="left"/>
    </xf>
    <xf numFmtId="165" fontId="4" fillId="0" borderId="7" xfId="0" applyNumberFormat="1" applyFont="1" applyBorder="1" applyAlignment="1">
      <alignment horizontal="left" vertical="center"/>
    </xf>
    <xf numFmtId="164" fontId="2" fillId="2" borderId="8" xfId="0" applyNumberFormat="1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8" fillId="0" borderId="8" xfId="0" applyFont="1" applyBorder="1" applyAlignment="1">
      <alignment horizontal="center" vertical="top"/>
    </xf>
    <xf numFmtId="0" fontId="7" fillId="8" borderId="8" xfId="0" applyFont="1" applyFill="1" applyBorder="1" applyAlignment="1">
      <alignment horizontal="center" vertical="top"/>
    </xf>
    <xf numFmtId="0" fontId="7" fillId="4" borderId="8" xfId="0" applyFont="1" applyFill="1" applyBorder="1" applyAlignment="1">
      <alignment horizontal="center" vertical="top"/>
    </xf>
    <xf numFmtId="0" fontId="8" fillId="7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10" borderId="1" xfId="0" applyFont="1" applyFill="1" applyBorder="1" applyAlignment="1">
      <alignment horizontal="left"/>
    </xf>
    <xf numFmtId="0" fontId="8" fillId="8" borderId="0" xfId="0" applyFont="1" applyFill="1" applyAlignment="1">
      <alignment horizontal="center"/>
    </xf>
    <xf numFmtId="0" fontId="0" fillId="0" borderId="8" xfId="0" applyBorder="1"/>
    <xf numFmtId="0" fontId="8" fillId="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0" fillId="14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vertical="center"/>
    </xf>
    <xf numFmtId="0" fontId="3" fillId="0" borderId="8" xfId="0" applyFont="1" applyBorder="1"/>
    <xf numFmtId="0" fontId="3" fillId="0" borderId="8" xfId="0" applyFont="1" applyBorder="1" applyAlignment="1">
      <alignment vertical="center"/>
    </xf>
    <xf numFmtId="0" fontId="11" fillId="0" borderId="8" xfId="0" applyFont="1" applyBorder="1"/>
    <xf numFmtId="0" fontId="3" fillId="0" borderId="8" xfId="0" applyFont="1" applyBorder="1" applyAlignment="1">
      <alignment horizontal="center"/>
    </xf>
    <xf numFmtId="0" fontId="1" fillId="6" borderId="5" xfId="0" applyFont="1" applyFill="1" applyBorder="1" applyAlignment="1">
      <alignment vertical="center"/>
    </xf>
    <xf numFmtId="0" fontId="13" fillId="15" borderId="8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4" fillId="15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166" fontId="5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3" fillId="15" borderId="8" xfId="0" applyFont="1" applyFill="1" applyBorder="1" applyAlignment="1">
      <alignment horizontal="center" vertical="center" wrapText="1"/>
    </xf>
    <xf numFmtId="0" fontId="10" fillId="14" borderId="8" xfId="0" applyFont="1" applyFill="1" applyBorder="1" applyAlignment="1">
      <alignment horizontal="center" vertical="center" wrapText="1"/>
    </xf>
    <xf numFmtId="15" fontId="10" fillId="14" borderId="8" xfId="0" applyNumberFormat="1" applyFont="1" applyFill="1" applyBorder="1" applyAlignment="1">
      <alignment horizontal="center" vertical="center" wrapText="1"/>
    </xf>
    <xf numFmtId="14" fontId="10" fillId="14" borderId="8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5" fontId="10" fillId="0" borderId="8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</xf>
    <xf numFmtId="170" fontId="0" fillId="0" borderId="8" xfId="0" applyNumberForma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8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top"/>
    </xf>
    <xf numFmtId="0" fontId="8" fillId="9" borderId="0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top"/>
    </xf>
    <xf numFmtId="0" fontId="7" fillId="4" borderId="3" xfId="0" applyFont="1" applyFill="1" applyBorder="1" applyAlignment="1">
      <alignment horizontal="center" vertical="top"/>
    </xf>
    <xf numFmtId="0" fontId="8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5" fontId="10" fillId="0" borderId="2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8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95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6" sqref="D6"/>
    </sheetView>
  </sheetViews>
  <sheetFormatPr defaultColWidth="12.7109375" defaultRowHeight="15.75" customHeight="1" x14ac:dyDescent="0.2"/>
  <cols>
    <col min="1" max="1" width="6" customWidth="1"/>
    <col min="2" max="2" width="9.42578125" customWidth="1"/>
    <col min="3" max="3" width="20" customWidth="1"/>
    <col min="4" max="4" width="17.28515625" customWidth="1"/>
    <col min="5" max="5" width="19" customWidth="1"/>
    <col min="6" max="6" width="18.28515625" customWidth="1"/>
    <col min="7" max="7" width="14.7109375" customWidth="1"/>
    <col min="8" max="16" width="10.7109375" bestFit="1" customWidth="1"/>
    <col min="17" max="37" width="11.7109375" bestFit="1" customWidth="1"/>
  </cols>
  <sheetData>
    <row r="1" spans="1:4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45962</v>
      </c>
      <c r="I1" s="2">
        <v>45963</v>
      </c>
      <c r="J1" s="2">
        <v>45964</v>
      </c>
      <c r="K1" s="2">
        <v>45965</v>
      </c>
      <c r="L1" s="2">
        <v>45966</v>
      </c>
      <c r="M1" s="2">
        <v>45967</v>
      </c>
      <c r="N1" s="2">
        <v>45968</v>
      </c>
      <c r="O1" s="2">
        <v>45969</v>
      </c>
      <c r="P1" s="2">
        <v>45970</v>
      </c>
      <c r="Q1" s="2">
        <v>45971</v>
      </c>
      <c r="R1" s="2">
        <v>45972</v>
      </c>
      <c r="S1" s="2">
        <v>45973</v>
      </c>
      <c r="T1" s="2">
        <v>45974</v>
      </c>
      <c r="U1" s="2">
        <v>45975</v>
      </c>
      <c r="V1" s="2">
        <v>45976</v>
      </c>
      <c r="W1" s="2">
        <v>45977</v>
      </c>
      <c r="X1" s="2">
        <v>45978</v>
      </c>
      <c r="Y1" s="2">
        <v>45979</v>
      </c>
      <c r="Z1" s="2">
        <v>45980</v>
      </c>
      <c r="AA1" s="2">
        <v>45981</v>
      </c>
      <c r="AB1" s="2">
        <v>45982</v>
      </c>
      <c r="AC1" s="2">
        <v>45983</v>
      </c>
      <c r="AD1" s="2">
        <v>45984</v>
      </c>
      <c r="AE1" s="2">
        <v>45985</v>
      </c>
      <c r="AF1" s="2">
        <v>45986</v>
      </c>
      <c r="AG1" s="2">
        <v>45987</v>
      </c>
      <c r="AH1" s="2">
        <v>45988</v>
      </c>
      <c r="AI1" s="2">
        <v>45989</v>
      </c>
      <c r="AJ1" s="2">
        <v>45990</v>
      </c>
      <c r="AK1" s="2">
        <v>45991</v>
      </c>
      <c r="AL1" s="3"/>
      <c r="AM1" s="3"/>
      <c r="AN1" s="3"/>
      <c r="AO1" s="3"/>
      <c r="AP1" s="3"/>
    </row>
    <row r="2" spans="1:42" ht="15" x14ac:dyDescent="0.2">
      <c r="A2" s="4">
        <v>1</v>
      </c>
      <c r="B2" s="5">
        <v>171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6" t="s">
        <v>12</v>
      </c>
      <c r="I2" s="6" t="s">
        <v>13</v>
      </c>
      <c r="J2" s="7" t="s">
        <v>14</v>
      </c>
      <c r="K2" s="7" t="s">
        <v>14</v>
      </c>
      <c r="L2" s="7" t="s">
        <v>14</v>
      </c>
      <c r="M2" s="7" t="s">
        <v>14</v>
      </c>
      <c r="N2" s="7" t="s">
        <v>14</v>
      </c>
      <c r="O2" s="7" t="s">
        <v>14</v>
      </c>
      <c r="P2" s="6" t="s">
        <v>13</v>
      </c>
      <c r="Q2" s="7" t="s">
        <v>14</v>
      </c>
      <c r="R2" s="7" t="s">
        <v>14</v>
      </c>
      <c r="S2" s="7" t="s">
        <v>14</v>
      </c>
      <c r="T2" s="7" t="s">
        <v>14</v>
      </c>
      <c r="U2" s="7" t="s">
        <v>14</v>
      </c>
      <c r="V2" s="7" t="s">
        <v>14</v>
      </c>
      <c r="W2" s="6" t="s">
        <v>13</v>
      </c>
      <c r="X2" s="7" t="s">
        <v>14</v>
      </c>
      <c r="Y2" s="7" t="s">
        <v>14</v>
      </c>
      <c r="Z2" s="7" t="s">
        <v>14</v>
      </c>
      <c r="AA2" s="7" t="s">
        <v>14</v>
      </c>
      <c r="AB2" s="7" t="s">
        <v>14</v>
      </c>
      <c r="AC2" s="7" t="s">
        <v>14</v>
      </c>
      <c r="AD2" s="6" t="s">
        <v>13</v>
      </c>
      <c r="AE2" s="7" t="s">
        <v>14</v>
      </c>
      <c r="AF2" s="7" t="s">
        <v>14</v>
      </c>
      <c r="AG2" s="7" t="s">
        <v>14</v>
      </c>
      <c r="AH2" s="7" t="s">
        <v>14</v>
      </c>
      <c r="AI2" s="7" t="s">
        <v>14</v>
      </c>
      <c r="AJ2" s="7" t="s">
        <v>14</v>
      </c>
      <c r="AK2" s="6" t="s">
        <v>13</v>
      </c>
      <c r="AL2" s="3"/>
      <c r="AM2" s="3"/>
      <c r="AN2" s="3"/>
      <c r="AO2" s="3"/>
      <c r="AP2" s="3"/>
    </row>
    <row r="3" spans="1:42" ht="15" x14ac:dyDescent="0.2">
      <c r="A3" s="4">
        <v>2</v>
      </c>
      <c r="B3" s="5">
        <v>261</v>
      </c>
      <c r="C3" s="5" t="s">
        <v>365</v>
      </c>
      <c r="D3" s="5" t="s">
        <v>44</v>
      </c>
      <c r="E3" s="5" t="s">
        <v>24</v>
      </c>
      <c r="F3" s="5" t="s">
        <v>17</v>
      </c>
      <c r="G3" s="8">
        <v>45714</v>
      </c>
      <c r="H3" s="6" t="s">
        <v>12</v>
      </c>
      <c r="I3" s="6" t="s">
        <v>13</v>
      </c>
      <c r="J3" s="9">
        <v>0.36666666666666664</v>
      </c>
      <c r="K3" s="10">
        <v>0.36249999999999999</v>
      </c>
      <c r="L3" s="10">
        <v>0.37569444444444444</v>
      </c>
      <c r="M3" s="10">
        <v>0.375</v>
      </c>
      <c r="N3" s="10">
        <v>0.36388888888888887</v>
      </c>
      <c r="O3" s="10">
        <v>0.35555555555555557</v>
      </c>
      <c r="P3" s="6" t="s">
        <v>13</v>
      </c>
      <c r="Q3" s="10">
        <v>0.37708333333333333</v>
      </c>
      <c r="R3" s="10">
        <v>0.18194444444444444</v>
      </c>
      <c r="S3" s="10">
        <v>0.37638888888888888</v>
      </c>
      <c r="T3" s="10">
        <v>0.37708333333333333</v>
      </c>
      <c r="U3" s="10">
        <v>0.37847222222222221</v>
      </c>
      <c r="V3" s="7" t="s">
        <v>14</v>
      </c>
      <c r="W3" s="6" t="s">
        <v>13</v>
      </c>
      <c r="X3" s="10">
        <v>0.37569444444444444</v>
      </c>
      <c r="Y3" s="10">
        <v>0.37083333333333335</v>
      </c>
      <c r="Z3" s="10">
        <v>0.36527777777777776</v>
      </c>
      <c r="AA3" s="10">
        <v>0.37847222222222221</v>
      </c>
      <c r="AB3" s="10">
        <v>0.3659722222222222</v>
      </c>
      <c r="AC3" s="10">
        <v>0.20277777777777778</v>
      </c>
      <c r="AD3" s="6" t="s">
        <v>13</v>
      </c>
      <c r="AE3" s="10">
        <v>0.3888888888888889</v>
      </c>
      <c r="AF3" s="10">
        <v>0.38680555555555557</v>
      </c>
      <c r="AG3" s="10">
        <v>0.375</v>
      </c>
      <c r="AH3" s="10">
        <v>0.37986111111111109</v>
      </c>
      <c r="AI3" s="10">
        <v>0.37847222222222221</v>
      </c>
      <c r="AJ3" s="10">
        <v>0.37361111111111112</v>
      </c>
      <c r="AK3" s="6" t="s">
        <v>13</v>
      </c>
      <c r="AL3" s="3"/>
      <c r="AM3" s="3"/>
      <c r="AN3" s="3"/>
      <c r="AO3" s="3"/>
      <c r="AP3" s="3"/>
    </row>
    <row r="4" spans="1:42" ht="15" x14ac:dyDescent="0.2">
      <c r="A4" s="4">
        <v>3</v>
      </c>
      <c r="B4" s="5">
        <v>263</v>
      </c>
      <c r="C4" s="5" t="s">
        <v>368</v>
      </c>
      <c r="D4" s="5" t="s">
        <v>44</v>
      </c>
      <c r="E4" s="5" t="s">
        <v>45</v>
      </c>
      <c r="F4" s="5" t="s">
        <v>17</v>
      </c>
      <c r="G4" s="8">
        <v>45714</v>
      </c>
      <c r="H4" s="6" t="s">
        <v>12</v>
      </c>
      <c r="I4" s="6" t="s">
        <v>13</v>
      </c>
      <c r="J4" s="9">
        <v>0.39374999999999999</v>
      </c>
      <c r="K4" s="10">
        <v>0.38958333333333334</v>
      </c>
      <c r="L4" s="10">
        <v>0.37222222222222223</v>
      </c>
      <c r="M4" s="10">
        <v>0.38194444444444442</v>
      </c>
      <c r="N4" s="10">
        <v>0.37222222222222223</v>
      </c>
      <c r="O4" s="10">
        <v>0.37222222222222223</v>
      </c>
      <c r="P4" s="6" t="s">
        <v>13</v>
      </c>
      <c r="Q4" s="10">
        <v>0.36736111111111114</v>
      </c>
      <c r="R4" s="10">
        <v>0.37569444444444444</v>
      </c>
      <c r="S4" s="10">
        <v>0.36527777777777776</v>
      </c>
      <c r="T4" s="10">
        <v>0.36527777777777776</v>
      </c>
      <c r="U4" s="10">
        <v>0.38263888888888886</v>
      </c>
      <c r="V4" s="10">
        <v>0.36875000000000002</v>
      </c>
      <c r="W4" s="6" t="s">
        <v>13</v>
      </c>
      <c r="X4" s="10">
        <v>0.37361111111111112</v>
      </c>
      <c r="Y4" s="10">
        <v>0.37777777777777777</v>
      </c>
      <c r="Z4" s="10">
        <v>0.39166666666666666</v>
      </c>
      <c r="AA4" s="10">
        <v>0.37569444444444444</v>
      </c>
      <c r="AB4" s="10">
        <v>0.3840277777777778</v>
      </c>
      <c r="AC4" s="7" t="s">
        <v>14</v>
      </c>
      <c r="AD4" s="6" t="s">
        <v>13</v>
      </c>
      <c r="AE4" s="10">
        <v>0.38472222222222224</v>
      </c>
      <c r="AF4" s="10">
        <v>0.3840277777777778</v>
      </c>
      <c r="AG4" s="10">
        <v>0.39305555555555555</v>
      </c>
      <c r="AH4" s="10">
        <v>0.37916666666666665</v>
      </c>
      <c r="AI4" s="10">
        <v>0.38333333333333336</v>
      </c>
      <c r="AJ4" s="10">
        <v>0.37916666666666665</v>
      </c>
      <c r="AK4" s="6" t="s">
        <v>13</v>
      </c>
      <c r="AL4" s="3"/>
      <c r="AM4" s="3"/>
      <c r="AN4" s="3"/>
      <c r="AO4" s="3"/>
      <c r="AP4" s="3"/>
    </row>
    <row r="5" spans="1:42" ht="15" x14ac:dyDescent="0.2">
      <c r="A5" s="4">
        <v>4</v>
      </c>
      <c r="B5" s="5">
        <v>266</v>
      </c>
      <c r="C5" s="5" t="s">
        <v>355</v>
      </c>
      <c r="D5" s="5" t="s">
        <v>19</v>
      </c>
      <c r="E5" s="5" t="s">
        <v>39</v>
      </c>
      <c r="F5" s="5" t="s">
        <v>17</v>
      </c>
      <c r="G5" s="8">
        <v>45733</v>
      </c>
      <c r="H5" s="6" t="s">
        <v>12</v>
      </c>
      <c r="I5" s="6" t="s">
        <v>13</v>
      </c>
      <c r="J5" s="9">
        <v>0.37152777777777779</v>
      </c>
      <c r="K5" s="10">
        <v>0.38055555555555554</v>
      </c>
      <c r="L5" s="10">
        <v>0.375</v>
      </c>
      <c r="M5" s="10">
        <v>0.38194444444444442</v>
      </c>
      <c r="N5" s="10">
        <v>0.3527777777777778</v>
      </c>
      <c r="O5" s="7" t="s">
        <v>14</v>
      </c>
      <c r="P5" s="6" t="s">
        <v>13</v>
      </c>
      <c r="Q5" s="7" t="s">
        <v>14</v>
      </c>
      <c r="R5" s="7" t="s">
        <v>14</v>
      </c>
      <c r="S5" s="7" t="s">
        <v>14</v>
      </c>
      <c r="T5" s="7" t="s">
        <v>14</v>
      </c>
      <c r="U5" s="7" t="s">
        <v>14</v>
      </c>
      <c r="V5" s="7" t="s">
        <v>14</v>
      </c>
      <c r="W5" s="6" t="s">
        <v>13</v>
      </c>
      <c r="X5" s="7" t="s">
        <v>14</v>
      </c>
      <c r="Y5" s="7" t="s">
        <v>14</v>
      </c>
      <c r="Z5" s="7" t="s">
        <v>14</v>
      </c>
      <c r="AA5" s="7" t="s">
        <v>14</v>
      </c>
      <c r="AB5" s="7" t="s">
        <v>14</v>
      </c>
      <c r="AC5" s="7" t="s">
        <v>14</v>
      </c>
      <c r="AD5" s="6" t="s">
        <v>13</v>
      </c>
      <c r="AE5" s="7" t="s">
        <v>14</v>
      </c>
      <c r="AF5" s="7" t="s">
        <v>14</v>
      </c>
      <c r="AG5" s="7" t="s">
        <v>14</v>
      </c>
      <c r="AH5" s="7" t="s">
        <v>14</v>
      </c>
      <c r="AI5" s="7" t="s">
        <v>14</v>
      </c>
      <c r="AJ5" s="7" t="s">
        <v>14</v>
      </c>
      <c r="AK5" s="6" t="s">
        <v>13</v>
      </c>
      <c r="AL5" s="3"/>
      <c r="AM5" s="3"/>
      <c r="AN5" s="3"/>
      <c r="AO5" s="3"/>
      <c r="AP5" s="3"/>
    </row>
    <row r="6" spans="1:42" ht="15" x14ac:dyDescent="0.2">
      <c r="A6" s="4">
        <v>5</v>
      </c>
      <c r="B6" s="5">
        <v>267</v>
      </c>
      <c r="C6" s="5" t="s">
        <v>363</v>
      </c>
      <c r="D6" s="5" t="s">
        <v>364</v>
      </c>
      <c r="E6" s="5" t="s">
        <v>45</v>
      </c>
      <c r="F6" s="5" t="s">
        <v>17</v>
      </c>
      <c r="G6" s="8">
        <v>45733</v>
      </c>
      <c r="H6" s="6" t="s">
        <v>12</v>
      </c>
      <c r="I6" s="6" t="s">
        <v>13</v>
      </c>
      <c r="J6" s="7" t="s">
        <v>14</v>
      </c>
      <c r="K6" s="7" t="s">
        <v>14</v>
      </c>
      <c r="L6" s="7" t="s">
        <v>14</v>
      </c>
      <c r="M6" s="7" t="s">
        <v>14</v>
      </c>
      <c r="N6" s="7" t="s">
        <v>14</v>
      </c>
      <c r="O6" s="7" t="s">
        <v>14</v>
      </c>
      <c r="P6" s="6" t="s">
        <v>13</v>
      </c>
      <c r="Q6" s="7" t="s">
        <v>14</v>
      </c>
      <c r="R6" s="7" t="s">
        <v>14</v>
      </c>
      <c r="S6" s="7" t="s">
        <v>14</v>
      </c>
      <c r="T6" s="7" t="s">
        <v>14</v>
      </c>
      <c r="U6" s="7" t="s">
        <v>14</v>
      </c>
      <c r="V6" s="7" t="s">
        <v>14</v>
      </c>
      <c r="W6" s="6" t="s">
        <v>13</v>
      </c>
      <c r="X6" s="7" t="s">
        <v>14</v>
      </c>
      <c r="Y6" s="7" t="s">
        <v>14</v>
      </c>
      <c r="Z6" s="7" t="s">
        <v>14</v>
      </c>
      <c r="AA6" s="7" t="s">
        <v>14</v>
      </c>
      <c r="AB6" s="7" t="s">
        <v>14</v>
      </c>
      <c r="AC6" s="7" t="s">
        <v>14</v>
      </c>
      <c r="AD6" s="6" t="s">
        <v>13</v>
      </c>
      <c r="AE6" s="7" t="s">
        <v>14</v>
      </c>
      <c r="AF6" s="7" t="s">
        <v>14</v>
      </c>
      <c r="AG6" s="7" t="s">
        <v>14</v>
      </c>
      <c r="AH6" s="7" t="s">
        <v>14</v>
      </c>
      <c r="AI6" s="7" t="s">
        <v>14</v>
      </c>
      <c r="AJ6" s="7" t="s">
        <v>14</v>
      </c>
      <c r="AK6" s="6" t="s">
        <v>13</v>
      </c>
      <c r="AL6" s="3"/>
      <c r="AM6" s="3"/>
      <c r="AN6" s="3"/>
      <c r="AO6" s="3"/>
      <c r="AP6" s="3"/>
    </row>
    <row r="7" spans="1:42" ht="15" x14ac:dyDescent="0.2">
      <c r="A7" s="4">
        <v>6</v>
      </c>
      <c r="B7" s="5">
        <v>268</v>
      </c>
      <c r="C7" s="5" t="s">
        <v>15</v>
      </c>
      <c r="D7" s="5" t="s">
        <v>16</v>
      </c>
      <c r="E7" s="5" t="s">
        <v>9</v>
      </c>
      <c r="F7" s="5" t="s">
        <v>17</v>
      </c>
      <c r="G7" s="8">
        <v>45733</v>
      </c>
      <c r="H7" s="6" t="s">
        <v>12</v>
      </c>
      <c r="I7" s="6" t="s">
        <v>13</v>
      </c>
      <c r="J7" s="9">
        <v>0.37638888888888888</v>
      </c>
      <c r="K7" s="10">
        <v>0.36249999999999999</v>
      </c>
      <c r="L7" s="10">
        <v>0.37569444444444444</v>
      </c>
      <c r="M7" s="10">
        <v>0.35625000000000001</v>
      </c>
      <c r="N7" s="10">
        <v>0.3888888888888889</v>
      </c>
      <c r="O7" s="7" t="s">
        <v>14</v>
      </c>
      <c r="P7" s="6" t="s">
        <v>13</v>
      </c>
      <c r="Q7" s="7" t="s">
        <v>14</v>
      </c>
      <c r="R7" s="10">
        <v>0.35069444444444442</v>
      </c>
      <c r="S7" s="10">
        <v>0.34375</v>
      </c>
      <c r="T7" s="10">
        <v>5.2777777777777778E-2</v>
      </c>
      <c r="U7" s="10">
        <v>0.37569444444444444</v>
      </c>
      <c r="V7" s="10">
        <v>0.30625000000000002</v>
      </c>
      <c r="W7" s="6" t="s">
        <v>13</v>
      </c>
      <c r="X7" s="10">
        <v>0.24722222222222223</v>
      </c>
      <c r="Y7" s="10">
        <v>0.33611111111111114</v>
      </c>
      <c r="Z7" s="10">
        <v>0.38194444444444442</v>
      </c>
      <c r="AA7" s="10">
        <v>0.33888888888888891</v>
      </c>
      <c r="AB7" s="10">
        <v>0.36666666666666664</v>
      </c>
      <c r="AC7" s="10">
        <v>0.20624999999999999</v>
      </c>
      <c r="AD7" s="6" t="s">
        <v>13</v>
      </c>
      <c r="AE7" s="10">
        <v>0.30972222222222223</v>
      </c>
      <c r="AF7" s="7" t="s">
        <v>14</v>
      </c>
      <c r="AG7" s="10">
        <v>0.35694444444444445</v>
      </c>
      <c r="AH7" s="10">
        <v>0.37291666666666667</v>
      </c>
      <c r="AI7" s="10">
        <v>0.3576388888888889</v>
      </c>
      <c r="AJ7" s="10">
        <v>0.33750000000000002</v>
      </c>
      <c r="AK7" s="6" t="s">
        <v>13</v>
      </c>
      <c r="AL7" s="3"/>
      <c r="AM7" s="3"/>
      <c r="AN7" s="3"/>
      <c r="AO7" s="3"/>
      <c r="AP7" s="3"/>
    </row>
    <row r="8" spans="1:42" ht="15" x14ac:dyDescent="0.2">
      <c r="A8" s="4">
        <v>7</v>
      </c>
      <c r="B8" s="5">
        <v>272</v>
      </c>
      <c r="C8" s="5" t="s">
        <v>354</v>
      </c>
      <c r="D8" s="5" t="s">
        <v>19</v>
      </c>
      <c r="E8" s="5" t="s">
        <v>28</v>
      </c>
      <c r="F8" s="5" t="s">
        <v>17</v>
      </c>
      <c r="G8" s="8">
        <v>45741</v>
      </c>
      <c r="H8" s="6" t="s">
        <v>12</v>
      </c>
      <c r="I8" s="6" t="s">
        <v>13</v>
      </c>
      <c r="J8" s="9">
        <v>0.36319444444444443</v>
      </c>
      <c r="K8" s="10">
        <v>0.37013888888888891</v>
      </c>
      <c r="L8" s="10">
        <v>0.3659722222222222</v>
      </c>
      <c r="M8" s="10">
        <v>0.37430555555555556</v>
      </c>
      <c r="N8" s="10">
        <v>0.18472222222222223</v>
      </c>
      <c r="O8" s="7" t="s">
        <v>14</v>
      </c>
      <c r="P8" s="6" t="s">
        <v>13</v>
      </c>
      <c r="Q8" s="7" t="s">
        <v>14</v>
      </c>
      <c r="R8" s="7" t="s">
        <v>14</v>
      </c>
      <c r="S8" s="7" t="s">
        <v>14</v>
      </c>
      <c r="T8" s="7" t="s">
        <v>14</v>
      </c>
      <c r="U8" s="7" t="s">
        <v>14</v>
      </c>
      <c r="V8" s="7" t="s">
        <v>14</v>
      </c>
      <c r="W8" s="6" t="s">
        <v>13</v>
      </c>
      <c r="X8" s="7" t="s">
        <v>14</v>
      </c>
      <c r="Y8" s="7" t="s">
        <v>14</v>
      </c>
      <c r="Z8" s="7" t="s">
        <v>14</v>
      </c>
      <c r="AA8" s="7" t="s">
        <v>14</v>
      </c>
      <c r="AB8" s="7" t="s">
        <v>14</v>
      </c>
      <c r="AC8" s="7" t="s">
        <v>14</v>
      </c>
      <c r="AD8" s="6" t="s">
        <v>13</v>
      </c>
      <c r="AE8" s="10">
        <v>0.37430555555555556</v>
      </c>
      <c r="AF8" s="10">
        <v>0.36527777777777776</v>
      </c>
      <c r="AG8" s="7" t="s">
        <v>14</v>
      </c>
      <c r="AH8" s="7" t="s">
        <v>14</v>
      </c>
      <c r="AI8" s="10">
        <v>0.36249999999999999</v>
      </c>
      <c r="AJ8" s="10">
        <v>0.37083333333333335</v>
      </c>
      <c r="AK8" s="6" t="s">
        <v>13</v>
      </c>
      <c r="AL8" s="3"/>
      <c r="AM8" s="3"/>
      <c r="AN8" s="3"/>
      <c r="AO8" s="3"/>
      <c r="AP8" s="3"/>
    </row>
    <row r="9" spans="1:42" ht="15" x14ac:dyDescent="0.2">
      <c r="A9" s="4">
        <v>8</v>
      </c>
      <c r="B9" s="5">
        <v>274</v>
      </c>
      <c r="C9" s="5" t="s">
        <v>362</v>
      </c>
      <c r="D9" s="5" t="s">
        <v>83</v>
      </c>
      <c r="E9" s="5" t="s">
        <v>20</v>
      </c>
      <c r="F9" s="5" t="s">
        <v>17</v>
      </c>
      <c r="G9" s="25">
        <v>45748</v>
      </c>
      <c r="H9" s="6" t="s">
        <v>12</v>
      </c>
      <c r="I9" s="6" t="s">
        <v>13</v>
      </c>
      <c r="J9" s="9">
        <v>0.37291666666666667</v>
      </c>
      <c r="K9" s="10">
        <v>0.37430555555555556</v>
      </c>
      <c r="L9" s="10">
        <v>0.37847222222222221</v>
      </c>
      <c r="M9" s="10">
        <v>0</v>
      </c>
      <c r="N9" s="10">
        <v>0.38750000000000001</v>
      </c>
      <c r="O9" s="10">
        <v>0.38611111111111113</v>
      </c>
      <c r="P9" s="6" t="s">
        <v>13</v>
      </c>
      <c r="Q9" s="10">
        <v>0</v>
      </c>
      <c r="R9" s="10">
        <v>0.37152777777777779</v>
      </c>
      <c r="S9" s="10">
        <v>0.37847222222222221</v>
      </c>
      <c r="T9" s="10">
        <v>0.37708333333333333</v>
      </c>
      <c r="U9" s="10">
        <v>0.3840277777777778</v>
      </c>
      <c r="V9" s="10">
        <v>0.37986111111111109</v>
      </c>
      <c r="W9" s="6" t="s">
        <v>13</v>
      </c>
      <c r="X9" s="10">
        <v>0.38124999999999998</v>
      </c>
      <c r="Y9" s="10">
        <v>0.37638888888888888</v>
      </c>
      <c r="Z9" s="10">
        <v>0.38055555555555554</v>
      </c>
      <c r="AA9" s="10">
        <v>0.37916666666666665</v>
      </c>
      <c r="AB9" s="10">
        <v>0.38680555555555557</v>
      </c>
      <c r="AC9" s="7" t="s">
        <v>14</v>
      </c>
      <c r="AD9" s="6" t="s">
        <v>13</v>
      </c>
      <c r="AE9" s="10">
        <v>0.3840277777777778</v>
      </c>
      <c r="AF9" s="10">
        <v>0.37847222222222221</v>
      </c>
      <c r="AG9" s="10">
        <v>0.37291666666666667</v>
      </c>
      <c r="AH9" s="10">
        <v>0.3923611111111111</v>
      </c>
      <c r="AI9" s="10">
        <v>0.37083333333333335</v>
      </c>
      <c r="AJ9" s="10">
        <v>0.37430555555555556</v>
      </c>
      <c r="AK9" s="6" t="s">
        <v>13</v>
      </c>
      <c r="AL9" s="3"/>
      <c r="AM9" s="3"/>
      <c r="AN9" s="3"/>
      <c r="AO9" s="3"/>
      <c r="AP9" s="3"/>
    </row>
    <row r="10" spans="1:42" ht="15" x14ac:dyDescent="0.2">
      <c r="A10" s="4">
        <v>9</v>
      </c>
      <c r="B10" s="5">
        <v>277</v>
      </c>
      <c r="C10" s="5" t="s">
        <v>353</v>
      </c>
      <c r="D10" s="5" t="s">
        <v>44</v>
      </c>
      <c r="E10" s="5" t="s">
        <v>28</v>
      </c>
      <c r="F10" s="5" t="s">
        <v>17</v>
      </c>
      <c r="G10" s="25">
        <v>45750</v>
      </c>
      <c r="H10" s="6" t="s">
        <v>12</v>
      </c>
      <c r="I10" s="6" t="s">
        <v>13</v>
      </c>
      <c r="J10" s="9">
        <v>0.39930555555555558</v>
      </c>
      <c r="K10" s="10">
        <v>0</v>
      </c>
      <c r="L10" s="10">
        <v>0.35416666666666669</v>
      </c>
      <c r="M10" s="10">
        <v>0.38750000000000001</v>
      </c>
      <c r="N10" s="10">
        <v>0.34583333333333333</v>
      </c>
      <c r="O10" s="10">
        <v>0.31388888888888888</v>
      </c>
      <c r="P10" s="6" t="s">
        <v>13</v>
      </c>
      <c r="Q10" s="10">
        <v>0.38472222222222224</v>
      </c>
      <c r="R10" s="10">
        <v>0.36944444444444446</v>
      </c>
      <c r="S10" s="10">
        <v>0.37986111111111109</v>
      </c>
      <c r="T10" s="10">
        <v>0.38611111111111113</v>
      </c>
      <c r="U10" s="10">
        <v>0.38611111111111113</v>
      </c>
      <c r="V10" s="7" t="s">
        <v>14</v>
      </c>
      <c r="W10" s="6" t="s">
        <v>13</v>
      </c>
      <c r="X10" s="7" t="s">
        <v>14</v>
      </c>
      <c r="Y10" s="10">
        <v>0.38819444444444445</v>
      </c>
      <c r="Z10" s="10">
        <v>0.3611111111111111</v>
      </c>
      <c r="AA10" s="10">
        <v>0.32708333333333334</v>
      </c>
      <c r="AB10" s="7" t="s">
        <v>14</v>
      </c>
      <c r="AC10" s="7" t="s">
        <v>14</v>
      </c>
      <c r="AD10" s="6" t="s">
        <v>13</v>
      </c>
      <c r="AE10" s="10">
        <v>0.38541666666666669</v>
      </c>
      <c r="AF10" s="10">
        <v>0.37152777777777779</v>
      </c>
      <c r="AG10" s="10">
        <v>0.35</v>
      </c>
      <c r="AH10" s="10">
        <v>0.375</v>
      </c>
      <c r="AI10" s="10">
        <v>0.3659722222222222</v>
      </c>
      <c r="AJ10" s="10">
        <v>0.37083333333333335</v>
      </c>
      <c r="AK10" s="6" t="s">
        <v>13</v>
      </c>
      <c r="AL10" s="3"/>
      <c r="AM10" s="3"/>
      <c r="AN10" s="3"/>
      <c r="AO10" s="3"/>
      <c r="AP10" s="3"/>
    </row>
    <row r="11" spans="1:42" ht="15" x14ac:dyDescent="0.2">
      <c r="A11" s="4">
        <v>10</v>
      </c>
      <c r="B11" s="5">
        <v>290</v>
      </c>
      <c r="C11" s="5" t="s">
        <v>359</v>
      </c>
      <c r="D11" s="5" t="s">
        <v>16</v>
      </c>
      <c r="E11" s="5" t="s">
        <v>39</v>
      </c>
      <c r="F11" s="5" t="s">
        <v>17</v>
      </c>
      <c r="G11" s="5" t="s">
        <v>360</v>
      </c>
      <c r="H11" s="6" t="s">
        <v>12</v>
      </c>
      <c r="I11" s="6" t="s">
        <v>13</v>
      </c>
      <c r="J11" s="9">
        <v>0.30486111111111114</v>
      </c>
      <c r="K11" s="10">
        <v>0.34166666666666667</v>
      </c>
      <c r="L11" s="7" t="s">
        <v>14</v>
      </c>
      <c r="M11" s="10">
        <v>0.37569444444444444</v>
      </c>
      <c r="N11" s="10">
        <v>0.37708333333333333</v>
      </c>
      <c r="O11" s="10">
        <v>0.42708333333333331</v>
      </c>
      <c r="P11" s="6" t="s">
        <v>13</v>
      </c>
      <c r="Q11" s="10">
        <v>0.37777777777777777</v>
      </c>
      <c r="R11" s="10">
        <v>0.37569444444444444</v>
      </c>
      <c r="S11" s="10">
        <v>0.38611111111111113</v>
      </c>
      <c r="T11" s="10">
        <v>0.36805555555555558</v>
      </c>
      <c r="U11" s="10">
        <v>0.54583333333333328</v>
      </c>
      <c r="V11" s="10">
        <v>0.37986111111111109</v>
      </c>
      <c r="W11" s="6" t="s">
        <v>13</v>
      </c>
      <c r="X11" s="10">
        <v>0.375</v>
      </c>
      <c r="Y11" s="10">
        <v>0.48541666666666666</v>
      </c>
      <c r="Z11" s="10">
        <v>0.37916666666666665</v>
      </c>
      <c r="AA11" s="10">
        <v>0.37708333333333333</v>
      </c>
      <c r="AB11" s="7" t="s">
        <v>14</v>
      </c>
      <c r="AC11" s="7" t="s">
        <v>14</v>
      </c>
      <c r="AD11" s="6" t="s">
        <v>13</v>
      </c>
      <c r="AE11" s="10">
        <v>0.37708333333333333</v>
      </c>
      <c r="AF11" s="10">
        <v>0.35694444444444445</v>
      </c>
      <c r="AG11" s="10">
        <v>0.35555555555555557</v>
      </c>
      <c r="AH11" s="10">
        <v>0.37430555555555556</v>
      </c>
      <c r="AI11" s="10">
        <v>0.37638888888888888</v>
      </c>
      <c r="AJ11" s="7" t="s">
        <v>14</v>
      </c>
      <c r="AK11" s="6" t="s">
        <v>13</v>
      </c>
      <c r="AL11" s="3"/>
      <c r="AM11" s="3"/>
      <c r="AN11" s="3"/>
      <c r="AO11" s="3"/>
      <c r="AP11" s="3"/>
    </row>
    <row r="12" spans="1:42" ht="15" x14ac:dyDescent="0.2">
      <c r="A12" s="4">
        <v>11</v>
      </c>
      <c r="B12" s="5">
        <v>291</v>
      </c>
      <c r="C12" s="5" t="s">
        <v>18</v>
      </c>
      <c r="D12" s="5" t="s">
        <v>19</v>
      </c>
      <c r="E12" s="5" t="s">
        <v>20</v>
      </c>
      <c r="F12" s="5" t="s">
        <v>17</v>
      </c>
      <c r="G12" s="5" t="s">
        <v>21</v>
      </c>
      <c r="H12" s="6" t="s">
        <v>12</v>
      </c>
      <c r="I12" s="6" t="s">
        <v>13</v>
      </c>
      <c r="J12" s="9">
        <v>0.37847222222222221</v>
      </c>
      <c r="K12" s="10">
        <v>0.37291666666666667</v>
      </c>
      <c r="L12" s="10">
        <v>0.37847222222222221</v>
      </c>
      <c r="M12" s="10">
        <v>0.37569444444444444</v>
      </c>
      <c r="N12" s="10">
        <v>0.37569444444444444</v>
      </c>
      <c r="O12" s="10">
        <v>0.34444444444444444</v>
      </c>
      <c r="P12" s="6" t="s">
        <v>13</v>
      </c>
      <c r="Q12" s="10">
        <v>0.36458333333333331</v>
      </c>
      <c r="R12" s="10">
        <v>0.36666666666666664</v>
      </c>
      <c r="S12" s="10">
        <v>0.37569444444444444</v>
      </c>
      <c r="T12" s="10">
        <v>0.37013888888888891</v>
      </c>
      <c r="U12" s="10">
        <v>0.37569444444444444</v>
      </c>
      <c r="V12" s="10">
        <v>0.33611111111111114</v>
      </c>
      <c r="W12" s="6" t="s">
        <v>13</v>
      </c>
      <c r="X12" s="10">
        <v>0.37222222222222223</v>
      </c>
      <c r="Y12" s="10">
        <v>0.3659722222222222</v>
      </c>
      <c r="Z12" s="10">
        <v>0.35972222222222222</v>
      </c>
      <c r="AA12" s="10">
        <v>0.37083333333333335</v>
      </c>
      <c r="AB12" s="10">
        <v>0.37708333333333333</v>
      </c>
      <c r="AC12" s="7" t="s">
        <v>14</v>
      </c>
      <c r="AD12" s="6" t="s">
        <v>13</v>
      </c>
      <c r="AE12" s="10">
        <v>0.36875000000000002</v>
      </c>
      <c r="AF12" s="10">
        <v>0.37013888888888891</v>
      </c>
      <c r="AG12" s="10">
        <v>0.36736111111111114</v>
      </c>
      <c r="AH12" s="10">
        <v>0.37222222222222223</v>
      </c>
      <c r="AI12" s="10">
        <v>0.36875000000000002</v>
      </c>
      <c r="AJ12" s="10">
        <v>0.36527777777777776</v>
      </c>
      <c r="AK12" s="6" t="s">
        <v>13</v>
      </c>
      <c r="AL12" s="3"/>
      <c r="AM12" s="3"/>
      <c r="AN12" s="3"/>
      <c r="AO12" s="3"/>
      <c r="AP12" s="3"/>
    </row>
    <row r="13" spans="1:42" ht="15" x14ac:dyDescent="0.2">
      <c r="A13" s="4">
        <v>12</v>
      </c>
      <c r="B13" s="5">
        <v>292</v>
      </c>
      <c r="C13" s="5" t="s">
        <v>22</v>
      </c>
      <c r="D13" s="5" t="s">
        <v>23</v>
      </c>
      <c r="E13" s="5" t="s">
        <v>24</v>
      </c>
      <c r="F13" s="5" t="s">
        <v>17</v>
      </c>
      <c r="G13" s="5" t="s">
        <v>25</v>
      </c>
      <c r="H13" s="6" t="s">
        <v>12</v>
      </c>
      <c r="I13" s="6" t="s">
        <v>13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14</v>
      </c>
      <c r="O13" s="7" t="s">
        <v>14</v>
      </c>
      <c r="P13" s="6" t="s">
        <v>13</v>
      </c>
      <c r="Q13" s="7" t="s">
        <v>14</v>
      </c>
      <c r="R13" s="10">
        <v>0.19236111111111112</v>
      </c>
      <c r="S13" s="10">
        <v>0.34236111111111112</v>
      </c>
      <c r="T13" s="10">
        <v>0.34097222222222223</v>
      </c>
      <c r="U13" s="10">
        <v>0</v>
      </c>
      <c r="V13" s="7" t="s">
        <v>14</v>
      </c>
      <c r="W13" s="6" t="s">
        <v>13</v>
      </c>
      <c r="X13" s="10">
        <v>0</v>
      </c>
      <c r="Y13" s="10">
        <v>0.35069444444444442</v>
      </c>
      <c r="Z13" s="10">
        <v>0</v>
      </c>
      <c r="AA13" s="10">
        <v>0.35208333333333336</v>
      </c>
      <c r="AB13" s="10">
        <v>0.34375</v>
      </c>
      <c r="AC13" s="10">
        <v>0.16319444444444445</v>
      </c>
      <c r="AD13" s="6" t="s">
        <v>13</v>
      </c>
      <c r="AE13" s="10">
        <v>0</v>
      </c>
      <c r="AF13" s="10">
        <v>0.3527777777777778</v>
      </c>
      <c r="AG13" s="7" t="s">
        <v>14</v>
      </c>
      <c r="AH13" s="10">
        <v>0.36875000000000002</v>
      </c>
      <c r="AI13" s="10">
        <v>0.35625000000000001</v>
      </c>
      <c r="AJ13" s="10">
        <v>0.34583333333333333</v>
      </c>
      <c r="AK13" s="6" t="s">
        <v>13</v>
      </c>
      <c r="AL13" s="3"/>
      <c r="AM13" s="3"/>
      <c r="AN13" s="3"/>
      <c r="AO13" s="3"/>
      <c r="AP13" s="3"/>
    </row>
    <row r="14" spans="1:42" ht="15" x14ac:dyDescent="0.2">
      <c r="A14" s="4">
        <v>13</v>
      </c>
      <c r="B14" s="5">
        <v>294</v>
      </c>
      <c r="C14" s="5" t="s">
        <v>26</v>
      </c>
      <c r="D14" s="5" t="s">
        <v>19</v>
      </c>
      <c r="E14" s="5" t="s">
        <v>20</v>
      </c>
      <c r="F14" s="5" t="s">
        <v>17</v>
      </c>
      <c r="G14" s="11">
        <v>45784</v>
      </c>
      <c r="H14" s="6" t="s">
        <v>12</v>
      </c>
      <c r="I14" s="6" t="s">
        <v>13</v>
      </c>
      <c r="J14" s="9">
        <v>0.34097222222222223</v>
      </c>
      <c r="K14" s="10">
        <v>0.32916666666666666</v>
      </c>
      <c r="L14" s="10">
        <v>0.35833333333333334</v>
      </c>
      <c r="M14" s="10">
        <v>0.37847222222222221</v>
      </c>
      <c r="N14" s="10">
        <v>0.35069444444444442</v>
      </c>
      <c r="O14" s="10">
        <v>0.3215277777777778</v>
      </c>
      <c r="P14" s="6" t="s">
        <v>13</v>
      </c>
      <c r="Q14" s="10">
        <v>0.38055555555555554</v>
      </c>
      <c r="R14" s="10">
        <v>0.37638888888888888</v>
      </c>
      <c r="S14" s="10">
        <v>0.375</v>
      </c>
      <c r="T14" s="10">
        <v>0.37777777777777777</v>
      </c>
      <c r="U14" s="10">
        <v>0.37361111111111112</v>
      </c>
      <c r="V14" s="7" t="s">
        <v>14</v>
      </c>
      <c r="W14" s="6" t="s">
        <v>13</v>
      </c>
      <c r="X14" s="10">
        <v>0.37847222222222221</v>
      </c>
      <c r="Y14" s="10">
        <v>6.9444444444444447E-4</v>
      </c>
      <c r="Z14" s="10">
        <v>0.37569444444444444</v>
      </c>
      <c r="AA14" s="10">
        <v>0.3888888888888889</v>
      </c>
      <c r="AB14" s="10">
        <v>0.39583333333333331</v>
      </c>
      <c r="AC14" s="10">
        <v>0.37013888888888891</v>
      </c>
      <c r="AD14" s="6" t="s">
        <v>13</v>
      </c>
      <c r="AE14" s="10">
        <v>0.36249999999999999</v>
      </c>
      <c r="AF14" s="7" t="s">
        <v>14</v>
      </c>
      <c r="AG14" s="10">
        <v>0.37361111111111112</v>
      </c>
      <c r="AH14" s="10">
        <v>0.37916666666666665</v>
      </c>
      <c r="AI14" s="10">
        <v>0.37013888888888891</v>
      </c>
      <c r="AJ14" s="10">
        <v>0.37361111111111112</v>
      </c>
      <c r="AK14" s="6" t="s">
        <v>13</v>
      </c>
      <c r="AL14" s="3"/>
      <c r="AM14" s="3"/>
      <c r="AN14" s="3"/>
      <c r="AO14" s="3"/>
      <c r="AP14" s="3"/>
    </row>
    <row r="15" spans="1:42" ht="15" x14ac:dyDescent="0.2">
      <c r="A15" s="4">
        <v>14</v>
      </c>
      <c r="B15" s="5">
        <v>296</v>
      </c>
      <c r="C15" s="5" t="s">
        <v>352</v>
      </c>
      <c r="D15" s="5" t="s">
        <v>23</v>
      </c>
      <c r="E15" s="5" t="s">
        <v>109</v>
      </c>
      <c r="F15" s="5" t="s">
        <v>17</v>
      </c>
      <c r="G15" s="5" t="s">
        <v>289</v>
      </c>
      <c r="H15" s="6" t="s">
        <v>12</v>
      </c>
      <c r="I15" s="6" t="s">
        <v>13</v>
      </c>
      <c r="J15" s="7" t="s">
        <v>14</v>
      </c>
      <c r="K15" s="10">
        <v>0.38263888888888886</v>
      </c>
      <c r="L15" s="10">
        <v>0.38194444444444442</v>
      </c>
      <c r="M15" s="10">
        <v>0.4201388888888889</v>
      </c>
      <c r="N15" s="10">
        <v>0.38958333333333334</v>
      </c>
      <c r="O15" s="10">
        <v>0.37708333333333333</v>
      </c>
      <c r="P15" s="6" t="s">
        <v>13</v>
      </c>
      <c r="Q15" s="10">
        <v>0.3888888888888889</v>
      </c>
      <c r="R15" s="10">
        <v>0.375</v>
      </c>
      <c r="S15" s="10">
        <v>0.39444444444444443</v>
      </c>
      <c r="T15" s="10">
        <v>0.38680555555555557</v>
      </c>
      <c r="U15" s="10">
        <v>0.40416666666666667</v>
      </c>
      <c r="V15" s="7" t="s">
        <v>14</v>
      </c>
      <c r="W15" s="6" t="s">
        <v>13</v>
      </c>
      <c r="X15" s="10">
        <v>0.36180555555555555</v>
      </c>
      <c r="Y15" s="7" t="s">
        <v>14</v>
      </c>
      <c r="Z15" s="10">
        <v>0.37638888888888888</v>
      </c>
      <c r="AA15" s="10">
        <v>0.39513888888888887</v>
      </c>
      <c r="AB15" s="10">
        <v>0.40347222222222223</v>
      </c>
      <c r="AC15" s="7" t="s">
        <v>14</v>
      </c>
      <c r="AD15" s="6" t="s">
        <v>13</v>
      </c>
      <c r="AE15" s="10">
        <v>0.39097222222222222</v>
      </c>
      <c r="AF15" s="10">
        <v>0.39930555555555558</v>
      </c>
      <c r="AG15" s="10">
        <v>0.38263888888888886</v>
      </c>
      <c r="AH15" s="10">
        <v>0.37708333333333333</v>
      </c>
      <c r="AI15" s="10">
        <v>0.36944444444444446</v>
      </c>
      <c r="AJ15" s="10">
        <v>0.38194444444444442</v>
      </c>
      <c r="AK15" s="6" t="s">
        <v>13</v>
      </c>
      <c r="AL15" s="3"/>
      <c r="AM15" s="3"/>
      <c r="AN15" s="3"/>
      <c r="AO15" s="3"/>
      <c r="AP15" s="3"/>
    </row>
    <row r="16" spans="1:42" ht="15" x14ac:dyDescent="0.2">
      <c r="A16" s="4">
        <v>15</v>
      </c>
      <c r="B16" s="5">
        <v>297</v>
      </c>
      <c r="C16" s="5" t="s">
        <v>350</v>
      </c>
      <c r="D16" s="5" t="s">
        <v>23</v>
      </c>
      <c r="E16" s="5" t="s">
        <v>39</v>
      </c>
      <c r="F16" s="5" t="s">
        <v>17</v>
      </c>
      <c r="G16" s="5" t="s">
        <v>351</v>
      </c>
      <c r="H16" s="6" t="s">
        <v>12</v>
      </c>
      <c r="I16" s="6" t="s">
        <v>13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14</v>
      </c>
      <c r="P16" s="6" t="s">
        <v>13</v>
      </c>
      <c r="Q16" s="10">
        <v>0.26805555555555555</v>
      </c>
      <c r="R16" s="10">
        <v>0.32430555555555557</v>
      </c>
      <c r="S16" s="10">
        <v>0.37013888888888891</v>
      </c>
      <c r="T16" s="10">
        <v>0.3527777777777778</v>
      </c>
      <c r="U16" s="7" t="s">
        <v>14</v>
      </c>
      <c r="V16" s="10">
        <v>0.34652777777777777</v>
      </c>
      <c r="W16" s="6" t="s">
        <v>13</v>
      </c>
      <c r="X16" s="10">
        <v>0.37847222222222221</v>
      </c>
      <c r="Y16" s="10">
        <v>0.38611111111111113</v>
      </c>
      <c r="Z16" s="7" t="s">
        <v>14</v>
      </c>
      <c r="AA16" s="10">
        <v>0.36875000000000002</v>
      </c>
      <c r="AB16" s="10">
        <v>0.37013888888888891</v>
      </c>
      <c r="AC16" s="10">
        <v>0.37986111111111109</v>
      </c>
      <c r="AD16" s="6" t="s">
        <v>13</v>
      </c>
      <c r="AE16" s="10">
        <v>0.28611111111111109</v>
      </c>
      <c r="AF16" s="10">
        <v>0.2902777777777778</v>
      </c>
      <c r="AG16" s="10">
        <v>0.37430555555555556</v>
      </c>
      <c r="AH16" s="10">
        <v>0.34305555555555556</v>
      </c>
      <c r="AI16" s="7" t="s">
        <v>14</v>
      </c>
      <c r="AJ16" s="7" t="s">
        <v>14</v>
      </c>
      <c r="AK16" s="6" t="s">
        <v>13</v>
      </c>
      <c r="AL16" s="3"/>
      <c r="AM16" s="3"/>
      <c r="AN16" s="3"/>
      <c r="AO16" s="3"/>
      <c r="AP16" s="3"/>
    </row>
    <row r="17" spans="1:42" ht="15" x14ac:dyDescent="0.2">
      <c r="A17" s="4">
        <v>16</v>
      </c>
      <c r="B17" s="5">
        <v>300</v>
      </c>
      <c r="C17" s="5" t="s">
        <v>27</v>
      </c>
      <c r="D17" s="5" t="s">
        <v>23</v>
      </c>
      <c r="E17" s="5" t="s">
        <v>28</v>
      </c>
      <c r="F17" s="5" t="s">
        <v>17</v>
      </c>
      <c r="G17" s="5" t="s">
        <v>29</v>
      </c>
      <c r="H17" s="6" t="s">
        <v>12</v>
      </c>
      <c r="I17" s="6" t="s">
        <v>13</v>
      </c>
      <c r="J17" s="9">
        <v>0.34583333333333333</v>
      </c>
      <c r="K17" s="7" t="s">
        <v>14</v>
      </c>
      <c r="L17" s="7" t="s">
        <v>14</v>
      </c>
      <c r="M17" s="10">
        <v>0.37152777777777779</v>
      </c>
      <c r="N17" s="10">
        <v>0.31874999999999998</v>
      </c>
      <c r="O17" s="10">
        <v>0.35625000000000001</v>
      </c>
      <c r="P17" s="6" t="s">
        <v>13</v>
      </c>
      <c r="Q17" s="10">
        <v>0.375</v>
      </c>
      <c r="R17" s="10">
        <v>0.35902777777777778</v>
      </c>
      <c r="S17" s="10">
        <v>0.37708333333333333</v>
      </c>
      <c r="T17" s="10">
        <v>0.37430555555555556</v>
      </c>
      <c r="U17" s="10">
        <v>0.37361111111111112</v>
      </c>
      <c r="V17" s="10">
        <v>0.35694444444444445</v>
      </c>
      <c r="W17" s="6" t="s">
        <v>13</v>
      </c>
      <c r="X17" s="7" t="s">
        <v>14</v>
      </c>
      <c r="Y17" s="10">
        <v>0.37222222222222223</v>
      </c>
      <c r="Z17" s="10">
        <v>0.37430555555555556</v>
      </c>
      <c r="AA17" s="10">
        <v>0.37083333333333335</v>
      </c>
      <c r="AB17" s="10">
        <v>0.37013888888888891</v>
      </c>
      <c r="AC17" s="10">
        <v>0.34930555555555554</v>
      </c>
      <c r="AD17" s="6" t="s">
        <v>13</v>
      </c>
      <c r="AE17" s="10">
        <v>0.36249999999999999</v>
      </c>
      <c r="AF17" s="10">
        <v>0.37291666666666667</v>
      </c>
      <c r="AG17" s="10">
        <v>0.37013888888888891</v>
      </c>
      <c r="AH17" s="10">
        <v>0.37083333333333335</v>
      </c>
      <c r="AI17" s="10">
        <v>0.37638888888888888</v>
      </c>
      <c r="AJ17" s="10">
        <v>0.37222222222222223</v>
      </c>
      <c r="AK17" s="6" t="s">
        <v>13</v>
      </c>
      <c r="AL17" s="3"/>
      <c r="AM17" s="3"/>
      <c r="AN17" s="3"/>
      <c r="AO17" s="3"/>
      <c r="AP17" s="3"/>
    </row>
    <row r="18" spans="1:42" ht="15" x14ac:dyDescent="0.2">
      <c r="A18" s="4">
        <v>17</v>
      </c>
      <c r="B18" s="5">
        <v>301</v>
      </c>
      <c r="C18" s="5" t="s">
        <v>30</v>
      </c>
      <c r="D18" s="5" t="s">
        <v>31</v>
      </c>
      <c r="E18" s="5" t="s">
        <v>24</v>
      </c>
      <c r="F18" s="5" t="s">
        <v>17</v>
      </c>
      <c r="G18" s="5" t="s">
        <v>29</v>
      </c>
      <c r="H18" s="6" t="s">
        <v>12</v>
      </c>
      <c r="I18" s="6" t="s">
        <v>13</v>
      </c>
      <c r="J18" s="9">
        <v>0.37916666666666665</v>
      </c>
      <c r="K18" s="10">
        <v>0.37986111111111109</v>
      </c>
      <c r="L18" s="10">
        <v>0.37222222222222223</v>
      </c>
      <c r="M18" s="10">
        <v>0.36458333333333331</v>
      </c>
      <c r="N18" s="10">
        <v>0.37222222222222223</v>
      </c>
      <c r="O18" s="7" t="s">
        <v>14</v>
      </c>
      <c r="P18" s="6" t="s">
        <v>13</v>
      </c>
      <c r="Q18" s="10">
        <v>0.27986111111111112</v>
      </c>
      <c r="R18" s="10">
        <v>0.33124999999999999</v>
      </c>
      <c r="S18" s="10">
        <v>0.37916666666666665</v>
      </c>
      <c r="T18" s="10">
        <v>0.37916666666666665</v>
      </c>
      <c r="U18" s="10">
        <v>0.36388888888888887</v>
      </c>
      <c r="V18" s="7" t="s">
        <v>14</v>
      </c>
      <c r="W18" s="6" t="s">
        <v>13</v>
      </c>
      <c r="X18" s="7" t="s">
        <v>14</v>
      </c>
      <c r="Y18" s="10">
        <v>0.36875000000000002</v>
      </c>
      <c r="Z18" s="10">
        <v>0.36180555555555555</v>
      </c>
      <c r="AA18" s="10">
        <v>0.37361111111111112</v>
      </c>
      <c r="AB18" s="10">
        <v>0.37708333333333333</v>
      </c>
      <c r="AC18" s="10">
        <v>0.19930555555555557</v>
      </c>
      <c r="AD18" s="6" t="s">
        <v>13</v>
      </c>
      <c r="AE18" s="10">
        <v>0.3840277777777778</v>
      </c>
      <c r="AF18" s="10">
        <v>0.37708333333333333</v>
      </c>
      <c r="AG18" s="10">
        <v>0.38194444444444442</v>
      </c>
      <c r="AH18" s="10">
        <v>0.37847222222222221</v>
      </c>
      <c r="AI18" s="10">
        <v>0.3840277777777778</v>
      </c>
      <c r="AJ18" s="10">
        <v>0.19027777777777777</v>
      </c>
      <c r="AK18" s="6" t="s">
        <v>13</v>
      </c>
      <c r="AL18" s="3"/>
      <c r="AM18" s="3"/>
      <c r="AN18" s="3"/>
      <c r="AO18" s="3"/>
      <c r="AP18" s="3"/>
    </row>
    <row r="19" spans="1:42" ht="15" x14ac:dyDescent="0.2">
      <c r="A19" s="4">
        <v>18</v>
      </c>
      <c r="B19" s="5">
        <v>305</v>
      </c>
      <c r="C19" s="5" t="s">
        <v>361</v>
      </c>
      <c r="D19" s="5" t="s">
        <v>23</v>
      </c>
      <c r="E19" s="5" t="s">
        <v>39</v>
      </c>
      <c r="F19" s="5" t="s">
        <v>17</v>
      </c>
      <c r="G19" s="11">
        <v>45811</v>
      </c>
      <c r="H19" s="6" t="s">
        <v>12</v>
      </c>
      <c r="I19" s="6" t="s">
        <v>13</v>
      </c>
      <c r="J19" s="9">
        <v>0.40833333333333333</v>
      </c>
      <c r="K19" s="10">
        <v>0.40555555555555556</v>
      </c>
      <c r="L19" s="7" t="s">
        <v>14</v>
      </c>
      <c r="M19" s="7" t="s">
        <v>14</v>
      </c>
      <c r="N19" s="10">
        <v>0.37430555555555556</v>
      </c>
      <c r="O19" s="10">
        <v>0.37708333333333333</v>
      </c>
      <c r="P19" s="6" t="s">
        <v>13</v>
      </c>
      <c r="Q19" s="10">
        <v>0.37708333333333333</v>
      </c>
      <c r="R19" s="10">
        <v>0.37569444444444444</v>
      </c>
      <c r="S19" s="10">
        <v>0.37638888888888888</v>
      </c>
      <c r="T19" s="10">
        <v>0.37361111111111112</v>
      </c>
      <c r="U19" s="10">
        <v>0.37916666666666665</v>
      </c>
      <c r="V19" s="7" t="s">
        <v>14</v>
      </c>
      <c r="W19" s="6" t="s">
        <v>13</v>
      </c>
      <c r="X19" s="10">
        <v>0.3527777777777778</v>
      </c>
      <c r="Y19" s="10">
        <v>0.37916666666666665</v>
      </c>
      <c r="Z19" s="10">
        <v>0.37708333333333333</v>
      </c>
      <c r="AA19" s="10">
        <v>0.37777777777777777</v>
      </c>
      <c r="AB19" s="10">
        <v>0.375</v>
      </c>
      <c r="AC19" s="10">
        <v>0.37569444444444444</v>
      </c>
      <c r="AD19" s="6" t="s">
        <v>13</v>
      </c>
      <c r="AE19" s="10">
        <v>0.37569444444444444</v>
      </c>
      <c r="AF19" s="10">
        <v>0.37708333333333333</v>
      </c>
      <c r="AG19" s="10">
        <v>0.37222222222222223</v>
      </c>
      <c r="AH19" s="10">
        <v>0.37430555555555556</v>
      </c>
      <c r="AI19" s="7" t="s">
        <v>14</v>
      </c>
      <c r="AJ19" s="7" t="s">
        <v>14</v>
      </c>
      <c r="AK19" s="6" t="s">
        <v>13</v>
      </c>
      <c r="AL19" s="3"/>
      <c r="AM19" s="3"/>
      <c r="AN19" s="3"/>
      <c r="AO19" s="3"/>
      <c r="AP19" s="3"/>
    </row>
    <row r="20" spans="1:42" ht="15" x14ac:dyDescent="0.2">
      <c r="A20" s="4">
        <v>19</v>
      </c>
      <c r="B20" s="5">
        <v>306</v>
      </c>
      <c r="C20" s="5" t="s">
        <v>348</v>
      </c>
      <c r="D20" s="5" t="s">
        <v>23</v>
      </c>
      <c r="E20" s="5" t="s">
        <v>28</v>
      </c>
      <c r="F20" s="5" t="s">
        <v>17</v>
      </c>
      <c r="G20" s="11">
        <v>45814</v>
      </c>
      <c r="H20" s="6" t="s">
        <v>12</v>
      </c>
      <c r="I20" s="6" t="s">
        <v>13</v>
      </c>
      <c r="J20" s="9">
        <v>0.40763888888888888</v>
      </c>
      <c r="K20" s="10">
        <v>0.37916666666666665</v>
      </c>
      <c r="L20" s="10">
        <v>0.37777777777777777</v>
      </c>
      <c r="M20" s="10">
        <v>0.37291666666666667</v>
      </c>
      <c r="N20" s="10">
        <v>0.37916666666666665</v>
      </c>
      <c r="O20" s="7" t="s">
        <v>14</v>
      </c>
      <c r="P20" s="6" t="s">
        <v>13</v>
      </c>
      <c r="Q20" s="10">
        <v>0.37430555555555556</v>
      </c>
      <c r="R20" s="10">
        <v>0.36875000000000002</v>
      </c>
      <c r="S20" s="10">
        <v>0.37430555555555556</v>
      </c>
      <c r="T20" s="10">
        <v>0.37152777777777779</v>
      </c>
      <c r="U20" s="10">
        <v>0.37083333333333335</v>
      </c>
      <c r="V20" s="10">
        <v>0.37430555555555556</v>
      </c>
      <c r="W20" s="6" t="s">
        <v>13</v>
      </c>
      <c r="X20" s="10">
        <v>0.36666666666666664</v>
      </c>
      <c r="Y20" s="10">
        <v>0.37152777777777779</v>
      </c>
      <c r="Z20" s="10">
        <v>0.37152777777777779</v>
      </c>
      <c r="AA20" s="10">
        <v>0.36805555555555558</v>
      </c>
      <c r="AB20" s="10">
        <v>0.37361111111111112</v>
      </c>
      <c r="AC20" s="10">
        <v>0.375</v>
      </c>
      <c r="AD20" s="6" t="s">
        <v>13</v>
      </c>
      <c r="AE20" s="10">
        <v>0.37152777777777779</v>
      </c>
      <c r="AF20" s="10">
        <v>0.37222222222222223</v>
      </c>
      <c r="AG20" s="10">
        <v>0.36805555555555558</v>
      </c>
      <c r="AH20" s="10">
        <v>0.36805555555555558</v>
      </c>
      <c r="AI20" s="10">
        <v>0.37083333333333335</v>
      </c>
      <c r="AJ20" s="10">
        <v>0.37152777777777779</v>
      </c>
      <c r="AK20" s="6" t="s">
        <v>13</v>
      </c>
      <c r="AL20" s="3"/>
      <c r="AM20" s="3"/>
      <c r="AN20" s="3"/>
      <c r="AO20" s="3"/>
      <c r="AP20" s="3"/>
    </row>
    <row r="21" spans="1:42" ht="15" x14ac:dyDescent="0.2">
      <c r="A21" s="4">
        <v>20</v>
      </c>
      <c r="B21" s="5">
        <v>307</v>
      </c>
      <c r="C21" s="5" t="s">
        <v>370</v>
      </c>
      <c r="D21" s="5" t="s">
        <v>19</v>
      </c>
      <c r="E21" s="5" t="s">
        <v>28</v>
      </c>
      <c r="F21" s="5" t="s">
        <v>17</v>
      </c>
      <c r="G21" s="11">
        <v>45815</v>
      </c>
      <c r="H21" s="6" t="s">
        <v>12</v>
      </c>
      <c r="I21" s="6" t="s">
        <v>13</v>
      </c>
      <c r="J21" s="9">
        <v>0.38750000000000001</v>
      </c>
      <c r="K21" s="10">
        <v>0.40694444444444444</v>
      </c>
      <c r="L21" s="10">
        <v>0.35</v>
      </c>
      <c r="M21" s="10">
        <v>0.37361111111111112</v>
      </c>
      <c r="N21" s="10">
        <v>0.32708333333333334</v>
      </c>
      <c r="O21" s="10">
        <v>0.37222222222222223</v>
      </c>
      <c r="P21" s="6" t="s">
        <v>13</v>
      </c>
      <c r="Q21" s="10">
        <v>0.37638888888888888</v>
      </c>
      <c r="R21" s="10">
        <v>0.37083333333333335</v>
      </c>
      <c r="S21" s="10">
        <v>0.39166666666666666</v>
      </c>
      <c r="T21" s="10">
        <v>0.37986111111111109</v>
      </c>
      <c r="U21" s="10">
        <v>0.375</v>
      </c>
      <c r="V21" s="7" t="s">
        <v>14</v>
      </c>
      <c r="W21" s="6" t="s">
        <v>13</v>
      </c>
      <c r="X21" s="10">
        <v>0.37708333333333333</v>
      </c>
      <c r="Y21" s="10">
        <v>0.37430555555555556</v>
      </c>
      <c r="Z21" s="10">
        <v>0.36944444444444446</v>
      </c>
      <c r="AA21" s="10">
        <v>0.37291666666666667</v>
      </c>
      <c r="AB21" s="10">
        <v>0.40138888888888891</v>
      </c>
      <c r="AC21" s="10">
        <v>0.36249999999999999</v>
      </c>
      <c r="AD21" s="6" t="s">
        <v>13</v>
      </c>
      <c r="AE21" s="7" t="s">
        <v>14</v>
      </c>
      <c r="AF21" s="7" t="s">
        <v>14</v>
      </c>
      <c r="AG21" s="7" t="s">
        <v>14</v>
      </c>
      <c r="AH21" s="7" t="s">
        <v>14</v>
      </c>
      <c r="AI21" s="7" t="s">
        <v>14</v>
      </c>
      <c r="AJ21" s="7" t="s">
        <v>14</v>
      </c>
      <c r="AK21" s="6" t="s">
        <v>13</v>
      </c>
      <c r="AL21" s="3"/>
      <c r="AM21" s="3"/>
      <c r="AN21" s="3"/>
      <c r="AO21" s="3"/>
      <c r="AP21" s="3"/>
    </row>
    <row r="22" spans="1:42" ht="15" x14ac:dyDescent="0.2">
      <c r="A22" s="4">
        <v>21</v>
      </c>
      <c r="B22" s="5">
        <v>308</v>
      </c>
      <c r="C22" s="5" t="s">
        <v>32</v>
      </c>
      <c r="D22" s="5" t="s">
        <v>19</v>
      </c>
      <c r="E22" s="5" t="s">
        <v>24</v>
      </c>
      <c r="F22" s="5" t="s">
        <v>17</v>
      </c>
      <c r="G22" s="11">
        <v>45817</v>
      </c>
      <c r="H22" s="6" t="s">
        <v>12</v>
      </c>
      <c r="I22" s="6" t="s">
        <v>13</v>
      </c>
      <c r="J22" s="9">
        <v>0.30486111111111114</v>
      </c>
      <c r="K22" s="10">
        <v>0.40208333333333335</v>
      </c>
      <c r="L22" s="10">
        <v>0.33611111111111114</v>
      </c>
      <c r="M22" s="10">
        <v>0.37222222222222223</v>
      </c>
      <c r="N22" s="10">
        <v>0.18819444444444444</v>
      </c>
      <c r="O22" s="7" t="s">
        <v>14</v>
      </c>
      <c r="P22" s="6" t="s">
        <v>13</v>
      </c>
      <c r="Q22" s="7" t="s">
        <v>14</v>
      </c>
      <c r="R22" s="10">
        <v>0.37222222222222223</v>
      </c>
      <c r="S22" s="10">
        <v>0.37430555555555556</v>
      </c>
      <c r="T22" s="10">
        <v>0.375</v>
      </c>
      <c r="U22" s="10">
        <v>0.375</v>
      </c>
      <c r="V22" s="10">
        <v>0.42083333333333334</v>
      </c>
      <c r="W22" s="6" t="s">
        <v>13</v>
      </c>
      <c r="X22" s="10">
        <v>0.37083333333333335</v>
      </c>
      <c r="Y22" s="10">
        <v>0.32916666666666666</v>
      </c>
      <c r="Z22" s="10">
        <v>0.37638888888888888</v>
      </c>
      <c r="AA22" s="10">
        <v>0.32777777777777778</v>
      </c>
      <c r="AB22" s="10">
        <v>0.37569444444444444</v>
      </c>
      <c r="AC22" s="10">
        <v>0.23958333333333334</v>
      </c>
      <c r="AD22" s="6" t="s">
        <v>13</v>
      </c>
      <c r="AE22" s="10">
        <v>0.375</v>
      </c>
      <c r="AF22" s="10">
        <v>0.375</v>
      </c>
      <c r="AG22" s="10">
        <v>0.375</v>
      </c>
      <c r="AH22" s="10">
        <v>0.28541666666666665</v>
      </c>
      <c r="AI22" s="7" t="s">
        <v>14</v>
      </c>
      <c r="AJ22" s="10">
        <v>0.37708333333333333</v>
      </c>
      <c r="AK22" s="6" t="s">
        <v>13</v>
      </c>
      <c r="AL22" s="3"/>
      <c r="AM22" s="3"/>
      <c r="AN22" s="3"/>
      <c r="AO22" s="3"/>
      <c r="AP22" s="3"/>
    </row>
    <row r="23" spans="1:42" ht="15" x14ac:dyDescent="0.2">
      <c r="A23" s="4">
        <v>22</v>
      </c>
      <c r="B23" s="5">
        <v>309</v>
      </c>
      <c r="C23" s="5" t="s">
        <v>33</v>
      </c>
      <c r="D23" s="5" t="s">
        <v>34</v>
      </c>
      <c r="E23" s="5" t="s">
        <v>9</v>
      </c>
      <c r="F23" s="5" t="s">
        <v>17</v>
      </c>
      <c r="G23" s="11">
        <v>45817</v>
      </c>
      <c r="H23" s="10">
        <v>0</v>
      </c>
      <c r="I23" s="6" t="s">
        <v>13</v>
      </c>
      <c r="J23" s="9">
        <v>0.37569444444444444</v>
      </c>
      <c r="K23" s="10">
        <v>0.37569444444444444</v>
      </c>
      <c r="L23" s="10">
        <v>0.375</v>
      </c>
      <c r="M23" s="7" t="s">
        <v>14</v>
      </c>
      <c r="N23" s="7" t="s">
        <v>14</v>
      </c>
      <c r="O23" s="7" t="s">
        <v>14</v>
      </c>
      <c r="P23" s="6" t="s">
        <v>13</v>
      </c>
      <c r="Q23" s="10">
        <v>0.37361111111111112</v>
      </c>
      <c r="R23" s="10">
        <v>0.37569444444444444</v>
      </c>
      <c r="S23" s="10">
        <v>0.375</v>
      </c>
      <c r="T23" s="10">
        <v>0.37638888888888888</v>
      </c>
      <c r="U23" s="10">
        <v>0.375</v>
      </c>
      <c r="V23" s="10">
        <v>0.37569444444444444</v>
      </c>
      <c r="W23" s="6" t="s">
        <v>13</v>
      </c>
      <c r="X23" s="10">
        <v>0.37430555555555556</v>
      </c>
      <c r="Y23" s="10">
        <v>0.375</v>
      </c>
      <c r="Z23" s="10">
        <v>0.38472222222222224</v>
      </c>
      <c r="AA23" s="10">
        <v>0.36458333333333331</v>
      </c>
      <c r="AB23" s="7" t="s">
        <v>14</v>
      </c>
      <c r="AC23" s="7" t="s">
        <v>14</v>
      </c>
      <c r="AD23" s="6" t="s">
        <v>13</v>
      </c>
      <c r="AE23" s="10">
        <v>0.37708333333333333</v>
      </c>
      <c r="AF23" s="10">
        <v>0.375</v>
      </c>
      <c r="AG23" s="10">
        <v>0.375</v>
      </c>
      <c r="AH23" s="10">
        <v>0.37430555555555556</v>
      </c>
      <c r="AI23" s="10">
        <v>0.375</v>
      </c>
      <c r="AJ23" s="10">
        <v>0.37708333333333333</v>
      </c>
      <c r="AK23" s="6" t="s">
        <v>13</v>
      </c>
      <c r="AL23" s="3"/>
      <c r="AM23" s="3"/>
      <c r="AN23" s="3"/>
      <c r="AO23" s="3"/>
      <c r="AP23" s="3"/>
    </row>
    <row r="24" spans="1:42" ht="15" x14ac:dyDescent="0.2">
      <c r="A24" s="4">
        <v>23</v>
      </c>
      <c r="B24" s="5">
        <v>310</v>
      </c>
      <c r="C24" s="5" t="s">
        <v>35</v>
      </c>
      <c r="D24" s="5" t="s">
        <v>19</v>
      </c>
      <c r="E24" s="5" t="s">
        <v>9</v>
      </c>
      <c r="F24" s="5" t="s">
        <v>17</v>
      </c>
      <c r="G24" s="5" t="s">
        <v>36</v>
      </c>
      <c r="H24" s="6" t="s">
        <v>12</v>
      </c>
      <c r="I24" s="6" t="s">
        <v>13</v>
      </c>
      <c r="J24" s="7" t="s">
        <v>14</v>
      </c>
      <c r="K24" s="7" t="s">
        <v>14</v>
      </c>
      <c r="L24" s="7" t="s">
        <v>14</v>
      </c>
      <c r="M24" s="7" t="s">
        <v>14</v>
      </c>
      <c r="N24" s="7" t="s">
        <v>14</v>
      </c>
      <c r="O24" s="7" t="s">
        <v>14</v>
      </c>
      <c r="P24" s="6" t="s">
        <v>13</v>
      </c>
      <c r="Q24" s="7" t="s">
        <v>14</v>
      </c>
      <c r="R24" s="7" t="s">
        <v>14</v>
      </c>
      <c r="S24" s="7" t="s">
        <v>14</v>
      </c>
      <c r="T24" s="7" t="s">
        <v>14</v>
      </c>
      <c r="U24" s="7" t="s">
        <v>14</v>
      </c>
      <c r="V24" s="7" t="s">
        <v>14</v>
      </c>
      <c r="W24" s="6" t="s">
        <v>13</v>
      </c>
      <c r="X24" s="7" t="s">
        <v>14</v>
      </c>
      <c r="Y24" s="7" t="s">
        <v>14</v>
      </c>
      <c r="Z24" s="7" t="s">
        <v>14</v>
      </c>
      <c r="AA24" s="7" t="s">
        <v>14</v>
      </c>
      <c r="AB24" s="10">
        <v>0.37569444444444444</v>
      </c>
      <c r="AC24" s="10">
        <v>0.37777777777777777</v>
      </c>
      <c r="AD24" s="6" t="s">
        <v>13</v>
      </c>
      <c r="AE24" s="10">
        <v>0.38124999999999998</v>
      </c>
      <c r="AF24" s="10">
        <v>0.37708333333333333</v>
      </c>
      <c r="AG24" s="10">
        <v>0.39513888888888887</v>
      </c>
      <c r="AH24" s="10">
        <v>0.36458333333333331</v>
      </c>
      <c r="AI24" s="10">
        <v>0.37222222222222223</v>
      </c>
      <c r="AJ24" s="10">
        <v>0.37569444444444444</v>
      </c>
      <c r="AK24" s="6" t="s">
        <v>13</v>
      </c>
      <c r="AL24" s="3"/>
      <c r="AM24" s="3"/>
      <c r="AN24" s="3"/>
      <c r="AO24" s="3"/>
      <c r="AP24" s="3"/>
    </row>
    <row r="25" spans="1:42" ht="15" x14ac:dyDescent="0.2">
      <c r="A25" s="4">
        <v>24</v>
      </c>
      <c r="B25" s="5">
        <v>312</v>
      </c>
      <c r="C25" s="5" t="s">
        <v>371</v>
      </c>
      <c r="D25" s="5" t="s">
        <v>19</v>
      </c>
      <c r="E25" s="5" t="s">
        <v>39</v>
      </c>
      <c r="F25" s="5" t="s">
        <v>17</v>
      </c>
      <c r="G25" s="5" t="s">
        <v>299</v>
      </c>
      <c r="H25" s="6" t="s">
        <v>12</v>
      </c>
      <c r="I25" s="6" t="s">
        <v>13</v>
      </c>
      <c r="J25" s="9">
        <v>0.34513888888888888</v>
      </c>
      <c r="K25" s="10">
        <v>0.40625</v>
      </c>
      <c r="L25" s="10">
        <v>0.3659722222222222</v>
      </c>
      <c r="M25" s="10">
        <v>0.37222222222222223</v>
      </c>
      <c r="N25" s="10">
        <v>0.37569444444444444</v>
      </c>
      <c r="O25" s="10">
        <v>0.35486111111111113</v>
      </c>
      <c r="P25" s="6" t="s">
        <v>13</v>
      </c>
      <c r="Q25" s="10">
        <v>0.37708333333333333</v>
      </c>
      <c r="R25" s="10">
        <v>0.375</v>
      </c>
      <c r="S25" s="10">
        <v>0.37569444444444444</v>
      </c>
      <c r="T25" s="10">
        <v>0.375</v>
      </c>
      <c r="U25" s="10">
        <v>0.37638888888888888</v>
      </c>
      <c r="V25" s="7" t="s">
        <v>14</v>
      </c>
      <c r="W25" s="6" t="s">
        <v>13</v>
      </c>
      <c r="X25" s="10">
        <v>0.37152777777777779</v>
      </c>
      <c r="Y25" s="10">
        <v>0.37569444444444444</v>
      </c>
      <c r="Z25" s="10">
        <v>0.37708333333333333</v>
      </c>
      <c r="AA25" s="10">
        <v>0.37708333333333333</v>
      </c>
      <c r="AB25" s="10">
        <v>0.37916666666666665</v>
      </c>
      <c r="AC25" s="10">
        <v>0.37847222222222221</v>
      </c>
      <c r="AD25" s="6" t="s">
        <v>13</v>
      </c>
      <c r="AE25" s="10">
        <v>0.37708333333333333</v>
      </c>
      <c r="AF25" s="10">
        <v>0.37708333333333333</v>
      </c>
      <c r="AG25" s="10">
        <v>0.37569444444444444</v>
      </c>
      <c r="AH25" s="10">
        <v>0.37430555555555556</v>
      </c>
      <c r="AI25" s="10">
        <v>0.37777777777777777</v>
      </c>
      <c r="AJ25" s="10">
        <v>0.38055555555555554</v>
      </c>
      <c r="AK25" s="6" t="s">
        <v>13</v>
      </c>
      <c r="AL25" s="3"/>
      <c r="AM25" s="3"/>
      <c r="AN25" s="3"/>
      <c r="AO25" s="3"/>
      <c r="AP25" s="3"/>
    </row>
    <row r="26" spans="1:42" ht="15" x14ac:dyDescent="0.2">
      <c r="A26" s="4">
        <v>25</v>
      </c>
      <c r="B26" s="5">
        <v>315</v>
      </c>
      <c r="C26" s="5" t="s">
        <v>37</v>
      </c>
      <c r="D26" s="5" t="s">
        <v>38</v>
      </c>
      <c r="E26" s="5" t="s">
        <v>39</v>
      </c>
      <c r="F26" s="5" t="s">
        <v>17</v>
      </c>
      <c r="G26" s="11">
        <v>45839</v>
      </c>
      <c r="H26" s="6" t="s">
        <v>12</v>
      </c>
      <c r="I26" s="6" t="s">
        <v>13</v>
      </c>
      <c r="J26" s="9">
        <v>0.37222222222222223</v>
      </c>
      <c r="K26" s="10">
        <v>0.37847222222222221</v>
      </c>
      <c r="L26" s="10">
        <v>0.37847222222222221</v>
      </c>
      <c r="M26" s="10">
        <v>0.36944444444444446</v>
      </c>
      <c r="N26" s="7" t="s">
        <v>14</v>
      </c>
      <c r="O26" s="10">
        <v>0.36527777777777776</v>
      </c>
      <c r="P26" s="6" t="s">
        <v>13</v>
      </c>
      <c r="Q26" s="10">
        <v>0.36388888888888887</v>
      </c>
      <c r="R26" s="10">
        <v>0.37777777777777777</v>
      </c>
      <c r="S26" s="10">
        <v>0.38124999999999998</v>
      </c>
      <c r="T26" s="10">
        <v>0.375</v>
      </c>
      <c r="U26" s="10">
        <v>0.38124999999999998</v>
      </c>
      <c r="V26" s="10">
        <v>0.37638888888888888</v>
      </c>
      <c r="W26" s="6" t="s">
        <v>13</v>
      </c>
      <c r="X26" s="10">
        <v>0.37847222222222221</v>
      </c>
      <c r="Y26" s="10">
        <v>0.37152777777777779</v>
      </c>
      <c r="Z26" s="10">
        <v>0.38194444444444442</v>
      </c>
      <c r="AA26" s="10">
        <v>0.37013888888888891</v>
      </c>
      <c r="AB26" s="10">
        <v>0.17847222222222223</v>
      </c>
      <c r="AC26" s="10">
        <v>0.37708333333333333</v>
      </c>
      <c r="AD26" s="6" t="s">
        <v>13</v>
      </c>
      <c r="AE26" s="10">
        <v>0.37430555555555556</v>
      </c>
      <c r="AF26" s="10">
        <v>0.37777777777777777</v>
      </c>
      <c r="AG26" s="10">
        <v>0.37847222222222221</v>
      </c>
      <c r="AH26" s="10">
        <v>0.37569444444444444</v>
      </c>
      <c r="AI26" s="10">
        <v>0.37361111111111112</v>
      </c>
      <c r="AJ26" s="7" t="s">
        <v>14</v>
      </c>
      <c r="AK26" s="6" t="s">
        <v>13</v>
      </c>
      <c r="AL26" s="3"/>
      <c r="AM26" s="3"/>
      <c r="AN26" s="3"/>
      <c r="AO26" s="3"/>
      <c r="AP26" s="3"/>
    </row>
    <row r="27" spans="1:42" ht="15" x14ac:dyDescent="0.2">
      <c r="A27" s="4">
        <v>26</v>
      </c>
      <c r="B27" s="5">
        <v>317</v>
      </c>
      <c r="C27" s="5" t="s">
        <v>349</v>
      </c>
      <c r="D27" s="5" t="s">
        <v>38</v>
      </c>
      <c r="E27" s="5" t="s">
        <v>39</v>
      </c>
      <c r="F27" s="5" t="s">
        <v>17</v>
      </c>
      <c r="G27" s="11">
        <v>45845</v>
      </c>
      <c r="H27" s="6" t="s">
        <v>12</v>
      </c>
      <c r="I27" s="6" t="s">
        <v>13</v>
      </c>
      <c r="J27" s="7" t="s">
        <v>14</v>
      </c>
      <c r="K27" s="7" t="s">
        <v>14</v>
      </c>
      <c r="L27" s="7" t="s">
        <v>14</v>
      </c>
      <c r="M27" s="7" t="s">
        <v>14</v>
      </c>
      <c r="N27" s="7" t="s">
        <v>14</v>
      </c>
      <c r="O27" s="7" t="s">
        <v>14</v>
      </c>
      <c r="P27" s="6" t="s">
        <v>13</v>
      </c>
      <c r="Q27" s="7" t="s">
        <v>14</v>
      </c>
      <c r="R27" s="7" t="s">
        <v>14</v>
      </c>
      <c r="S27" s="7" t="s">
        <v>14</v>
      </c>
      <c r="T27" s="7" t="s">
        <v>14</v>
      </c>
      <c r="U27" s="7" t="s">
        <v>14</v>
      </c>
      <c r="V27" s="7" t="s">
        <v>14</v>
      </c>
      <c r="W27" s="6" t="s">
        <v>13</v>
      </c>
      <c r="X27" s="7" t="s">
        <v>14</v>
      </c>
      <c r="Y27" s="7" t="s">
        <v>14</v>
      </c>
      <c r="Z27" s="7" t="s">
        <v>14</v>
      </c>
      <c r="AA27" s="7" t="s">
        <v>14</v>
      </c>
      <c r="AB27" s="7" t="s">
        <v>14</v>
      </c>
      <c r="AC27" s="7" t="s">
        <v>14</v>
      </c>
      <c r="AD27" s="6" t="s">
        <v>13</v>
      </c>
      <c r="AE27" s="7" t="s">
        <v>14</v>
      </c>
      <c r="AF27" s="7" t="s">
        <v>14</v>
      </c>
      <c r="AG27" s="7" t="s">
        <v>14</v>
      </c>
      <c r="AH27" s="7" t="s">
        <v>14</v>
      </c>
      <c r="AI27" s="7" t="s">
        <v>14</v>
      </c>
      <c r="AJ27" s="7" t="s">
        <v>14</v>
      </c>
      <c r="AK27" s="6" t="s">
        <v>13</v>
      </c>
      <c r="AL27" s="3"/>
      <c r="AM27" s="3"/>
      <c r="AN27" s="3"/>
      <c r="AO27" s="3"/>
      <c r="AP27" s="3"/>
    </row>
    <row r="28" spans="1:42" ht="15" x14ac:dyDescent="0.2">
      <c r="A28" s="4">
        <v>27</v>
      </c>
      <c r="B28" s="5">
        <v>319</v>
      </c>
      <c r="C28" s="5" t="s">
        <v>372</v>
      </c>
      <c r="D28" s="5" t="s">
        <v>38</v>
      </c>
      <c r="E28" s="5" t="s">
        <v>39</v>
      </c>
      <c r="F28" s="5" t="s">
        <v>17</v>
      </c>
      <c r="G28" s="11">
        <v>45845</v>
      </c>
      <c r="H28" s="6" t="s">
        <v>12</v>
      </c>
      <c r="I28" s="6" t="s">
        <v>13</v>
      </c>
      <c r="J28" s="7" t="s">
        <v>14</v>
      </c>
      <c r="K28" s="7" t="s">
        <v>14</v>
      </c>
      <c r="L28" s="7" t="s">
        <v>14</v>
      </c>
      <c r="M28" s="7" t="s">
        <v>14</v>
      </c>
      <c r="N28" s="7" t="s">
        <v>14</v>
      </c>
      <c r="O28" s="7" t="s">
        <v>14</v>
      </c>
      <c r="P28" s="6" t="s">
        <v>13</v>
      </c>
      <c r="Q28" s="7" t="s">
        <v>14</v>
      </c>
      <c r="R28" s="7" t="s">
        <v>14</v>
      </c>
      <c r="S28" s="7" t="s">
        <v>14</v>
      </c>
      <c r="T28" s="7" t="s">
        <v>14</v>
      </c>
      <c r="U28" s="7" t="s">
        <v>14</v>
      </c>
      <c r="V28" s="7" t="s">
        <v>14</v>
      </c>
      <c r="W28" s="6" t="s">
        <v>13</v>
      </c>
      <c r="X28" s="7" t="s">
        <v>14</v>
      </c>
      <c r="Y28" s="7" t="s">
        <v>14</v>
      </c>
      <c r="Z28" s="7" t="s">
        <v>14</v>
      </c>
      <c r="AA28" s="7" t="s">
        <v>14</v>
      </c>
      <c r="AB28" s="7" t="s">
        <v>14</v>
      </c>
      <c r="AC28" s="7" t="s">
        <v>14</v>
      </c>
      <c r="AD28" s="6" t="s">
        <v>13</v>
      </c>
      <c r="AE28" s="7" t="s">
        <v>14</v>
      </c>
      <c r="AF28" s="7" t="s">
        <v>14</v>
      </c>
      <c r="AG28" s="7" t="s">
        <v>14</v>
      </c>
      <c r="AH28" s="7" t="s">
        <v>14</v>
      </c>
      <c r="AI28" s="7" t="s">
        <v>14</v>
      </c>
      <c r="AJ28" s="7" t="s">
        <v>14</v>
      </c>
      <c r="AK28" s="6" t="s">
        <v>13</v>
      </c>
      <c r="AL28" s="3"/>
      <c r="AM28" s="3"/>
      <c r="AN28" s="3"/>
      <c r="AO28" s="3"/>
      <c r="AP28" s="3"/>
    </row>
    <row r="29" spans="1:42" ht="15.75" customHeight="1" x14ac:dyDescent="0.2">
      <c r="A29" s="4">
        <v>28</v>
      </c>
      <c r="B29" s="5">
        <v>320</v>
      </c>
      <c r="C29" s="5" t="s">
        <v>40</v>
      </c>
      <c r="D29" s="5" t="s">
        <v>41</v>
      </c>
      <c r="E29" s="5" t="s">
        <v>39</v>
      </c>
      <c r="F29" s="5" t="s">
        <v>17</v>
      </c>
      <c r="G29" s="11">
        <v>45847</v>
      </c>
      <c r="H29" s="6" t="s">
        <v>12</v>
      </c>
      <c r="I29" s="6" t="s">
        <v>13</v>
      </c>
      <c r="J29" s="7" t="s">
        <v>14</v>
      </c>
      <c r="K29" s="10">
        <v>0.33402777777777776</v>
      </c>
      <c r="L29" s="10">
        <v>0.38055555555555554</v>
      </c>
      <c r="M29" s="10">
        <v>0.37638888888888888</v>
      </c>
      <c r="N29" s="10">
        <v>0.37708333333333333</v>
      </c>
      <c r="O29" s="7" t="s">
        <v>14</v>
      </c>
      <c r="P29" s="6" t="s">
        <v>13</v>
      </c>
      <c r="Q29" s="10">
        <v>0.37847222222222221</v>
      </c>
      <c r="R29" s="7" t="s">
        <v>14</v>
      </c>
      <c r="S29" s="10">
        <v>0.32500000000000001</v>
      </c>
      <c r="T29" s="10">
        <v>0.3659722222222222</v>
      </c>
      <c r="U29" s="10">
        <v>0.38194444444444442</v>
      </c>
      <c r="V29" s="7" t="s">
        <v>14</v>
      </c>
      <c r="W29" s="6" t="s">
        <v>13</v>
      </c>
      <c r="X29" s="7" t="s">
        <v>14</v>
      </c>
      <c r="Y29" s="7" t="s">
        <v>14</v>
      </c>
      <c r="Z29" s="7" t="s">
        <v>14</v>
      </c>
      <c r="AA29" s="10">
        <v>0.37777777777777777</v>
      </c>
      <c r="AB29" s="7" t="s">
        <v>14</v>
      </c>
      <c r="AC29" s="7" t="s">
        <v>14</v>
      </c>
      <c r="AD29" s="6" t="s">
        <v>13</v>
      </c>
      <c r="AE29" s="10">
        <v>0.36249999999999999</v>
      </c>
      <c r="AF29" s="10">
        <v>0.36180555555555555</v>
      </c>
      <c r="AG29" s="10">
        <v>0.37777777777777777</v>
      </c>
      <c r="AH29" s="10">
        <v>0.33750000000000002</v>
      </c>
      <c r="AI29" s="10">
        <v>0.37777777777777777</v>
      </c>
      <c r="AJ29" s="10">
        <v>0.30763888888888891</v>
      </c>
      <c r="AK29" s="6" t="s">
        <v>13</v>
      </c>
      <c r="AL29" s="3"/>
      <c r="AM29" s="3"/>
      <c r="AN29" s="3"/>
      <c r="AO29" s="3"/>
      <c r="AP29" s="3"/>
    </row>
    <row r="30" spans="1:42" ht="15.75" customHeight="1" x14ac:dyDescent="0.2">
      <c r="A30" s="4">
        <v>29</v>
      </c>
      <c r="B30" s="5">
        <v>321</v>
      </c>
      <c r="C30" s="5" t="s">
        <v>42</v>
      </c>
      <c r="D30" s="5" t="s">
        <v>8</v>
      </c>
      <c r="E30" s="5" t="s">
        <v>9</v>
      </c>
      <c r="F30" s="5" t="s">
        <v>17</v>
      </c>
      <c r="G30" s="11">
        <v>45848</v>
      </c>
      <c r="H30" s="6" t="s">
        <v>12</v>
      </c>
      <c r="I30" s="6" t="s">
        <v>13</v>
      </c>
      <c r="J30" s="9">
        <v>0.37569444444444444</v>
      </c>
      <c r="K30" s="10">
        <v>0.38611111111111113</v>
      </c>
      <c r="L30" s="10">
        <v>0.37916666666666665</v>
      </c>
      <c r="M30" s="10">
        <v>0.37361111111111112</v>
      </c>
      <c r="N30" s="10">
        <v>0.38750000000000001</v>
      </c>
      <c r="O30" s="10">
        <v>0.38194444444444442</v>
      </c>
      <c r="P30" s="6" t="s">
        <v>13</v>
      </c>
      <c r="Q30" s="10">
        <v>0.37777777777777777</v>
      </c>
      <c r="R30" s="10">
        <v>0.38541666666666669</v>
      </c>
      <c r="S30" s="10">
        <v>0.37361111111111112</v>
      </c>
      <c r="T30" s="10">
        <v>0.40694444444444444</v>
      </c>
      <c r="U30" s="10">
        <v>0.37083333333333335</v>
      </c>
      <c r="V30" s="7" t="s">
        <v>14</v>
      </c>
      <c r="W30" s="6" t="s">
        <v>13</v>
      </c>
      <c r="X30" s="10">
        <v>0.3888888888888889</v>
      </c>
      <c r="Y30" s="10">
        <v>0.40208333333333335</v>
      </c>
      <c r="Z30" s="10">
        <v>0.40694444444444444</v>
      </c>
      <c r="AA30" s="10">
        <v>0.38958333333333334</v>
      </c>
      <c r="AB30" s="10">
        <v>0.39444444444444443</v>
      </c>
      <c r="AC30" s="10">
        <v>0.37916666666666665</v>
      </c>
      <c r="AD30" s="6" t="s">
        <v>13</v>
      </c>
      <c r="AE30" s="10">
        <v>0.3840277777777778</v>
      </c>
      <c r="AF30" s="10">
        <v>0.39513888888888887</v>
      </c>
      <c r="AG30" s="10">
        <v>0.40069444444444446</v>
      </c>
      <c r="AH30" s="10">
        <v>0.39652777777777776</v>
      </c>
      <c r="AI30" s="10">
        <v>0.39027777777777778</v>
      </c>
      <c r="AJ30" s="10">
        <v>0.37777777777777777</v>
      </c>
      <c r="AK30" s="6" t="s">
        <v>13</v>
      </c>
      <c r="AL30" s="3"/>
      <c r="AM30" s="3"/>
      <c r="AN30" s="3"/>
      <c r="AO30" s="3"/>
      <c r="AP30" s="3"/>
    </row>
    <row r="31" spans="1:42" ht="15" x14ac:dyDescent="0.2">
      <c r="A31" s="4">
        <v>30</v>
      </c>
      <c r="B31" s="5">
        <v>322</v>
      </c>
      <c r="C31" s="5" t="s">
        <v>43</v>
      </c>
      <c r="D31" s="5" t="s">
        <v>44</v>
      </c>
      <c r="E31" s="5" t="s">
        <v>28</v>
      </c>
      <c r="F31" s="5" t="s">
        <v>17</v>
      </c>
      <c r="G31" s="11">
        <v>45849</v>
      </c>
      <c r="H31" s="6" t="s">
        <v>12</v>
      </c>
      <c r="I31" s="6" t="s">
        <v>13</v>
      </c>
      <c r="J31" s="9">
        <v>0.3840277777777778</v>
      </c>
      <c r="K31" s="10">
        <v>0.38055555555555554</v>
      </c>
      <c r="L31" s="10">
        <v>0.37916666666666665</v>
      </c>
      <c r="M31" s="10">
        <v>0.37638888888888888</v>
      </c>
      <c r="N31" s="10">
        <v>0.37430555555555556</v>
      </c>
      <c r="O31" s="7" t="s">
        <v>14</v>
      </c>
      <c r="P31" s="6" t="s">
        <v>13</v>
      </c>
      <c r="Q31" s="10">
        <v>0.38611111111111113</v>
      </c>
      <c r="R31" s="10">
        <v>0.38263888888888886</v>
      </c>
      <c r="S31" s="10">
        <v>0.37430555555555556</v>
      </c>
      <c r="T31" s="10">
        <v>0.37986111111111109</v>
      </c>
      <c r="U31" s="10">
        <v>0.29097222222222224</v>
      </c>
      <c r="V31" s="10">
        <v>0.37291666666666667</v>
      </c>
      <c r="W31" s="6" t="s">
        <v>13</v>
      </c>
      <c r="X31" s="10">
        <v>0.3659722222222222</v>
      </c>
      <c r="Y31" s="10">
        <v>0.37430555555555556</v>
      </c>
      <c r="Z31" s="10">
        <v>0.38472222222222224</v>
      </c>
      <c r="AA31" s="10">
        <v>0.37638888888888888</v>
      </c>
      <c r="AB31" s="10">
        <v>0.34930555555555554</v>
      </c>
      <c r="AC31" s="10">
        <v>0.38333333333333336</v>
      </c>
      <c r="AD31" s="6" t="s">
        <v>13</v>
      </c>
      <c r="AE31" s="10">
        <v>0.37777777777777777</v>
      </c>
      <c r="AF31" s="10">
        <v>0.37430555555555556</v>
      </c>
      <c r="AG31" s="10">
        <v>0.38263888888888886</v>
      </c>
      <c r="AH31" s="10">
        <v>0.37916666666666665</v>
      </c>
      <c r="AI31" s="10">
        <v>0.37569444444444444</v>
      </c>
      <c r="AJ31" s="10">
        <v>0.33680555555555558</v>
      </c>
      <c r="AK31" s="6" t="s">
        <v>13</v>
      </c>
      <c r="AL31" s="3"/>
      <c r="AM31" s="3"/>
      <c r="AN31" s="3"/>
      <c r="AO31" s="3"/>
      <c r="AP31" s="3"/>
    </row>
    <row r="32" spans="1:42" ht="15" x14ac:dyDescent="0.2">
      <c r="A32" s="4">
        <v>31</v>
      </c>
      <c r="B32" s="5">
        <v>323</v>
      </c>
      <c r="C32" s="5" t="s">
        <v>45</v>
      </c>
      <c r="D32" s="5" t="s">
        <v>46</v>
      </c>
      <c r="E32" s="5" t="s">
        <v>9</v>
      </c>
      <c r="F32" s="5" t="s">
        <v>17</v>
      </c>
      <c r="G32" s="5" t="s">
        <v>47</v>
      </c>
      <c r="H32" s="6" t="s">
        <v>12</v>
      </c>
      <c r="I32" s="6" t="s">
        <v>13</v>
      </c>
      <c r="J32" s="7" t="s">
        <v>14</v>
      </c>
      <c r="K32" s="10">
        <v>0.38263888888888886</v>
      </c>
      <c r="L32" s="10">
        <v>0.38333333333333336</v>
      </c>
      <c r="M32" s="10">
        <v>0.36666666666666664</v>
      </c>
      <c r="N32" s="10">
        <v>0.3576388888888889</v>
      </c>
      <c r="O32" s="10">
        <v>0.38819444444444445</v>
      </c>
      <c r="P32" s="6" t="s">
        <v>13</v>
      </c>
      <c r="Q32" s="10">
        <v>0.38472222222222224</v>
      </c>
      <c r="R32" s="10">
        <v>0.37638888888888888</v>
      </c>
      <c r="S32" s="10">
        <v>0.37708333333333333</v>
      </c>
      <c r="T32" s="10">
        <v>0.37569444444444444</v>
      </c>
      <c r="U32" s="10">
        <v>0.40416666666666667</v>
      </c>
      <c r="V32" s="7" t="s">
        <v>14</v>
      </c>
      <c r="W32" s="6" t="s">
        <v>13</v>
      </c>
      <c r="X32" s="10">
        <v>0.37847222222222221</v>
      </c>
      <c r="Y32" s="10">
        <v>0.37708333333333333</v>
      </c>
      <c r="Z32" s="10">
        <v>0.37638888888888888</v>
      </c>
      <c r="AA32" s="10">
        <v>0.38124999999999998</v>
      </c>
      <c r="AB32" s="10">
        <v>0.37638888888888888</v>
      </c>
      <c r="AC32" s="10">
        <v>0.37708333333333333</v>
      </c>
      <c r="AD32" s="6" t="s">
        <v>13</v>
      </c>
      <c r="AE32" s="10">
        <v>0.37430555555555556</v>
      </c>
      <c r="AF32" s="10">
        <v>0</v>
      </c>
      <c r="AG32" s="7" t="s">
        <v>14</v>
      </c>
      <c r="AH32" s="10">
        <v>0.37569444444444444</v>
      </c>
      <c r="AI32" s="10">
        <v>0.38124999999999998</v>
      </c>
      <c r="AJ32" s="10">
        <v>0.35694444444444445</v>
      </c>
      <c r="AK32" s="6" t="s">
        <v>13</v>
      </c>
      <c r="AL32" s="3"/>
      <c r="AM32" s="3"/>
      <c r="AN32" s="3"/>
      <c r="AO32" s="3"/>
      <c r="AP32" s="3"/>
    </row>
    <row r="33" spans="1:42" ht="15" x14ac:dyDescent="0.2">
      <c r="A33" s="4">
        <v>32</v>
      </c>
      <c r="B33" s="5">
        <v>326</v>
      </c>
      <c r="C33" s="5" t="s">
        <v>345</v>
      </c>
      <c r="D33" s="5" t="s">
        <v>346</v>
      </c>
      <c r="E33" s="5" t="s">
        <v>9</v>
      </c>
      <c r="F33" s="5" t="s">
        <v>17</v>
      </c>
      <c r="G33" s="5" t="s">
        <v>347</v>
      </c>
      <c r="H33" s="6" t="s">
        <v>12</v>
      </c>
      <c r="I33" s="6" t="s">
        <v>13</v>
      </c>
      <c r="J33" s="9">
        <v>0.33819444444444446</v>
      </c>
      <c r="K33" s="10">
        <v>0.33819444444444446</v>
      </c>
      <c r="L33" s="10">
        <v>0.37847222222222221</v>
      </c>
      <c r="M33" s="10">
        <v>0.36805555555555558</v>
      </c>
      <c r="N33" s="10">
        <v>0.37430555555555556</v>
      </c>
      <c r="O33" s="7" t="s">
        <v>14</v>
      </c>
      <c r="P33" s="6" t="s">
        <v>13</v>
      </c>
      <c r="Q33" s="10">
        <v>0.37361111111111112</v>
      </c>
      <c r="R33" s="10">
        <v>0.37222222222222223</v>
      </c>
      <c r="S33" s="10">
        <v>0.37361111111111112</v>
      </c>
      <c r="T33" s="10">
        <v>0.37361111111111112</v>
      </c>
      <c r="U33" s="10">
        <v>0.37569444444444444</v>
      </c>
      <c r="V33" s="10">
        <v>0.375</v>
      </c>
      <c r="W33" s="6" t="s">
        <v>13</v>
      </c>
      <c r="X33" s="10">
        <v>0.37222222222222223</v>
      </c>
      <c r="Y33" s="10">
        <v>0.37222222222222223</v>
      </c>
      <c r="Z33" s="10">
        <v>0.375</v>
      </c>
      <c r="AA33" s="10">
        <v>0.37222222222222223</v>
      </c>
      <c r="AB33" s="7" t="s">
        <v>14</v>
      </c>
      <c r="AC33" s="10">
        <v>0.37222222222222223</v>
      </c>
      <c r="AD33" s="6" t="s">
        <v>13</v>
      </c>
      <c r="AE33" s="10">
        <v>0.37222222222222223</v>
      </c>
      <c r="AF33" s="10">
        <v>0.37569444444444444</v>
      </c>
      <c r="AG33" s="10">
        <v>0.37291666666666667</v>
      </c>
      <c r="AH33" s="10">
        <v>0.37222222222222223</v>
      </c>
      <c r="AI33" s="10">
        <v>0.37361111111111112</v>
      </c>
      <c r="AJ33" s="10">
        <v>0.37708333333333333</v>
      </c>
      <c r="AK33" s="6" t="s">
        <v>13</v>
      </c>
      <c r="AL33" s="3"/>
      <c r="AM33" s="3"/>
      <c r="AN33" s="3"/>
      <c r="AO33" s="3"/>
      <c r="AP33" s="3"/>
    </row>
    <row r="34" spans="1:42" ht="15" x14ac:dyDescent="0.2">
      <c r="A34" s="4">
        <v>33</v>
      </c>
      <c r="B34" s="5">
        <v>328</v>
      </c>
      <c r="C34" s="5" t="s">
        <v>48</v>
      </c>
      <c r="D34" s="5" t="s">
        <v>49</v>
      </c>
      <c r="E34" s="5" t="s">
        <v>9</v>
      </c>
      <c r="F34" s="5" t="s">
        <v>17</v>
      </c>
      <c r="G34" s="5" t="s">
        <v>50</v>
      </c>
      <c r="H34" s="6" t="s">
        <v>12</v>
      </c>
      <c r="I34" s="6" t="s">
        <v>13</v>
      </c>
      <c r="J34" s="9">
        <v>0.37013888888888891</v>
      </c>
      <c r="K34" s="10">
        <v>0.38333333333333336</v>
      </c>
      <c r="L34" s="10">
        <v>0.40902777777777777</v>
      </c>
      <c r="M34" s="10">
        <v>0.37083333333333335</v>
      </c>
      <c r="N34" s="10">
        <v>0.35208333333333336</v>
      </c>
      <c r="O34" s="10">
        <v>0.36875000000000002</v>
      </c>
      <c r="P34" s="6" t="s">
        <v>13</v>
      </c>
      <c r="Q34" s="7" t="s">
        <v>14</v>
      </c>
      <c r="R34" s="10">
        <v>0.36388888888888887</v>
      </c>
      <c r="S34" s="10">
        <v>0.36319444444444443</v>
      </c>
      <c r="T34" s="10">
        <v>0.37152777777777779</v>
      </c>
      <c r="U34" s="10">
        <v>0.35972222222222222</v>
      </c>
      <c r="V34" s="7" t="s">
        <v>14</v>
      </c>
      <c r="W34" s="6" t="s">
        <v>13</v>
      </c>
      <c r="X34" s="7" t="s">
        <v>14</v>
      </c>
      <c r="Y34" s="7" t="s">
        <v>14</v>
      </c>
      <c r="Z34" s="7" t="s">
        <v>14</v>
      </c>
      <c r="AA34" s="7" t="s">
        <v>14</v>
      </c>
      <c r="AB34" s="10">
        <v>0</v>
      </c>
      <c r="AC34" s="10">
        <v>0.36944444444444446</v>
      </c>
      <c r="AD34" s="6" t="s">
        <v>13</v>
      </c>
      <c r="AE34" s="10">
        <v>0.38124999999999998</v>
      </c>
      <c r="AF34" s="10">
        <v>0.36388888888888887</v>
      </c>
      <c r="AG34" s="10">
        <v>0.37430555555555556</v>
      </c>
      <c r="AH34" s="10">
        <v>0.39166666666666666</v>
      </c>
      <c r="AI34" s="10">
        <v>0.39166666666666666</v>
      </c>
      <c r="AJ34" s="10">
        <v>0.35972222222222222</v>
      </c>
      <c r="AK34" s="6" t="s">
        <v>13</v>
      </c>
      <c r="AL34" s="3"/>
      <c r="AM34" s="3"/>
      <c r="AN34" s="3"/>
      <c r="AO34" s="3"/>
      <c r="AP34" s="3"/>
    </row>
    <row r="35" spans="1:42" ht="15" x14ac:dyDescent="0.2">
      <c r="A35" s="4">
        <v>34</v>
      </c>
      <c r="B35" s="5">
        <v>329</v>
      </c>
      <c r="C35" s="5" t="s">
        <v>369</v>
      </c>
      <c r="D35" s="5" t="s">
        <v>49</v>
      </c>
      <c r="E35" s="5" t="s">
        <v>9</v>
      </c>
      <c r="F35" s="5" t="s">
        <v>17</v>
      </c>
      <c r="G35" s="5" t="s">
        <v>50</v>
      </c>
      <c r="H35" s="6" t="s">
        <v>12</v>
      </c>
      <c r="I35" s="6" t="s">
        <v>13</v>
      </c>
      <c r="J35" s="9">
        <v>0.36944444444444446</v>
      </c>
      <c r="K35" s="10">
        <v>0.38333333333333336</v>
      </c>
      <c r="L35" s="10">
        <v>0.37986111111111109</v>
      </c>
      <c r="M35" s="10">
        <v>0.36944444444444446</v>
      </c>
      <c r="N35" s="10">
        <v>0.35208333333333336</v>
      </c>
      <c r="O35" s="10">
        <v>0.36944444444444446</v>
      </c>
      <c r="P35" s="6" t="s">
        <v>13</v>
      </c>
      <c r="Q35" s="10">
        <v>0.37777777777777777</v>
      </c>
      <c r="R35" s="10">
        <v>0.36458333333333331</v>
      </c>
      <c r="S35" s="10">
        <v>0.36319444444444443</v>
      </c>
      <c r="T35" s="7" t="s">
        <v>14</v>
      </c>
      <c r="U35" s="10">
        <v>0.36041666666666666</v>
      </c>
      <c r="V35" s="7" t="s">
        <v>14</v>
      </c>
      <c r="W35" s="6" t="s">
        <v>13</v>
      </c>
      <c r="X35" s="10">
        <v>0.37361111111111112</v>
      </c>
      <c r="Y35" s="10">
        <v>0.37430555555555556</v>
      </c>
      <c r="Z35" s="10">
        <v>0.37638888888888888</v>
      </c>
      <c r="AA35" s="10">
        <v>0.37708333333333333</v>
      </c>
      <c r="AB35" s="10">
        <v>0.37013888888888891</v>
      </c>
      <c r="AC35" s="10">
        <v>0.34861111111111109</v>
      </c>
      <c r="AD35" s="6" t="s">
        <v>13</v>
      </c>
      <c r="AE35" s="10">
        <v>0.3659722222222222</v>
      </c>
      <c r="AF35" s="10">
        <v>0.36458333333333331</v>
      </c>
      <c r="AG35" s="10">
        <v>0.375</v>
      </c>
      <c r="AH35" s="10">
        <v>0.39097222222222222</v>
      </c>
      <c r="AI35" s="10">
        <v>0.37222222222222223</v>
      </c>
      <c r="AJ35" s="10">
        <v>0.35972222222222222</v>
      </c>
      <c r="AK35" s="6" t="s">
        <v>13</v>
      </c>
      <c r="AL35" s="3"/>
      <c r="AM35" s="3"/>
      <c r="AN35" s="3"/>
      <c r="AO35" s="3"/>
      <c r="AP35" s="3"/>
    </row>
    <row r="36" spans="1:42" ht="15" x14ac:dyDescent="0.2">
      <c r="A36" s="4">
        <v>35</v>
      </c>
      <c r="B36" s="5">
        <v>330</v>
      </c>
      <c r="C36" s="5" t="s">
        <v>51</v>
      </c>
      <c r="D36" s="5" t="s">
        <v>49</v>
      </c>
      <c r="E36" s="5" t="s">
        <v>9</v>
      </c>
      <c r="F36" s="5" t="s">
        <v>17</v>
      </c>
      <c r="G36" s="5" t="s">
        <v>50</v>
      </c>
      <c r="H36" s="6" t="s">
        <v>12</v>
      </c>
      <c r="I36" s="6" t="s">
        <v>13</v>
      </c>
      <c r="J36" s="9">
        <v>0.36319444444444443</v>
      </c>
      <c r="K36" s="10">
        <v>0.40694444444444444</v>
      </c>
      <c r="L36" s="10">
        <v>0.31180555555555556</v>
      </c>
      <c r="M36" s="10">
        <v>0.31736111111111109</v>
      </c>
      <c r="N36" s="10">
        <v>0.35694444444444445</v>
      </c>
      <c r="O36" s="10">
        <v>0.37986111111111109</v>
      </c>
      <c r="P36" s="6" t="s">
        <v>13</v>
      </c>
      <c r="Q36" s="7" t="s">
        <v>14</v>
      </c>
      <c r="R36" s="10">
        <v>0.37638888888888888</v>
      </c>
      <c r="S36" s="7" t="s">
        <v>14</v>
      </c>
      <c r="T36" s="10">
        <v>0</v>
      </c>
      <c r="U36" s="10">
        <v>0.36458333333333331</v>
      </c>
      <c r="V36" s="10">
        <v>0.36736111111111114</v>
      </c>
      <c r="W36" s="6" t="s">
        <v>13</v>
      </c>
      <c r="X36" s="10">
        <v>0.35555555555555557</v>
      </c>
      <c r="Y36" s="10">
        <v>0.37013888888888891</v>
      </c>
      <c r="Z36" s="10">
        <v>0.38124999999999998</v>
      </c>
      <c r="AA36" s="10">
        <v>0.38680555555555557</v>
      </c>
      <c r="AB36" s="10">
        <v>0.38819444444444445</v>
      </c>
      <c r="AC36" s="10">
        <v>0.42499999999999999</v>
      </c>
      <c r="AD36" s="6" t="s">
        <v>13</v>
      </c>
      <c r="AE36" s="10">
        <v>0.34930555555555554</v>
      </c>
      <c r="AF36" s="10">
        <v>0.40069444444444446</v>
      </c>
      <c r="AG36" s="10">
        <v>0.45347222222222222</v>
      </c>
      <c r="AH36" s="10">
        <v>0.40277777777777779</v>
      </c>
      <c r="AI36" s="10">
        <v>0.37569444444444444</v>
      </c>
      <c r="AJ36" s="10">
        <v>0.3527777777777778</v>
      </c>
      <c r="AK36" s="6" t="s">
        <v>13</v>
      </c>
      <c r="AL36" s="3"/>
      <c r="AM36" s="3"/>
      <c r="AN36" s="3"/>
      <c r="AO36" s="3"/>
      <c r="AP36" s="3"/>
    </row>
    <row r="37" spans="1:42" ht="15" x14ac:dyDescent="0.2">
      <c r="A37" s="4">
        <v>36</v>
      </c>
      <c r="B37" s="5">
        <v>331</v>
      </c>
      <c r="C37" s="5" t="s">
        <v>52</v>
      </c>
      <c r="D37" s="5" t="s">
        <v>49</v>
      </c>
      <c r="E37" s="5" t="s">
        <v>9</v>
      </c>
      <c r="F37" s="5" t="s">
        <v>17</v>
      </c>
      <c r="G37" s="5" t="s">
        <v>50</v>
      </c>
      <c r="H37" s="6" t="s">
        <v>12</v>
      </c>
      <c r="I37" s="6" t="s">
        <v>13</v>
      </c>
      <c r="J37" s="7" t="s">
        <v>14</v>
      </c>
      <c r="K37" s="10">
        <v>0.38819444444444445</v>
      </c>
      <c r="L37" s="10">
        <v>0.38124999999999998</v>
      </c>
      <c r="M37" s="10">
        <v>0.37569444444444444</v>
      </c>
      <c r="N37" s="10">
        <v>0.3659722222222222</v>
      </c>
      <c r="O37" s="7" t="s">
        <v>14</v>
      </c>
      <c r="P37" s="6" t="s">
        <v>13</v>
      </c>
      <c r="Q37" s="10">
        <v>0.38958333333333334</v>
      </c>
      <c r="R37" s="10">
        <v>0.38124999999999998</v>
      </c>
      <c r="S37" s="10">
        <v>0.37152777777777779</v>
      </c>
      <c r="T37" s="10">
        <v>0.38958333333333334</v>
      </c>
      <c r="U37" s="10">
        <v>0.37291666666666667</v>
      </c>
      <c r="V37" s="10">
        <v>0.18472222222222223</v>
      </c>
      <c r="W37" s="6" t="s">
        <v>13</v>
      </c>
      <c r="X37" s="7" t="s">
        <v>14</v>
      </c>
      <c r="Y37" s="10">
        <v>0.37986111111111109</v>
      </c>
      <c r="Z37" s="10">
        <v>0.40208333333333335</v>
      </c>
      <c r="AA37" s="10">
        <v>0.37986111111111109</v>
      </c>
      <c r="AB37" s="10">
        <v>0.41111111111111109</v>
      </c>
      <c r="AC37" s="10">
        <v>0.33333333333333331</v>
      </c>
      <c r="AD37" s="6" t="s">
        <v>13</v>
      </c>
      <c r="AE37" s="10">
        <v>0.40138888888888891</v>
      </c>
      <c r="AF37" s="10">
        <v>0.36666666666666664</v>
      </c>
      <c r="AG37" s="10">
        <v>0.38680555555555557</v>
      </c>
      <c r="AH37" s="10">
        <v>0.37916666666666665</v>
      </c>
      <c r="AI37" s="10">
        <v>0.39097222222222222</v>
      </c>
      <c r="AJ37" s="10">
        <v>0</v>
      </c>
      <c r="AK37" s="6" t="s">
        <v>13</v>
      </c>
      <c r="AL37" s="3"/>
      <c r="AM37" s="3"/>
      <c r="AN37" s="3"/>
      <c r="AO37" s="3"/>
      <c r="AP37" s="3"/>
    </row>
    <row r="38" spans="1:42" ht="15" x14ac:dyDescent="0.2">
      <c r="A38" s="4">
        <v>37</v>
      </c>
      <c r="B38" s="5">
        <v>332</v>
      </c>
      <c r="C38" s="5" t="s">
        <v>53</v>
      </c>
      <c r="D38" s="5" t="s">
        <v>49</v>
      </c>
      <c r="E38" s="5" t="s">
        <v>39</v>
      </c>
      <c r="F38" s="5" t="s">
        <v>17</v>
      </c>
      <c r="G38" s="5" t="s">
        <v>50</v>
      </c>
      <c r="H38" s="6" t="s">
        <v>12</v>
      </c>
      <c r="I38" s="6" t="s">
        <v>13</v>
      </c>
      <c r="J38" s="7" t="s">
        <v>14</v>
      </c>
      <c r="K38" s="10">
        <v>0.38819444444444445</v>
      </c>
      <c r="L38" s="10">
        <v>0.38124999999999998</v>
      </c>
      <c r="M38" s="10">
        <v>0.37638888888888888</v>
      </c>
      <c r="N38" s="10">
        <v>0.36527777777777776</v>
      </c>
      <c r="O38" s="7" t="s">
        <v>14</v>
      </c>
      <c r="P38" s="6" t="s">
        <v>13</v>
      </c>
      <c r="Q38" s="10">
        <v>0.3888888888888889</v>
      </c>
      <c r="R38" s="10">
        <v>0.38541666666666669</v>
      </c>
      <c r="S38" s="10">
        <v>0.37152777777777779</v>
      </c>
      <c r="T38" s="10">
        <v>0.39097222222222222</v>
      </c>
      <c r="U38" s="10">
        <v>0.37291666666666667</v>
      </c>
      <c r="V38" s="10">
        <v>0.28888888888888886</v>
      </c>
      <c r="W38" s="6" t="s">
        <v>13</v>
      </c>
      <c r="X38" s="10">
        <v>0</v>
      </c>
      <c r="Y38" s="10">
        <v>0.37916666666666665</v>
      </c>
      <c r="Z38" s="10">
        <v>0.39930555555555558</v>
      </c>
      <c r="AA38" s="10">
        <v>0.37916666666666665</v>
      </c>
      <c r="AB38" s="10">
        <v>0.41041666666666665</v>
      </c>
      <c r="AC38" s="7" t="s">
        <v>14</v>
      </c>
      <c r="AD38" s="6" t="s">
        <v>13</v>
      </c>
      <c r="AE38" s="10">
        <v>0.41875000000000001</v>
      </c>
      <c r="AF38" s="10">
        <v>0.36666666666666664</v>
      </c>
      <c r="AG38" s="10">
        <v>0.38680555555555557</v>
      </c>
      <c r="AH38" s="10">
        <v>0.38263888888888886</v>
      </c>
      <c r="AI38" s="10">
        <v>0.39097222222222222</v>
      </c>
      <c r="AJ38" s="10">
        <v>0.18680555555555556</v>
      </c>
      <c r="AK38" s="6" t="s">
        <v>13</v>
      </c>
      <c r="AL38" s="3"/>
      <c r="AM38" s="3"/>
      <c r="AN38" s="3"/>
      <c r="AO38" s="3"/>
      <c r="AP38" s="3"/>
    </row>
    <row r="39" spans="1:42" ht="15" x14ac:dyDescent="0.2">
      <c r="A39" s="4">
        <v>38</v>
      </c>
      <c r="B39" s="5">
        <v>335</v>
      </c>
      <c r="C39" s="5" t="s">
        <v>366</v>
      </c>
      <c r="D39" s="5" t="s">
        <v>34</v>
      </c>
      <c r="E39" s="5" t="s">
        <v>124</v>
      </c>
      <c r="F39" s="5" t="s">
        <v>17</v>
      </c>
      <c r="G39" s="5" t="s">
        <v>367</v>
      </c>
      <c r="H39" s="6" t="s">
        <v>12</v>
      </c>
      <c r="I39" s="6" t="s">
        <v>13</v>
      </c>
      <c r="J39" s="7" t="s">
        <v>14</v>
      </c>
      <c r="K39" s="7" t="s">
        <v>14</v>
      </c>
      <c r="L39" s="7" t="s">
        <v>14</v>
      </c>
      <c r="M39" s="7" t="s">
        <v>14</v>
      </c>
      <c r="N39" s="7" t="s">
        <v>14</v>
      </c>
      <c r="O39" s="7" t="s">
        <v>14</v>
      </c>
      <c r="P39" s="6" t="s">
        <v>13</v>
      </c>
      <c r="Q39" s="7" t="s">
        <v>14</v>
      </c>
      <c r="R39" s="7" t="s">
        <v>14</v>
      </c>
      <c r="S39" s="7" t="s">
        <v>14</v>
      </c>
      <c r="T39" s="7" t="s">
        <v>14</v>
      </c>
      <c r="U39" s="7" t="s">
        <v>14</v>
      </c>
      <c r="V39" s="7" t="s">
        <v>14</v>
      </c>
      <c r="W39" s="6" t="s">
        <v>13</v>
      </c>
      <c r="X39" s="7" t="s">
        <v>14</v>
      </c>
      <c r="Y39" s="7" t="s">
        <v>14</v>
      </c>
      <c r="Z39" s="7" t="s">
        <v>14</v>
      </c>
      <c r="AA39" s="10">
        <v>0.37430555555555556</v>
      </c>
      <c r="AB39" s="10">
        <v>0.34444444444444444</v>
      </c>
      <c r="AC39" s="10">
        <v>0.37638888888888888</v>
      </c>
      <c r="AD39" s="6" t="s">
        <v>13</v>
      </c>
      <c r="AE39" s="10">
        <v>0.36458333333333331</v>
      </c>
      <c r="AF39" s="10">
        <v>0.35833333333333334</v>
      </c>
      <c r="AG39" s="10">
        <v>0.36805555555555558</v>
      </c>
      <c r="AH39" s="10">
        <v>0.37708333333333333</v>
      </c>
      <c r="AI39" s="10">
        <v>0.38263888888888886</v>
      </c>
      <c r="AJ39" s="7" t="s">
        <v>14</v>
      </c>
      <c r="AK39" s="6" t="s">
        <v>13</v>
      </c>
      <c r="AL39" s="3"/>
      <c r="AM39" s="3"/>
      <c r="AN39" s="3"/>
      <c r="AO39" s="3"/>
      <c r="AP39" s="3"/>
    </row>
    <row r="40" spans="1:42" ht="15" x14ac:dyDescent="0.2">
      <c r="A40" s="4">
        <v>39</v>
      </c>
      <c r="B40" s="5">
        <v>338</v>
      </c>
      <c r="C40" s="5" t="s">
        <v>54</v>
      </c>
      <c r="D40" s="5" t="s">
        <v>55</v>
      </c>
      <c r="E40" s="5" t="s">
        <v>39</v>
      </c>
      <c r="F40" s="5" t="s">
        <v>17</v>
      </c>
      <c r="G40" s="11">
        <v>45870</v>
      </c>
      <c r="H40" s="6" t="s">
        <v>12</v>
      </c>
      <c r="I40" s="6" t="s">
        <v>13</v>
      </c>
      <c r="J40" s="9">
        <v>0.33680555555555558</v>
      </c>
      <c r="K40" s="10">
        <v>0.33750000000000002</v>
      </c>
      <c r="L40" s="10">
        <v>0.37638888888888888</v>
      </c>
      <c r="M40" s="10">
        <v>0.36875000000000002</v>
      </c>
      <c r="N40" s="10">
        <v>0.37430555555555556</v>
      </c>
      <c r="O40" s="7" t="s">
        <v>14</v>
      </c>
      <c r="P40" s="6" t="s">
        <v>13</v>
      </c>
      <c r="Q40" s="10">
        <v>0.37222222222222223</v>
      </c>
      <c r="R40" s="10">
        <v>0.36944444444444446</v>
      </c>
      <c r="S40" s="10">
        <v>0.36944444444444446</v>
      </c>
      <c r="T40" s="10">
        <v>0.37013888888888891</v>
      </c>
      <c r="U40" s="10">
        <v>0.37361111111111112</v>
      </c>
      <c r="V40" s="10">
        <v>0.375</v>
      </c>
      <c r="W40" s="6" t="s">
        <v>13</v>
      </c>
      <c r="X40" s="10">
        <v>0.36944444444444446</v>
      </c>
      <c r="Y40" s="10">
        <v>0.37430555555555556</v>
      </c>
      <c r="Z40" s="10">
        <v>0.375</v>
      </c>
      <c r="AA40" s="10">
        <v>0.37430555555555556</v>
      </c>
      <c r="AB40" s="7" t="s">
        <v>14</v>
      </c>
      <c r="AC40" s="10">
        <v>0.37638888888888888</v>
      </c>
      <c r="AD40" s="6" t="s">
        <v>13</v>
      </c>
      <c r="AE40" s="10">
        <v>0.37430555555555556</v>
      </c>
      <c r="AF40" s="10">
        <v>0.37569444444444444</v>
      </c>
      <c r="AG40" s="10">
        <v>0.375</v>
      </c>
      <c r="AH40" s="10">
        <v>0.37083333333333335</v>
      </c>
      <c r="AI40" s="10">
        <v>0.28888888888888886</v>
      </c>
      <c r="AJ40" s="10">
        <v>0.37708333333333333</v>
      </c>
      <c r="AK40" s="6" t="s">
        <v>13</v>
      </c>
      <c r="AL40" s="3"/>
      <c r="AM40" s="3"/>
      <c r="AN40" s="3"/>
      <c r="AO40" s="3"/>
      <c r="AP40" s="3"/>
    </row>
    <row r="41" spans="1:42" ht="15" x14ac:dyDescent="0.2">
      <c r="A41" s="4">
        <v>40</v>
      </c>
      <c r="B41" s="5">
        <v>339</v>
      </c>
      <c r="C41" s="5" t="s">
        <v>356</v>
      </c>
      <c r="D41" s="5" t="s">
        <v>357</v>
      </c>
      <c r="E41" s="5" t="s">
        <v>137</v>
      </c>
      <c r="F41" s="5" t="s">
        <v>17</v>
      </c>
      <c r="G41" s="5" t="s">
        <v>358</v>
      </c>
      <c r="H41" s="6" t="s">
        <v>12</v>
      </c>
      <c r="I41" s="6" t="s">
        <v>13</v>
      </c>
      <c r="J41" s="9">
        <v>0.36249999999999999</v>
      </c>
      <c r="K41" s="10">
        <v>0.34861111111111109</v>
      </c>
      <c r="L41" s="10">
        <v>0.34861111111111109</v>
      </c>
      <c r="M41" s="10">
        <v>0.37430555555555556</v>
      </c>
      <c r="N41" s="10">
        <v>0.35347222222222224</v>
      </c>
      <c r="O41" s="7" t="s">
        <v>14</v>
      </c>
      <c r="P41" s="6" t="s">
        <v>13</v>
      </c>
      <c r="Q41" s="10">
        <v>0.36805555555555558</v>
      </c>
      <c r="R41" s="10">
        <v>0.34722222222222221</v>
      </c>
      <c r="S41" s="10">
        <v>0.37083333333333335</v>
      </c>
      <c r="T41" s="7" t="s">
        <v>14</v>
      </c>
      <c r="U41" s="10">
        <v>0.36458333333333331</v>
      </c>
      <c r="V41" s="7" t="s">
        <v>14</v>
      </c>
      <c r="W41" s="6" t="s">
        <v>13</v>
      </c>
      <c r="X41" s="7" t="s">
        <v>14</v>
      </c>
      <c r="Y41" s="10">
        <v>0.36249999999999999</v>
      </c>
      <c r="Z41" s="10">
        <v>0.31319444444444444</v>
      </c>
      <c r="AA41" s="7" t="s">
        <v>14</v>
      </c>
      <c r="AB41" s="10">
        <v>0.36041666666666666</v>
      </c>
      <c r="AC41" s="10">
        <v>0.30902777777777779</v>
      </c>
      <c r="AD41" s="6" t="s">
        <v>13</v>
      </c>
      <c r="AE41" s="10">
        <v>0.36319444444444443</v>
      </c>
      <c r="AF41" s="10">
        <v>0.37847222222222221</v>
      </c>
      <c r="AG41" s="10">
        <v>0.375</v>
      </c>
      <c r="AH41" s="10">
        <v>0.36527777777777776</v>
      </c>
      <c r="AI41" s="10">
        <v>0.36180555555555555</v>
      </c>
      <c r="AJ41" s="10">
        <v>0.32430555555555557</v>
      </c>
      <c r="AK41" s="6" t="s">
        <v>13</v>
      </c>
      <c r="AL41" s="3"/>
      <c r="AM41" s="3"/>
      <c r="AN41" s="3"/>
      <c r="AO41" s="3"/>
      <c r="AP41" s="3"/>
    </row>
    <row r="42" spans="1:42" ht="15" x14ac:dyDescent="0.2">
      <c r="A42" s="4">
        <v>41</v>
      </c>
      <c r="B42" s="5">
        <v>341</v>
      </c>
      <c r="C42" s="5" t="s">
        <v>56</v>
      </c>
      <c r="D42" s="5" t="s">
        <v>38</v>
      </c>
      <c r="E42" s="5" t="s">
        <v>39</v>
      </c>
      <c r="F42" s="5" t="s">
        <v>17</v>
      </c>
      <c r="G42" s="5" t="s">
        <v>57</v>
      </c>
      <c r="H42" s="6" t="s">
        <v>12</v>
      </c>
      <c r="I42" s="6" t="s">
        <v>13</v>
      </c>
      <c r="J42" s="9">
        <v>0.34444444444444444</v>
      </c>
      <c r="K42" s="10">
        <v>0.34305555555555556</v>
      </c>
      <c r="L42" s="10">
        <v>0.38055555555555554</v>
      </c>
      <c r="M42" s="10">
        <v>0.37708333333333333</v>
      </c>
      <c r="N42" s="7" t="s">
        <v>14</v>
      </c>
      <c r="O42" s="7" t="s">
        <v>14</v>
      </c>
      <c r="P42" s="6" t="s">
        <v>13</v>
      </c>
      <c r="Q42" s="10">
        <v>0.37569444444444444</v>
      </c>
      <c r="R42" s="10">
        <v>0.37638888888888888</v>
      </c>
      <c r="S42" s="10">
        <v>0.37708333333333333</v>
      </c>
      <c r="T42" s="10">
        <v>0.37777777777777777</v>
      </c>
      <c r="U42" s="10">
        <v>0.38055555555555554</v>
      </c>
      <c r="V42" s="10">
        <v>0.37777777777777777</v>
      </c>
      <c r="W42" s="6" t="s">
        <v>13</v>
      </c>
      <c r="X42" s="10">
        <v>0.375</v>
      </c>
      <c r="Y42" s="10">
        <v>0.37916666666666665</v>
      </c>
      <c r="Z42" s="7" t="s">
        <v>14</v>
      </c>
      <c r="AA42" s="10">
        <v>0.37777777777777777</v>
      </c>
      <c r="AB42" s="10">
        <v>0.20208333333333334</v>
      </c>
      <c r="AC42" s="7" t="s">
        <v>14</v>
      </c>
      <c r="AD42" s="6" t="s">
        <v>13</v>
      </c>
      <c r="AE42" s="10">
        <v>0.37777777777777777</v>
      </c>
      <c r="AF42" s="10">
        <v>0.37847222222222221</v>
      </c>
      <c r="AG42" s="10">
        <v>0.37638888888888888</v>
      </c>
      <c r="AH42" s="10">
        <v>0.37430555555555556</v>
      </c>
      <c r="AI42" s="10">
        <v>0.33055555555555555</v>
      </c>
      <c r="AJ42" s="7" t="s">
        <v>14</v>
      </c>
      <c r="AK42" s="6" t="s">
        <v>13</v>
      </c>
      <c r="AL42" s="3"/>
      <c r="AM42" s="3"/>
      <c r="AN42" s="3"/>
      <c r="AO42" s="3"/>
      <c r="AP42" s="3"/>
    </row>
    <row r="43" spans="1:42" ht="15" x14ac:dyDescent="0.2">
      <c r="A43" s="4">
        <v>42</v>
      </c>
      <c r="B43" s="5">
        <v>342</v>
      </c>
      <c r="C43" s="5" t="s">
        <v>58</v>
      </c>
      <c r="D43" s="5" t="s">
        <v>44</v>
      </c>
      <c r="E43" s="5" t="s">
        <v>39</v>
      </c>
      <c r="F43" s="5" t="s">
        <v>17</v>
      </c>
      <c r="G43" s="11">
        <v>45697</v>
      </c>
      <c r="H43" s="6" t="s">
        <v>12</v>
      </c>
      <c r="I43" s="6" t="s">
        <v>13</v>
      </c>
      <c r="J43" s="7" t="s">
        <v>14</v>
      </c>
      <c r="K43" s="10">
        <v>0.37777777777777777</v>
      </c>
      <c r="L43" s="10">
        <v>0.37708333333333333</v>
      </c>
      <c r="M43" s="10">
        <v>0.37291666666666667</v>
      </c>
      <c r="N43" s="10">
        <v>0.36249999999999999</v>
      </c>
      <c r="O43" s="10">
        <v>0.36944444444444446</v>
      </c>
      <c r="P43" s="6" t="s">
        <v>13</v>
      </c>
      <c r="Q43" s="10">
        <v>0.37152777777777779</v>
      </c>
      <c r="R43" s="10">
        <v>0.37638888888888888</v>
      </c>
      <c r="S43" s="10">
        <v>0.37361111111111112</v>
      </c>
      <c r="T43" s="10">
        <v>0.37847222222222221</v>
      </c>
      <c r="U43" s="10">
        <v>0.38194444444444442</v>
      </c>
      <c r="V43" s="7" t="s">
        <v>14</v>
      </c>
      <c r="W43" s="6" t="s">
        <v>13</v>
      </c>
      <c r="X43" s="10">
        <v>0.37013888888888891</v>
      </c>
      <c r="Y43" s="10">
        <v>0.37152777777777779</v>
      </c>
      <c r="Z43" s="10">
        <v>0.36805555555555558</v>
      </c>
      <c r="AA43" s="10">
        <v>0.37847222222222221</v>
      </c>
      <c r="AB43" s="10">
        <v>0.37430555555555556</v>
      </c>
      <c r="AC43" s="10">
        <v>0.375</v>
      </c>
      <c r="AD43" s="6" t="s">
        <v>13</v>
      </c>
      <c r="AE43" s="10">
        <v>0.375</v>
      </c>
      <c r="AF43" s="10">
        <v>0.37916666666666665</v>
      </c>
      <c r="AG43" s="10">
        <v>0.38263888888888886</v>
      </c>
      <c r="AH43" s="10">
        <v>0.375</v>
      </c>
      <c r="AI43" s="10">
        <v>0.375</v>
      </c>
      <c r="AJ43" s="10">
        <v>0.37777777777777777</v>
      </c>
      <c r="AK43" s="6" t="s">
        <v>13</v>
      </c>
      <c r="AL43" s="3"/>
      <c r="AM43" s="3"/>
      <c r="AN43" s="3"/>
      <c r="AO43" s="3"/>
      <c r="AP43" s="3"/>
    </row>
    <row r="44" spans="1:42" ht="15" x14ac:dyDescent="0.2">
      <c r="A44" s="4">
        <v>43</v>
      </c>
      <c r="B44" s="5">
        <v>343</v>
      </c>
      <c r="C44" s="5" t="s">
        <v>59</v>
      </c>
      <c r="D44" s="5" t="s">
        <v>8</v>
      </c>
      <c r="E44" s="5" t="s">
        <v>9</v>
      </c>
      <c r="F44" s="5" t="s">
        <v>17</v>
      </c>
      <c r="G44" s="11">
        <v>45909</v>
      </c>
      <c r="H44" s="6" t="s">
        <v>12</v>
      </c>
      <c r="I44" s="6" t="s">
        <v>13</v>
      </c>
      <c r="J44" s="7" t="s">
        <v>14</v>
      </c>
      <c r="K44" s="10">
        <v>0</v>
      </c>
      <c r="L44" s="10">
        <v>0.30694444444444446</v>
      </c>
      <c r="M44" s="10">
        <v>0.3659722222222222</v>
      </c>
      <c r="N44" s="10">
        <v>0</v>
      </c>
      <c r="O44" s="10">
        <v>0.34236111111111112</v>
      </c>
      <c r="P44" s="6" t="s">
        <v>13</v>
      </c>
      <c r="Q44" s="10">
        <v>0.37222222222222223</v>
      </c>
      <c r="R44" s="10">
        <v>0.37638888888888888</v>
      </c>
      <c r="S44" s="7" t="s">
        <v>14</v>
      </c>
      <c r="T44" s="10">
        <v>0.30694444444444446</v>
      </c>
      <c r="U44" s="10">
        <v>0.40416666666666667</v>
      </c>
      <c r="V44" s="10">
        <v>0.28819444444444442</v>
      </c>
      <c r="W44" s="6" t="s">
        <v>13</v>
      </c>
      <c r="X44" s="10">
        <v>0.32916666666666666</v>
      </c>
      <c r="Y44" s="10">
        <v>0.37569444444444444</v>
      </c>
      <c r="Z44" s="10">
        <v>0.37638888888888888</v>
      </c>
      <c r="AA44" s="10">
        <v>0.38124999999999998</v>
      </c>
      <c r="AB44" s="10">
        <v>0.37638888888888888</v>
      </c>
      <c r="AC44" s="10">
        <v>0.37569444444444444</v>
      </c>
      <c r="AD44" s="6" t="s">
        <v>13</v>
      </c>
      <c r="AE44" s="7" t="s">
        <v>14</v>
      </c>
      <c r="AF44" s="7" t="s">
        <v>14</v>
      </c>
      <c r="AG44" s="7" t="s">
        <v>14</v>
      </c>
      <c r="AH44" s="7" t="s">
        <v>14</v>
      </c>
      <c r="AI44" s="10">
        <v>0.38124999999999998</v>
      </c>
      <c r="AJ44" s="10">
        <v>0</v>
      </c>
      <c r="AK44" s="6" t="s">
        <v>13</v>
      </c>
      <c r="AL44" s="3"/>
      <c r="AM44" s="3"/>
      <c r="AN44" s="3"/>
      <c r="AO44" s="3"/>
      <c r="AP44" s="3"/>
    </row>
    <row r="45" spans="1:42" ht="15" x14ac:dyDescent="0.2">
      <c r="A45" s="4">
        <v>44</v>
      </c>
      <c r="B45" s="5">
        <v>344</v>
      </c>
      <c r="C45" s="12" t="s">
        <v>60</v>
      </c>
      <c r="D45" s="5" t="s">
        <v>61</v>
      </c>
      <c r="E45" s="5" t="s">
        <v>62</v>
      </c>
      <c r="F45" s="5" t="s">
        <v>17</v>
      </c>
      <c r="G45" s="5" t="s">
        <v>63</v>
      </c>
      <c r="H45" s="6" t="s">
        <v>12</v>
      </c>
      <c r="I45" s="6" t="s">
        <v>13</v>
      </c>
      <c r="J45" s="7" t="s">
        <v>14</v>
      </c>
      <c r="K45" s="7" t="s">
        <v>14</v>
      </c>
      <c r="L45" s="7" t="s">
        <v>14</v>
      </c>
      <c r="M45" s="7" t="s">
        <v>14</v>
      </c>
      <c r="N45" s="7" t="s">
        <v>14</v>
      </c>
      <c r="O45" s="7" t="s">
        <v>14</v>
      </c>
      <c r="P45" s="6" t="s">
        <v>13</v>
      </c>
      <c r="Q45" s="7" t="s">
        <v>14</v>
      </c>
      <c r="R45" s="7" t="s">
        <v>14</v>
      </c>
      <c r="S45" s="7" t="s">
        <v>14</v>
      </c>
      <c r="T45" s="7" t="s">
        <v>14</v>
      </c>
      <c r="U45" s="7" t="s">
        <v>14</v>
      </c>
      <c r="V45" s="7" t="s">
        <v>14</v>
      </c>
      <c r="W45" s="6" t="s">
        <v>13</v>
      </c>
      <c r="X45" s="7" t="s">
        <v>14</v>
      </c>
      <c r="Y45" s="7" t="s">
        <v>14</v>
      </c>
      <c r="Z45" s="7" t="s">
        <v>14</v>
      </c>
      <c r="AA45" s="7" t="s">
        <v>14</v>
      </c>
      <c r="AB45" s="7" t="s">
        <v>14</v>
      </c>
      <c r="AC45" s="7" t="s">
        <v>14</v>
      </c>
      <c r="AD45" s="6" t="s">
        <v>13</v>
      </c>
      <c r="AE45" s="7" t="s">
        <v>14</v>
      </c>
      <c r="AF45" s="7" t="s">
        <v>14</v>
      </c>
      <c r="AG45" s="7" t="s">
        <v>14</v>
      </c>
      <c r="AH45" s="7" t="s">
        <v>14</v>
      </c>
      <c r="AI45" s="7" t="s">
        <v>14</v>
      </c>
      <c r="AJ45" s="7" t="s">
        <v>14</v>
      </c>
      <c r="AK45" s="6" t="s">
        <v>13</v>
      </c>
      <c r="AL45" s="3"/>
      <c r="AM45" s="3"/>
      <c r="AN45" s="3"/>
      <c r="AO45" s="3"/>
      <c r="AP45" s="3"/>
    </row>
    <row r="46" spans="1:42" ht="15" x14ac:dyDescent="0.2">
      <c r="A46" s="4">
        <v>45</v>
      </c>
      <c r="B46" s="12">
        <v>345</v>
      </c>
      <c r="C46" s="12" t="s">
        <v>64</v>
      </c>
      <c r="D46" s="5" t="s">
        <v>44</v>
      </c>
      <c r="E46" s="5" t="s">
        <v>28</v>
      </c>
      <c r="F46" s="12" t="s">
        <v>17</v>
      </c>
      <c r="G46" s="13">
        <v>45931</v>
      </c>
      <c r="H46" s="6" t="s">
        <v>12</v>
      </c>
      <c r="I46" s="6" t="s">
        <v>13</v>
      </c>
      <c r="J46" s="9">
        <v>0.37847222222222221</v>
      </c>
      <c r="K46" s="10">
        <v>0.35694444444444445</v>
      </c>
      <c r="L46" s="10">
        <v>0.37916666666666665</v>
      </c>
      <c r="M46" s="10">
        <v>0.37638888888888888</v>
      </c>
      <c r="N46" s="10">
        <v>0.37430555555555556</v>
      </c>
      <c r="O46" s="10">
        <v>0.375</v>
      </c>
      <c r="P46" s="6" t="s">
        <v>13</v>
      </c>
      <c r="Q46" s="10">
        <v>0.37430555555555556</v>
      </c>
      <c r="R46" s="10">
        <v>0.37152777777777779</v>
      </c>
      <c r="S46" s="10">
        <v>0.3972222222222222</v>
      </c>
      <c r="T46" s="10">
        <v>0.37430555555555556</v>
      </c>
      <c r="U46" s="10">
        <v>0.28958333333333336</v>
      </c>
      <c r="V46" s="7" t="s">
        <v>14</v>
      </c>
      <c r="W46" s="6" t="s">
        <v>13</v>
      </c>
      <c r="X46" s="10">
        <v>0.38750000000000001</v>
      </c>
      <c r="Y46" s="7" t="s">
        <v>14</v>
      </c>
      <c r="Z46" s="10">
        <v>0.38055555555555554</v>
      </c>
      <c r="AA46" s="10">
        <v>0.37777777777777777</v>
      </c>
      <c r="AB46" s="10">
        <v>0.37777777777777777</v>
      </c>
      <c r="AC46" s="10">
        <v>0.38263888888888886</v>
      </c>
      <c r="AD46" s="6" t="s">
        <v>13</v>
      </c>
      <c r="AE46" s="10">
        <v>0.37847222222222221</v>
      </c>
      <c r="AF46" s="10">
        <v>0.42499999999999999</v>
      </c>
      <c r="AG46" s="10">
        <v>0.41666666666666669</v>
      </c>
      <c r="AH46" s="10">
        <v>0.38263888888888886</v>
      </c>
      <c r="AI46" s="7" t="s">
        <v>14</v>
      </c>
      <c r="AJ46" s="10">
        <v>0.37708333333333333</v>
      </c>
      <c r="AK46" s="6" t="s">
        <v>13</v>
      </c>
      <c r="AL46" s="3"/>
      <c r="AM46" s="3"/>
      <c r="AN46" s="3"/>
      <c r="AO46" s="3"/>
      <c r="AP46" s="3"/>
    </row>
    <row r="47" spans="1:42" ht="15" x14ac:dyDescent="0.2">
      <c r="A47" s="4">
        <v>46</v>
      </c>
      <c r="B47" s="12">
        <v>347</v>
      </c>
      <c r="C47" s="12" t="s">
        <v>65</v>
      </c>
      <c r="D47" s="5" t="s">
        <v>44</v>
      </c>
      <c r="E47" s="12" t="s">
        <v>45</v>
      </c>
      <c r="F47" s="12" t="s">
        <v>17</v>
      </c>
      <c r="G47" s="13">
        <v>45943</v>
      </c>
      <c r="H47" s="6" t="s">
        <v>12</v>
      </c>
      <c r="I47" s="6" t="s">
        <v>13</v>
      </c>
      <c r="J47" s="9">
        <v>0.34236111111111112</v>
      </c>
      <c r="K47" s="7" t="s">
        <v>14</v>
      </c>
      <c r="L47" s="10">
        <v>0.38541666666666669</v>
      </c>
      <c r="M47" s="10">
        <v>0.36458333333333331</v>
      </c>
      <c r="N47" s="10">
        <v>0.34583333333333333</v>
      </c>
      <c r="O47" s="7" t="s">
        <v>14</v>
      </c>
      <c r="P47" s="6" t="s">
        <v>13</v>
      </c>
      <c r="Q47" s="10">
        <v>0.38055555555555554</v>
      </c>
      <c r="R47" s="10">
        <v>0.29722222222222222</v>
      </c>
      <c r="S47" s="10">
        <v>0.3527777777777778</v>
      </c>
      <c r="T47" s="10">
        <v>0.37430555555555556</v>
      </c>
      <c r="U47" s="10">
        <v>0.36944444444444446</v>
      </c>
      <c r="V47" s="10">
        <v>0.37222222222222223</v>
      </c>
      <c r="W47" s="6" t="s">
        <v>13</v>
      </c>
      <c r="X47" s="10">
        <v>1.6666666666666666E-2</v>
      </c>
      <c r="Y47" s="10">
        <v>0.33263888888888887</v>
      </c>
      <c r="Z47" s="10">
        <v>0.34027777777777779</v>
      </c>
      <c r="AA47" s="10">
        <v>0.37152777777777779</v>
      </c>
      <c r="AB47" s="10">
        <v>0.37916666666666665</v>
      </c>
      <c r="AC47" s="10">
        <v>0.34375</v>
      </c>
      <c r="AD47" s="6" t="s">
        <v>13</v>
      </c>
      <c r="AE47" s="10">
        <v>0.37083333333333335</v>
      </c>
      <c r="AF47" s="10">
        <v>0.37361111111111112</v>
      </c>
      <c r="AG47" s="10">
        <v>0.36527777777777776</v>
      </c>
      <c r="AH47" s="10">
        <v>0.40486111111111112</v>
      </c>
      <c r="AI47" s="10">
        <v>0.37430555555555556</v>
      </c>
      <c r="AJ47" s="7" t="s">
        <v>14</v>
      </c>
      <c r="AK47" s="6" t="s">
        <v>13</v>
      </c>
      <c r="AL47" s="3"/>
      <c r="AM47" s="3"/>
      <c r="AN47" s="3"/>
      <c r="AO47" s="3"/>
      <c r="AP47" s="3"/>
    </row>
    <row r="48" spans="1:42" ht="15" x14ac:dyDescent="0.2">
      <c r="A48" s="4">
        <v>47</v>
      </c>
      <c r="B48" s="4">
        <v>348</v>
      </c>
      <c r="C48" s="4" t="s">
        <v>66</v>
      </c>
      <c r="D48" s="4" t="s">
        <v>19</v>
      </c>
      <c r="E48" s="14" t="s">
        <v>28</v>
      </c>
      <c r="F48" s="4" t="s">
        <v>17</v>
      </c>
      <c r="G48" s="15">
        <v>45943</v>
      </c>
      <c r="H48" s="6" t="s">
        <v>12</v>
      </c>
      <c r="I48" s="6" t="s">
        <v>13</v>
      </c>
      <c r="J48" s="9">
        <v>0.34305555555555556</v>
      </c>
      <c r="K48" s="7" t="s">
        <v>14</v>
      </c>
      <c r="L48" s="10">
        <v>0.38541666666666669</v>
      </c>
      <c r="M48" s="10">
        <v>0.36458333333333331</v>
      </c>
      <c r="N48" s="10">
        <v>0.34444444444444444</v>
      </c>
      <c r="O48" s="7" t="s">
        <v>14</v>
      </c>
      <c r="P48" s="6" t="s">
        <v>13</v>
      </c>
      <c r="Q48" s="7" t="s">
        <v>14</v>
      </c>
      <c r="R48" s="7" t="s">
        <v>14</v>
      </c>
      <c r="S48" s="7" t="s">
        <v>14</v>
      </c>
      <c r="T48" s="7" t="s">
        <v>14</v>
      </c>
      <c r="U48" s="7" t="s">
        <v>14</v>
      </c>
      <c r="V48" s="7" t="s">
        <v>14</v>
      </c>
      <c r="W48" s="6" t="s">
        <v>13</v>
      </c>
      <c r="X48" s="7" t="s">
        <v>14</v>
      </c>
      <c r="Y48" s="7" t="s">
        <v>14</v>
      </c>
      <c r="Z48" s="7" t="s">
        <v>14</v>
      </c>
      <c r="AA48" s="7" t="s">
        <v>14</v>
      </c>
      <c r="AB48" s="7" t="s">
        <v>14</v>
      </c>
      <c r="AC48" s="7" t="s">
        <v>14</v>
      </c>
      <c r="AD48" s="6" t="s">
        <v>13</v>
      </c>
      <c r="AE48" s="7" t="s">
        <v>14</v>
      </c>
      <c r="AF48" s="7" t="s">
        <v>14</v>
      </c>
      <c r="AG48" s="7" t="s">
        <v>14</v>
      </c>
      <c r="AH48" s="7" t="s">
        <v>14</v>
      </c>
      <c r="AI48" s="7" t="s">
        <v>14</v>
      </c>
      <c r="AJ48" s="7" t="s">
        <v>14</v>
      </c>
      <c r="AK48" s="6" t="s">
        <v>13</v>
      </c>
      <c r="AL48" s="3"/>
      <c r="AM48" s="3"/>
      <c r="AN48" s="3"/>
      <c r="AO48" s="3"/>
      <c r="AP48" s="3"/>
    </row>
    <row r="49" spans="1:42" ht="15" x14ac:dyDescent="0.25">
      <c r="A49" s="4">
        <v>48</v>
      </c>
      <c r="B49" s="16">
        <v>350</v>
      </c>
      <c r="C49" s="16" t="s">
        <v>67</v>
      </c>
      <c r="D49" s="17" t="s">
        <v>44</v>
      </c>
      <c r="E49" s="4" t="s">
        <v>28</v>
      </c>
      <c r="F49" s="17" t="s">
        <v>17</v>
      </c>
      <c r="G49" s="18">
        <v>45971</v>
      </c>
      <c r="H49" s="7" t="s">
        <v>14</v>
      </c>
      <c r="I49" s="7" t="s">
        <v>14</v>
      </c>
      <c r="J49" s="7" t="s">
        <v>14</v>
      </c>
      <c r="K49" s="7" t="s">
        <v>14</v>
      </c>
      <c r="L49" s="7" t="s">
        <v>14</v>
      </c>
      <c r="M49" s="7" t="s">
        <v>14</v>
      </c>
      <c r="N49" s="7" t="s">
        <v>14</v>
      </c>
      <c r="O49" s="7" t="s">
        <v>14</v>
      </c>
      <c r="P49" s="7" t="s">
        <v>14</v>
      </c>
      <c r="Q49" s="7" t="s">
        <v>14</v>
      </c>
      <c r="R49" s="10">
        <v>6.9444444444444447E-4</v>
      </c>
      <c r="S49" s="10">
        <v>0.36944444444444446</v>
      </c>
      <c r="T49" s="10">
        <v>0.37777777777777777</v>
      </c>
      <c r="U49" s="10">
        <v>0.40347222222222223</v>
      </c>
      <c r="V49" s="10">
        <v>0.36736111111111114</v>
      </c>
      <c r="W49" s="6" t="s">
        <v>13</v>
      </c>
      <c r="X49" s="10">
        <v>0.38541666666666669</v>
      </c>
      <c r="Y49" s="10">
        <v>0.40833333333333333</v>
      </c>
      <c r="Z49" s="10">
        <v>0.39513888888888887</v>
      </c>
      <c r="AA49" s="10">
        <v>0.39027777777777778</v>
      </c>
      <c r="AB49" s="10">
        <v>0.38819444444444445</v>
      </c>
      <c r="AC49" s="7" t="s">
        <v>14</v>
      </c>
      <c r="AD49" s="6" t="s">
        <v>13</v>
      </c>
      <c r="AE49" s="10">
        <v>0.38611111111111113</v>
      </c>
      <c r="AF49" s="10">
        <v>0.40208333333333335</v>
      </c>
      <c r="AG49" s="10">
        <v>0.41666666666666669</v>
      </c>
      <c r="AH49" s="10">
        <v>0.40277777777777779</v>
      </c>
      <c r="AI49" s="10">
        <v>0.40069444444444446</v>
      </c>
      <c r="AJ49" s="10">
        <v>0.37430555555555556</v>
      </c>
      <c r="AK49" s="6" t="s">
        <v>13</v>
      </c>
      <c r="AL49" s="3"/>
      <c r="AM49" s="3"/>
      <c r="AN49" s="3"/>
      <c r="AO49" s="3"/>
      <c r="AP49" s="3"/>
    </row>
    <row r="50" spans="1:42" ht="15" x14ac:dyDescent="0.25">
      <c r="A50" s="4">
        <v>49</v>
      </c>
      <c r="B50" s="16">
        <v>351</v>
      </c>
      <c r="C50" s="16" t="s">
        <v>68</v>
      </c>
      <c r="D50" s="17" t="s">
        <v>69</v>
      </c>
      <c r="E50" s="4" t="s">
        <v>20</v>
      </c>
      <c r="F50" s="17" t="s">
        <v>17</v>
      </c>
      <c r="G50" s="19">
        <v>45972</v>
      </c>
      <c r="H50" s="7" t="s">
        <v>14</v>
      </c>
      <c r="I50" s="7" t="s">
        <v>14</v>
      </c>
      <c r="J50" s="7" t="s">
        <v>14</v>
      </c>
      <c r="K50" s="7" t="s">
        <v>14</v>
      </c>
      <c r="L50" s="7" t="s">
        <v>14</v>
      </c>
      <c r="M50" s="7" t="s">
        <v>14</v>
      </c>
      <c r="N50" s="7" t="s">
        <v>14</v>
      </c>
      <c r="O50" s="7" t="s">
        <v>14</v>
      </c>
      <c r="P50" s="7" t="s">
        <v>14</v>
      </c>
      <c r="Q50" s="7" t="s">
        <v>14</v>
      </c>
      <c r="R50" s="7" t="s">
        <v>14</v>
      </c>
      <c r="S50" s="7" t="s">
        <v>14</v>
      </c>
      <c r="T50" s="10">
        <v>0</v>
      </c>
      <c r="U50" s="10">
        <v>0.37361111111111112</v>
      </c>
      <c r="V50" s="10">
        <v>0.375</v>
      </c>
      <c r="W50" s="6" t="s">
        <v>13</v>
      </c>
      <c r="X50" s="10">
        <v>0.37013888888888891</v>
      </c>
      <c r="Y50" s="10">
        <v>0.37430555555555556</v>
      </c>
      <c r="Z50" s="10">
        <v>0.37569444444444444</v>
      </c>
      <c r="AA50" s="10">
        <v>0.37291666666666667</v>
      </c>
      <c r="AB50" s="10">
        <v>0.37430555555555556</v>
      </c>
      <c r="AC50" s="10">
        <v>0.37291666666666667</v>
      </c>
      <c r="AD50" s="6" t="s">
        <v>13</v>
      </c>
      <c r="AE50" s="10">
        <v>0.375</v>
      </c>
      <c r="AF50" s="10">
        <v>0.375</v>
      </c>
      <c r="AG50" s="10">
        <v>0.37430555555555556</v>
      </c>
      <c r="AH50" s="10">
        <v>0.37361111111111112</v>
      </c>
      <c r="AI50" s="10">
        <v>0.37569444444444444</v>
      </c>
      <c r="AJ50" s="10">
        <v>0.37569444444444444</v>
      </c>
      <c r="AK50" s="6" t="s">
        <v>13</v>
      </c>
      <c r="AL50" s="3"/>
      <c r="AM50" s="3"/>
      <c r="AN50" s="3"/>
      <c r="AO50" s="3"/>
      <c r="AP50" s="3"/>
    </row>
    <row r="51" spans="1:42" ht="15" x14ac:dyDescent="0.2">
      <c r="A51" s="4">
        <v>50</v>
      </c>
      <c r="B51" s="4">
        <v>352</v>
      </c>
      <c r="C51" s="4" t="s">
        <v>70</v>
      </c>
      <c r="D51" s="4" t="s">
        <v>8</v>
      </c>
      <c r="E51" s="4" t="s">
        <v>9</v>
      </c>
      <c r="F51" s="4" t="s">
        <v>17</v>
      </c>
      <c r="G51" s="20">
        <v>45981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  <c r="M51" s="7" t="s">
        <v>14</v>
      </c>
      <c r="N51" s="7" t="s">
        <v>14</v>
      </c>
      <c r="O51" s="7" t="s">
        <v>14</v>
      </c>
      <c r="P51" s="7" t="s">
        <v>14</v>
      </c>
      <c r="Q51" s="7" t="s">
        <v>14</v>
      </c>
      <c r="R51" s="7" t="s">
        <v>14</v>
      </c>
      <c r="S51" s="7" t="s">
        <v>14</v>
      </c>
      <c r="T51" s="7" t="s">
        <v>14</v>
      </c>
      <c r="U51" s="7" t="s">
        <v>14</v>
      </c>
      <c r="V51" s="7" t="s">
        <v>14</v>
      </c>
      <c r="W51" s="7" t="s">
        <v>14</v>
      </c>
      <c r="X51" s="7" t="s">
        <v>14</v>
      </c>
      <c r="Y51" s="7" t="s">
        <v>14</v>
      </c>
      <c r="Z51" s="7" t="s">
        <v>14</v>
      </c>
      <c r="AA51" s="7" t="s">
        <v>14</v>
      </c>
      <c r="AB51" s="21" t="e">
        <f>VLOOKUP(B51,#REF!,22,0)</f>
        <v>#REF!</v>
      </c>
      <c r="AC51" s="21" t="e">
        <f>VLOOKUP(B51,#REF!,23,0)</f>
        <v>#REF!</v>
      </c>
      <c r="AD51" s="6" t="s">
        <v>13</v>
      </c>
      <c r="AE51" s="22">
        <v>0</v>
      </c>
      <c r="AF51" s="22">
        <v>0.36319444444444443</v>
      </c>
      <c r="AG51" s="22">
        <v>0.37777777777777777</v>
      </c>
      <c r="AH51" s="22">
        <v>0.37222222222222223</v>
      </c>
      <c r="AI51" s="22">
        <v>0.37638888888888888</v>
      </c>
      <c r="AJ51" s="22">
        <v>0</v>
      </c>
      <c r="AK51" s="6" t="s">
        <v>13</v>
      </c>
      <c r="AL51" s="3"/>
      <c r="AM51" s="3"/>
      <c r="AN51" s="3"/>
      <c r="AO51" s="3"/>
      <c r="AP51" s="3"/>
    </row>
    <row r="52" spans="1:42" ht="15" x14ac:dyDescent="0.2">
      <c r="A52" s="4">
        <v>51</v>
      </c>
      <c r="B52" s="4">
        <v>353</v>
      </c>
      <c r="C52" s="4" t="s">
        <v>71</v>
      </c>
      <c r="D52" s="4" t="s">
        <v>44</v>
      </c>
      <c r="E52" s="4" t="s">
        <v>20</v>
      </c>
      <c r="F52" s="4" t="s">
        <v>17</v>
      </c>
      <c r="G52" s="20">
        <v>45985</v>
      </c>
      <c r="H52" s="7" t="s">
        <v>14</v>
      </c>
      <c r="I52" s="7" t="s">
        <v>14</v>
      </c>
      <c r="J52" s="7" t="s">
        <v>14</v>
      </c>
      <c r="K52" s="7" t="s">
        <v>14</v>
      </c>
      <c r="L52" s="7" t="s">
        <v>14</v>
      </c>
      <c r="M52" s="7" t="s">
        <v>14</v>
      </c>
      <c r="N52" s="7" t="s">
        <v>14</v>
      </c>
      <c r="O52" s="7" t="s">
        <v>14</v>
      </c>
      <c r="P52" s="7" t="s">
        <v>14</v>
      </c>
      <c r="Q52" s="7" t="s">
        <v>14</v>
      </c>
      <c r="R52" s="7" t="s">
        <v>14</v>
      </c>
      <c r="S52" s="7" t="s">
        <v>14</v>
      </c>
      <c r="T52" s="7" t="s">
        <v>14</v>
      </c>
      <c r="U52" s="7" t="s">
        <v>14</v>
      </c>
      <c r="V52" s="7" t="s">
        <v>14</v>
      </c>
      <c r="W52" s="7" t="s">
        <v>14</v>
      </c>
      <c r="X52" s="7" t="s">
        <v>14</v>
      </c>
      <c r="Y52" s="7" t="s">
        <v>14</v>
      </c>
      <c r="Z52" s="7" t="s">
        <v>14</v>
      </c>
      <c r="AA52" s="7" t="s">
        <v>14</v>
      </c>
      <c r="AB52" s="7" t="s">
        <v>14</v>
      </c>
      <c r="AC52" s="7" t="s">
        <v>14</v>
      </c>
      <c r="AD52" s="7" t="s">
        <v>14</v>
      </c>
      <c r="AE52" s="7" t="s">
        <v>14</v>
      </c>
      <c r="AF52" s="7" t="s">
        <v>14</v>
      </c>
      <c r="AG52" s="7" t="s">
        <v>14</v>
      </c>
      <c r="AH52" s="7" t="s">
        <v>14</v>
      </c>
      <c r="AI52" s="22">
        <v>0.11388888888888889</v>
      </c>
      <c r="AJ52" s="22">
        <v>0</v>
      </c>
      <c r="AK52" s="6" t="s">
        <v>13</v>
      </c>
      <c r="AL52" s="3"/>
      <c r="AM52" s="3"/>
      <c r="AN52" s="3"/>
      <c r="AO52" s="3"/>
      <c r="AP52" s="3"/>
    </row>
    <row r="53" spans="1:42" ht="15" x14ac:dyDescent="0.2">
      <c r="A53" s="4">
        <v>52</v>
      </c>
      <c r="B53" s="4">
        <v>354</v>
      </c>
      <c r="C53" s="4" t="s">
        <v>72</v>
      </c>
      <c r="D53" s="4" t="s">
        <v>8</v>
      </c>
      <c r="E53" s="4" t="s">
        <v>28</v>
      </c>
      <c r="F53" s="4" t="s">
        <v>17</v>
      </c>
      <c r="G53" s="20">
        <v>45985</v>
      </c>
      <c r="H53" s="7" t="s">
        <v>14</v>
      </c>
      <c r="I53" s="7" t="s">
        <v>14</v>
      </c>
      <c r="J53" s="7" t="s">
        <v>14</v>
      </c>
      <c r="K53" s="7" t="s">
        <v>14</v>
      </c>
      <c r="L53" s="7" t="s">
        <v>14</v>
      </c>
      <c r="M53" s="7" t="s">
        <v>14</v>
      </c>
      <c r="N53" s="7" t="s">
        <v>14</v>
      </c>
      <c r="O53" s="7" t="s">
        <v>14</v>
      </c>
      <c r="P53" s="7" t="s">
        <v>14</v>
      </c>
      <c r="Q53" s="7" t="s">
        <v>14</v>
      </c>
      <c r="R53" s="7" t="s">
        <v>14</v>
      </c>
      <c r="S53" s="7" t="s">
        <v>14</v>
      </c>
      <c r="T53" s="7" t="s">
        <v>14</v>
      </c>
      <c r="U53" s="7" t="s">
        <v>14</v>
      </c>
      <c r="V53" s="7" t="s">
        <v>14</v>
      </c>
      <c r="W53" s="7" t="s">
        <v>14</v>
      </c>
      <c r="X53" s="7" t="s">
        <v>14</v>
      </c>
      <c r="Y53" s="7" t="s">
        <v>14</v>
      </c>
      <c r="Z53" s="7" t="s">
        <v>14</v>
      </c>
      <c r="AA53" s="7" t="s">
        <v>14</v>
      </c>
      <c r="AB53" s="7" t="s">
        <v>14</v>
      </c>
      <c r="AC53" s="7" t="s">
        <v>14</v>
      </c>
      <c r="AD53" s="7" t="s">
        <v>14</v>
      </c>
      <c r="AE53" s="7" t="s">
        <v>14</v>
      </c>
      <c r="AF53" s="7" t="s">
        <v>14</v>
      </c>
      <c r="AG53" s="7" t="s">
        <v>14</v>
      </c>
      <c r="AH53" s="7" t="s">
        <v>14</v>
      </c>
      <c r="AI53" s="7" t="s">
        <v>14</v>
      </c>
      <c r="AJ53" s="7" t="s">
        <v>14</v>
      </c>
      <c r="AK53" s="6" t="s">
        <v>13</v>
      </c>
      <c r="AL53" s="3"/>
      <c r="AM53" s="3"/>
      <c r="AN53" s="3"/>
      <c r="AO53" s="3"/>
      <c r="AP53" s="3"/>
    </row>
    <row r="54" spans="1:42" ht="15" x14ac:dyDescent="0.2">
      <c r="A54" s="4">
        <v>53</v>
      </c>
      <c r="B54" s="4">
        <v>1001</v>
      </c>
      <c r="C54" s="4" t="s">
        <v>73</v>
      </c>
      <c r="D54" s="4" t="s">
        <v>74</v>
      </c>
      <c r="E54" s="14"/>
      <c r="F54" s="4" t="s">
        <v>75</v>
      </c>
      <c r="G54" s="15">
        <v>39995</v>
      </c>
      <c r="H54" s="6" t="s">
        <v>12</v>
      </c>
      <c r="I54" s="6" t="s">
        <v>13</v>
      </c>
      <c r="J54" s="7" t="s">
        <v>14</v>
      </c>
      <c r="K54" s="7" t="s">
        <v>14</v>
      </c>
      <c r="L54" s="7" t="s">
        <v>14</v>
      </c>
      <c r="M54" s="7" t="s">
        <v>14</v>
      </c>
      <c r="N54" s="7" t="s">
        <v>14</v>
      </c>
      <c r="O54" s="7" t="s">
        <v>14</v>
      </c>
      <c r="P54" s="6" t="s">
        <v>13</v>
      </c>
      <c r="Q54" s="7" t="s">
        <v>14</v>
      </c>
      <c r="R54" s="7" t="s">
        <v>14</v>
      </c>
      <c r="S54" s="7" t="s">
        <v>14</v>
      </c>
      <c r="T54" s="7" t="s">
        <v>14</v>
      </c>
      <c r="U54" s="7" t="s">
        <v>14</v>
      </c>
      <c r="V54" s="7" t="s">
        <v>14</v>
      </c>
      <c r="W54" s="6" t="s">
        <v>13</v>
      </c>
      <c r="X54" s="7" t="s">
        <v>14</v>
      </c>
      <c r="Y54" s="7" t="s">
        <v>14</v>
      </c>
      <c r="Z54" s="7" t="s">
        <v>14</v>
      </c>
      <c r="AA54" s="7" t="s">
        <v>14</v>
      </c>
      <c r="AB54" s="7" t="s">
        <v>14</v>
      </c>
      <c r="AC54" s="7" t="s">
        <v>14</v>
      </c>
      <c r="AD54" s="6" t="s">
        <v>13</v>
      </c>
      <c r="AE54" s="7" t="s">
        <v>14</v>
      </c>
      <c r="AF54" s="7" t="s">
        <v>14</v>
      </c>
      <c r="AG54" s="7" t="s">
        <v>14</v>
      </c>
      <c r="AH54" s="7" t="s">
        <v>14</v>
      </c>
      <c r="AI54" s="7" t="s">
        <v>14</v>
      </c>
      <c r="AJ54" s="7" t="s">
        <v>14</v>
      </c>
      <c r="AK54" s="6" t="s">
        <v>13</v>
      </c>
      <c r="AL54" s="3"/>
      <c r="AM54" s="3"/>
      <c r="AN54" s="3"/>
      <c r="AO54" s="3"/>
      <c r="AP54" s="3"/>
    </row>
    <row r="55" spans="1:42" ht="15" x14ac:dyDescent="0.2">
      <c r="A55" s="4">
        <v>54</v>
      </c>
      <c r="B55" s="4">
        <v>1022</v>
      </c>
      <c r="C55" s="4" t="s">
        <v>76</v>
      </c>
      <c r="D55" s="4" t="s">
        <v>77</v>
      </c>
      <c r="E55" s="14" t="s">
        <v>73</v>
      </c>
      <c r="F55" s="4" t="s">
        <v>78</v>
      </c>
      <c r="G55" s="23">
        <v>40833</v>
      </c>
      <c r="H55" s="6" t="s">
        <v>12</v>
      </c>
      <c r="I55" s="6" t="s">
        <v>13</v>
      </c>
      <c r="J55" s="7" t="s">
        <v>14</v>
      </c>
      <c r="K55" s="7" t="s">
        <v>14</v>
      </c>
      <c r="L55" s="7" t="s">
        <v>14</v>
      </c>
      <c r="M55" s="7" t="s">
        <v>14</v>
      </c>
      <c r="N55" s="7" t="s">
        <v>14</v>
      </c>
      <c r="O55" s="7" t="s">
        <v>14</v>
      </c>
      <c r="P55" s="6" t="s">
        <v>13</v>
      </c>
      <c r="Q55" s="7" t="s">
        <v>14</v>
      </c>
      <c r="R55" s="7" t="s">
        <v>14</v>
      </c>
      <c r="S55" s="7" t="s">
        <v>14</v>
      </c>
      <c r="T55" s="7" t="s">
        <v>14</v>
      </c>
      <c r="U55" s="7" t="s">
        <v>14</v>
      </c>
      <c r="V55" s="7" t="s">
        <v>14</v>
      </c>
      <c r="W55" s="10">
        <v>0.1986111111111111</v>
      </c>
      <c r="X55" s="7" t="s">
        <v>14</v>
      </c>
      <c r="Y55" s="7" t="s">
        <v>14</v>
      </c>
      <c r="Z55" s="7" t="s">
        <v>14</v>
      </c>
      <c r="AA55" s="7" t="s">
        <v>14</v>
      </c>
      <c r="AB55" s="7" t="s">
        <v>14</v>
      </c>
      <c r="AC55" s="7" t="s">
        <v>14</v>
      </c>
      <c r="AD55" s="6" t="s">
        <v>13</v>
      </c>
      <c r="AE55" s="7" t="s">
        <v>14</v>
      </c>
      <c r="AF55" s="7" t="s">
        <v>14</v>
      </c>
      <c r="AG55" s="7" t="s">
        <v>14</v>
      </c>
      <c r="AH55" s="7" t="s">
        <v>14</v>
      </c>
      <c r="AI55" s="7" t="s">
        <v>14</v>
      </c>
      <c r="AJ55" s="7" t="s">
        <v>14</v>
      </c>
      <c r="AK55" s="6" t="s">
        <v>13</v>
      </c>
      <c r="AL55" s="3"/>
      <c r="AM55" s="3"/>
      <c r="AN55" s="3"/>
      <c r="AO55" s="3"/>
      <c r="AP55" s="3"/>
    </row>
    <row r="56" spans="1:42" ht="15" x14ac:dyDescent="0.2">
      <c r="A56" s="4">
        <v>55</v>
      </c>
      <c r="B56" s="5">
        <v>1058</v>
      </c>
      <c r="C56" s="5" t="s">
        <v>79</v>
      </c>
      <c r="D56" s="5" t="s">
        <v>80</v>
      </c>
      <c r="E56" s="5" t="s">
        <v>24</v>
      </c>
      <c r="F56" s="5" t="s">
        <v>81</v>
      </c>
      <c r="G56" s="8">
        <v>41440</v>
      </c>
      <c r="H56" s="6" t="s">
        <v>12</v>
      </c>
      <c r="I56" s="6" t="s">
        <v>13</v>
      </c>
      <c r="J56" s="9">
        <v>0.4597222222222222</v>
      </c>
      <c r="K56" s="10">
        <v>0.38194444444444442</v>
      </c>
      <c r="L56" s="10">
        <v>0.38124999999999998</v>
      </c>
      <c r="M56" s="10">
        <v>0.40972222222222221</v>
      </c>
      <c r="N56" s="10">
        <v>0.33819444444444446</v>
      </c>
      <c r="O56" s="10">
        <v>0.24930555555555556</v>
      </c>
      <c r="P56" s="6" t="s">
        <v>13</v>
      </c>
      <c r="Q56" s="10">
        <v>0.42986111111111114</v>
      </c>
      <c r="R56" s="10">
        <v>0.41388888888888886</v>
      </c>
      <c r="S56" s="10">
        <v>0.45555555555555555</v>
      </c>
      <c r="T56" s="10">
        <v>0.41041666666666665</v>
      </c>
      <c r="U56" s="7" t="s">
        <v>14</v>
      </c>
      <c r="V56" s="7" t="s">
        <v>14</v>
      </c>
      <c r="W56" s="6" t="s">
        <v>13</v>
      </c>
      <c r="X56" s="10">
        <v>0.41944444444444445</v>
      </c>
      <c r="Y56" s="10">
        <v>0.41944444444444445</v>
      </c>
      <c r="Z56" s="10">
        <v>0.4</v>
      </c>
      <c r="AA56" s="10">
        <v>0.44444444444444442</v>
      </c>
      <c r="AB56" s="10">
        <v>0.44791666666666669</v>
      </c>
      <c r="AC56" s="10">
        <v>0.2048611111111111</v>
      </c>
      <c r="AD56" s="6" t="s">
        <v>13</v>
      </c>
      <c r="AE56" s="10">
        <v>0.22777777777777777</v>
      </c>
      <c r="AF56" s="10">
        <v>0.39097222222222222</v>
      </c>
      <c r="AG56" s="10">
        <v>0.40486111111111112</v>
      </c>
      <c r="AH56" s="10">
        <v>0.44513888888888886</v>
      </c>
      <c r="AI56" s="10">
        <v>0.3840277777777778</v>
      </c>
      <c r="AJ56" s="10">
        <v>0.3972222222222222</v>
      </c>
      <c r="AK56" s="6" t="s">
        <v>13</v>
      </c>
      <c r="AL56" s="3"/>
      <c r="AM56" s="3"/>
      <c r="AN56" s="3"/>
      <c r="AO56" s="3"/>
      <c r="AP56" s="3"/>
    </row>
    <row r="57" spans="1:42" ht="15" x14ac:dyDescent="0.2">
      <c r="A57" s="4">
        <v>56</v>
      </c>
      <c r="B57" s="5">
        <v>1076</v>
      </c>
      <c r="C57" s="5" t="s">
        <v>82</v>
      </c>
      <c r="D57" s="5" t="s">
        <v>83</v>
      </c>
      <c r="E57" s="5" t="s">
        <v>9</v>
      </c>
      <c r="F57" s="5" t="s">
        <v>81</v>
      </c>
      <c r="G57" s="8">
        <v>41592</v>
      </c>
      <c r="H57" s="6" t="s">
        <v>12</v>
      </c>
      <c r="I57" s="6" t="s">
        <v>13</v>
      </c>
      <c r="J57" s="9">
        <v>0.37916666666666665</v>
      </c>
      <c r="K57" s="10">
        <v>0.39166666666666666</v>
      </c>
      <c r="L57" s="10">
        <v>0.38124999999999998</v>
      </c>
      <c r="M57" s="10">
        <v>0.37638888888888888</v>
      </c>
      <c r="N57" s="10">
        <v>0.19583333333333333</v>
      </c>
      <c r="O57" s="7" t="s">
        <v>14</v>
      </c>
      <c r="P57" s="6" t="s">
        <v>13</v>
      </c>
      <c r="Q57" s="10">
        <v>0.37847222222222221</v>
      </c>
      <c r="R57" s="10">
        <v>0.39166666666666666</v>
      </c>
      <c r="S57" s="10">
        <v>0.39166666666666666</v>
      </c>
      <c r="T57" s="10">
        <v>0.38472222222222224</v>
      </c>
      <c r="U57" s="10">
        <v>0.42638888888888887</v>
      </c>
      <c r="V57" s="10">
        <v>0.37916666666666665</v>
      </c>
      <c r="W57" s="6" t="s">
        <v>13</v>
      </c>
      <c r="X57" s="10">
        <v>0.39166666666666666</v>
      </c>
      <c r="Y57" s="10">
        <v>0.39583333333333331</v>
      </c>
      <c r="Z57" s="10">
        <v>0.38124999999999998</v>
      </c>
      <c r="AA57" s="10">
        <v>0.37569444444444444</v>
      </c>
      <c r="AB57" s="10">
        <v>0.38055555555555554</v>
      </c>
      <c r="AC57" s="10">
        <v>0.36736111111111114</v>
      </c>
      <c r="AD57" s="6" t="s">
        <v>13</v>
      </c>
      <c r="AE57" s="10">
        <v>0.40625</v>
      </c>
      <c r="AF57" s="10">
        <v>0.37986111111111109</v>
      </c>
      <c r="AG57" s="10">
        <v>0.36249999999999999</v>
      </c>
      <c r="AH57" s="10">
        <v>0.40763888888888888</v>
      </c>
      <c r="AI57" s="10">
        <v>0.37847222222222221</v>
      </c>
      <c r="AJ57" s="10">
        <v>0.37569444444444444</v>
      </c>
      <c r="AK57" s="6" t="s">
        <v>13</v>
      </c>
      <c r="AL57" s="3"/>
      <c r="AM57" s="3"/>
      <c r="AN57" s="3"/>
      <c r="AO57" s="3"/>
      <c r="AP57" s="3"/>
    </row>
    <row r="58" spans="1:42" ht="15" x14ac:dyDescent="0.2">
      <c r="A58" s="4">
        <v>57</v>
      </c>
      <c r="B58" s="5">
        <v>1198</v>
      </c>
      <c r="C58" s="5" t="s">
        <v>84</v>
      </c>
      <c r="D58" s="5" t="s">
        <v>44</v>
      </c>
      <c r="E58" s="5" t="s">
        <v>85</v>
      </c>
      <c r="F58" s="5" t="s">
        <v>86</v>
      </c>
      <c r="G58" s="8">
        <v>42185</v>
      </c>
      <c r="H58" s="6" t="s">
        <v>12</v>
      </c>
      <c r="I58" s="6" t="s">
        <v>13</v>
      </c>
      <c r="J58" s="7" t="s">
        <v>14</v>
      </c>
      <c r="K58" s="7" t="s">
        <v>14</v>
      </c>
      <c r="L58" s="10">
        <v>0.35416666666666669</v>
      </c>
      <c r="M58" s="10">
        <v>0.40555555555555556</v>
      </c>
      <c r="N58" s="10">
        <v>0.37222222222222223</v>
      </c>
      <c r="O58" s="10">
        <v>0.33958333333333335</v>
      </c>
      <c r="P58" s="6" t="s">
        <v>13</v>
      </c>
      <c r="Q58" s="10">
        <v>0.38750000000000001</v>
      </c>
      <c r="R58" s="10">
        <v>0.37986111111111109</v>
      </c>
      <c r="S58" s="10">
        <v>0.36944444444444446</v>
      </c>
      <c r="T58" s="10">
        <v>0.38263888888888886</v>
      </c>
      <c r="U58" s="10">
        <v>0.46875</v>
      </c>
      <c r="V58" s="7" t="s">
        <v>14</v>
      </c>
      <c r="W58" s="6" t="s">
        <v>13</v>
      </c>
      <c r="X58" s="10">
        <v>0.37847222222222221</v>
      </c>
      <c r="Y58" s="10">
        <v>0.37569444444444444</v>
      </c>
      <c r="Z58" s="10">
        <v>0.37152777777777779</v>
      </c>
      <c r="AA58" s="10">
        <v>0.37916666666666665</v>
      </c>
      <c r="AB58" s="10">
        <v>0.36319444444444443</v>
      </c>
      <c r="AC58" s="10">
        <v>0.31319444444444444</v>
      </c>
      <c r="AD58" s="6" t="s">
        <v>13</v>
      </c>
      <c r="AE58" s="10">
        <v>0.35694444444444445</v>
      </c>
      <c r="AF58" s="10">
        <v>0.36388888888888887</v>
      </c>
      <c r="AG58" s="10">
        <v>0.3888888888888889</v>
      </c>
      <c r="AH58" s="10">
        <v>0.38958333333333334</v>
      </c>
      <c r="AI58" s="10">
        <v>0.36527777777777776</v>
      </c>
      <c r="AJ58" s="10">
        <v>0.39930555555555558</v>
      </c>
      <c r="AK58" s="6" t="s">
        <v>13</v>
      </c>
      <c r="AL58" s="3"/>
      <c r="AM58" s="3"/>
      <c r="AN58" s="3"/>
      <c r="AO58" s="3"/>
      <c r="AP58" s="3"/>
    </row>
    <row r="59" spans="1:42" ht="15" x14ac:dyDescent="0.2">
      <c r="A59" s="4">
        <v>58</v>
      </c>
      <c r="B59" s="5">
        <v>1234</v>
      </c>
      <c r="C59" s="5" t="s">
        <v>87</v>
      </c>
      <c r="D59" s="5" t="s">
        <v>88</v>
      </c>
      <c r="E59" s="5" t="s">
        <v>9</v>
      </c>
      <c r="F59" s="5" t="s">
        <v>89</v>
      </c>
      <c r="G59" s="8">
        <v>42328</v>
      </c>
      <c r="H59" s="6" t="s">
        <v>12</v>
      </c>
      <c r="I59" s="6" t="s">
        <v>13</v>
      </c>
      <c r="J59" s="9">
        <v>0.34097222222222223</v>
      </c>
      <c r="K59" s="10">
        <v>0.33958333333333335</v>
      </c>
      <c r="L59" s="10">
        <v>0.37777777777777777</v>
      </c>
      <c r="M59" s="10">
        <v>0.36736111111111114</v>
      </c>
      <c r="N59" s="10">
        <v>0.37361111111111112</v>
      </c>
      <c r="O59" s="10">
        <v>0.35347222222222224</v>
      </c>
      <c r="P59" s="6" t="s">
        <v>13</v>
      </c>
      <c r="Q59" s="10">
        <v>0.37569444444444444</v>
      </c>
      <c r="R59" s="10">
        <v>0.37013888888888891</v>
      </c>
      <c r="S59" s="10">
        <v>0.36666666666666664</v>
      </c>
      <c r="T59" s="10">
        <v>0.37291666666666667</v>
      </c>
      <c r="U59" s="10">
        <v>0.30763888888888891</v>
      </c>
      <c r="V59" s="7" t="s">
        <v>14</v>
      </c>
      <c r="W59" s="6" t="s">
        <v>13</v>
      </c>
      <c r="X59" s="10">
        <v>0.37569444444444444</v>
      </c>
      <c r="Y59" s="10">
        <v>0.37291666666666667</v>
      </c>
      <c r="Z59" s="10">
        <v>0.37708333333333333</v>
      </c>
      <c r="AA59" s="10">
        <v>0.37430555555555556</v>
      </c>
      <c r="AB59" s="10">
        <v>0.37013888888888891</v>
      </c>
      <c r="AC59" s="7" t="s">
        <v>14</v>
      </c>
      <c r="AD59" s="6" t="s">
        <v>13</v>
      </c>
      <c r="AE59" s="7" t="s">
        <v>14</v>
      </c>
      <c r="AF59" s="7" t="s">
        <v>14</v>
      </c>
      <c r="AG59" s="7" t="s">
        <v>14</v>
      </c>
      <c r="AH59" s="7" t="s">
        <v>14</v>
      </c>
      <c r="AI59" s="7" t="s">
        <v>14</v>
      </c>
      <c r="AJ59" s="7" t="s">
        <v>14</v>
      </c>
      <c r="AK59" s="6" t="s">
        <v>13</v>
      </c>
      <c r="AL59" s="3"/>
      <c r="AM59" s="3"/>
      <c r="AN59" s="3"/>
      <c r="AO59" s="3"/>
      <c r="AP59" s="3"/>
    </row>
    <row r="60" spans="1:42" ht="15" x14ac:dyDescent="0.2">
      <c r="A60" s="4">
        <v>59</v>
      </c>
      <c r="B60" s="5">
        <v>1273</v>
      </c>
      <c r="C60" s="5" t="s">
        <v>90</v>
      </c>
      <c r="D60" s="5" t="s">
        <v>80</v>
      </c>
      <c r="E60" s="5" t="s">
        <v>24</v>
      </c>
      <c r="F60" s="5" t="s">
        <v>86</v>
      </c>
      <c r="G60" s="24">
        <v>42495</v>
      </c>
      <c r="H60" s="10">
        <v>0</v>
      </c>
      <c r="I60" s="6" t="s">
        <v>13</v>
      </c>
      <c r="J60" s="9">
        <v>0.37430555555555556</v>
      </c>
      <c r="K60" s="10">
        <v>0.42291666666666666</v>
      </c>
      <c r="L60" s="10">
        <v>0.38750000000000001</v>
      </c>
      <c r="M60" s="10">
        <v>0.44861111111111113</v>
      </c>
      <c r="N60" s="10">
        <v>0.18819444444444444</v>
      </c>
      <c r="O60" s="7" t="s">
        <v>14</v>
      </c>
      <c r="P60" s="6" t="s">
        <v>13</v>
      </c>
      <c r="Q60" s="10">
        <v>0.3840277777777778</v>
      </c>
      <c r="R60" s="10">
        <v>0.36249999999999999</v>
      </c>
      <c r="S60" s="10">
        <v>0.39930555555555558</v>
      </c>
      <c r="T60" s="10">
        <v>0.4284722222222222</v>
      </c>
      <c r="U60" s="10">
        <v>0.40069444444444446</v>
      </c>
      <c r="V60" s="10">
        <v>0.32083333333333336</v>
      </c>
      <c r="W60" s="6" t="s">
        <v>13</v>
      </c>
      <c r="X60" s="10">
        <v>0.40763888888888888</v>
      </c>
      <c r="Y60" s="10">
        <v>0.44444444444444442</v>
      </c>
      <c r="Z60" s="10">
        <v>0.20416666666666666</v>
      </c>
      <c r="AA60" s="10">
        <v>0.31805555555555554</v>
      </c>
      <c r="AB60" s="10">
        <v>0.46388888888888891</v>
      </c>
      <c r="AC60" s="10">
        <v>0.38611111111111113</v>
      </c>
      <c r="AD60" s="6" t="s">
        <v>13</v>
      </c>
      <c r="AE60" s="10">
        <v>0.38124999999999998</v>
      </c>
      <c r="AF60" s="10">
        <v>0.43541666666666667</v>
      </c>
      <c r="AG60" s="7" t="s">
        <v>14</v>
      </c>
      <c r="AH60" s="10">
        <v>0.34305555555555556</v>
      </c>
      <c r="AI60" s="10">
        <v>0.4465277777777778</v>
      </c>
      <c r="AJ60" s="10">
        <v>0.42083333333333334</v>
      </c>
      <c r="AK60" s="6" t="s">
        <v>13</v>
      </c>
      <c r="AL60" s="3"/>
      <c r="AM60" s="3"/>
      <c r="AN60" s="3"/>
      <c r="AO60" s="3"/>
      <c r="AP60" s="3"/>
    </row>
    <row r="61" spans="1:42" ht="15" x14ac:dyDescent="0.2">
      <c r="A61" s="4">
        <v>60</v>
      </c>
      <c r="B61" s="5">
        <v>1291</v>
      </c>
      <c r="C61" s="5" t="s">
        <v>91</v>
      </c>
      <c r="D61" s="5" t="s">
        <v>92</v>
      </c>
      <c r="E61" s="5" t="s">
        <v>28</v>
      </c>
      <c r="F61" s="5" t="s">
        <v>93</v>
      </c>
      <c r="G61" s="8">
        <v>42534</v>
      </c>
      <c r="H61" s="10">
        <v>0</v>
      </c>
      <c r="I61" s="6" t="s">
        <v>13</v>
      </c>
      <c r="J61" s="9">
        <v>0.39027777777777778</v>
      </c>
      <c r="K61" s="10">
        <v>0</v>
      </c>
      <c r="L61" s="10">
        <v>0.35902777777777778</v>
      </c>
      <c r="M61" s="10">
        <v>0.37361111111111112</v>
      </c>
      <c r="N61" s="10">
        <v>0.36388888888888887</v>
      </c>
      <c r="O61" s="7" t="s">
        <v>14</v>
      </c>
      <c r="P61" s="6" t="s">
        <v>13</v>
      </c>
      <c r="Q61" s="10">
        <v>0.37569444444444444</v>
      </c>
      <c r="R61" s="10">
        <v>0.38333333333333336</v>
      </c>
      <c r="S61" s="10">
        <v>0.3611111111111111</v>
      </c>
      <c r="T61" s="10">
        <v>0.37361111111111112</v>
      </c>
      <c r="U61" s="10">
        <v>0.36875000000000002</v>
      </c>
      <c r="V61" s="10">
        <v>0.30208333333333331</v>
      </c>
      <c r="W61" s="6" t="s">
        <v>13</v>
      </c>
      <c r="X61" s="10">
        <v>0.38680555555555557</v>
      </c>
      <c r="Y61" s="10">
        <v>0.38750000000000001</v>
      </c>
      <c r="Z61" s="10">
        <v>0.38333333333333336</v>
      </c>
      <c r="AA61" s="10">
        <v>0.37152777777777779</v>
      </c>
      <c r="AB61" s="10">
        <v>0.35625000000000001</v>
      </c>
      <c r="AC61" s="7" t="s">
        <v>14</v>
      </c>
      <c r="AD61" s="6" t="s">
        <v>13</v>
      </c>
      <c r="AE61" s="10">
        <v>0.37361111111111112</v>
      </c>
      <c r="AF61" s="10">
        <v>0.37222222222222223</v>
      </c>
      <c r="AG61" s="10">
        <v>0.37013888888888891</v>
      </c>
      <c r="AH61" s="10">
        <v>0.37708333333333333</v>
      </c>
      <c r="AI61" s="10">
        <v>0.37916666666666665</v>
      </c>
      <c r="AJ61" s="10">
        <v>0.38124999999999998</v>
      </c>
      <c r="AK61" s="6" t="s">
        <v>13</v>
      </c>
      <c r="AL61" s="3"/>
      <c r="AM61" s="3"/>
      <c r="AN61" s="3"/>
      <c r="AO61" s="3"/>
      <c r="AP61" s="3"/>
    </row>
    <row r="62" spans="1:42" ht="15" x14ac:dyDescent="0.2">
      <c r="A62" s="4">
        <v>61</v>
      </c>
      <c r="B62" s="5">
        <v>1327</v>
      </c>
      <c r="C62" s="5" t="s">
        <v>94</v>
      </c>
      <c r="D62" s="5" t="s">
        <v>80</v>
      </c>
      <c r="E62" s="5" t="s">
        <v>85</v>
      </c>
      <c r="F62" s="5" t="s">
        <v>95</v>
      </c>
      <c r="G62" s="25">
        <v>42796</v>
      </c>
      <c r="H62" s="6" t="s">
        <v>12</v>
      </c>
      <c r="I62" s="6" t="s">
        <v>13</v>
      </c>
      <c r="J62" s="7" t="s">
        <v>14</v>
      </c>
      <c r="K62" s="10">
        <v>0.40555555555555556</v>
      </c>
      <c r="L62" s="10">
        <v>0.42430555555555555</v>
      </c>
      <c r="M62" s="10">
        <v>0.37916666666666665</v>
      </c>
      <c r="N62" s="10">
        <v>0.38055555555555554</v>
      </c>
      <c r="O62" s="10">
        <v>0.36249999999999999</v>
      </c>
      <c r="P62" s="6" t="s">
        <v>13</v>
      </c>
      <c r="Q62" s="10">
        <v>0.38958333333333334</v>
      </c>
      <c r="R62" s="10">
        <v>0.38472222222222224</v>
      </c>
      <c r="S62" s="7" t="s">
        <v>14</v>
      </c>
      <c r="T62" s="10">
        <v>0.38750000000000001</v>
      </c>
      <c r="U62" s="10">
        <v>0.38541666666666669</v>
      </c>
      <c r="V62" s="10">
        <v>0.20208333333333334</v>
      </c>
      <c r="W62" s="6" t="s">
        <v>13</v>
      </c>
      <c r="X62" s="10">
        <v>0.38750000000000001</v>
      </c>
      <c r="Y62" s="10">
        <v>0.40972222222222221</v>
      </c>
      <c r="Z62" s="10">
        <v>0.19444444444444445</v>
      </c>
      <c r="AA62" s="10">
        <v>0.40763888888888888</v>
      </c>
      <c r="AB62" s="7" t="s">
        <v>14</v>
      </c>
      <c r="AC62" s="7" t="s">
        <v>14</v>
      </c>
      <c r="AD62" s="6" t="s">
        <v>13</v>
      </c>
      <c r="AE62" s="7" t="s">
        <v>14</v>
      </c>
      <c r="AF62" s="10">
        <v>0.38333333333333336</v>
      </c>
      <c r="AG62" s="10">
        <v>0.39097222222222222</v>
      </c>
      <c r="AH62" s="10">
        <v>0.40208333333333335</v>
      </c>
      <c r="AI62" s="10">
        <v>0.40347222222222223</v>
      </c>
      <c r="AJ62" s="10">
        <v>0.41736111111111113</v>
      </c>
      <c r="AK62" s="6" t="s">
        <v>13</v>
      </c>
      <c r="AL62" s="3"/>
      <c r="AM62" s="3"/>
      <c r="AN62" s="3"/>
      <c r="AO62" s="3"/>
      <c r="AP62" s="3"/>
    </row>
    <row r="63" spans="1:42" ht="15" x14ac:dyDescent="0.2">
      <c r="A63" s="4">
        <v>62</v>
      </c>
      <c r="B63" s="5">
        <v>1414</v>
      </c>
      <c r="C63" s="5" t="s">
        <v>96</v>
      </c>
      <c r="D63" s="5" t="s">
        <v>44</v>
      </c>
      <c r="E63" s="5" t="s">
        <v>24</v>
      </c>
      <c r="F63" s="5" t="s">
        <v>93</v>
      </c>
      <c r="G63" s="8">
        <v>43152</v>
      </c>
      <c r="H63" s="6" t="s">
        <v>12</v>
      </c>
      <c r="I63" s="6" t="s">
        <v>13</v>
      </c>
      <c r="J63" s="9">
        <v>0.33750000000000002</v>
      </c>
      <c r="K63" s="10">
        <v>0.34097222222222223</v>
      </c>
      <c r="L63" s="10">
        <v>0.37638888888888888</v>
      </c>
      <c r="M63" s="10">
        <v>0.375</v>
      </c>
      <c r="N63" s="10">
        <v>0.37847222222222221</v>
      </c>
      <c r="O63" s="10">
        <v>0.37708333333333333</v>
      </c>
      <c r="P63" s="6" t="s">
        <v>13</v>
      </c>
      <c r="Q63" s="10">
        <v>0.37569444444444444</v>
      </c>
      <c r="R63" s="10">
        <v>0.37361111111111112</v>
      </c>
      <c r="S63" s="10">
        <v>0.37638888888888888</v>
      </c>
      <c r="T63" s="10">
        <v>0.37638888888888888</v>
      </c>
      <c r="U63" s="10">
        <v>0.37847222222222221</v>
      </c>
      <c r="V63" s="7" t="s">
        <v>14</v>
      </c>
      <c r="W63" s="6" t="s">
        <v>13</v>
      </c>
      <c r="X63" s="10">
        <v>0.37222222222222223</v>
      </c>
      <c r="Y63" s="10">
        <v>0.375</v>
      </c>
      <c r="Z63" s="10">
        <v>0.37708333333333333</v>
      </c>
      <c r="AA63" s="10">
        <v>0.37361111111111112</v>
      </c>
      <c r="AB63" s="10">
        <v>0.37708333333333333</v>
      </c>
      <c r="AC63" s="10">
        <v>0.2361111111111111</v>
      </c>
      <c r="AD63" s="6" t="s">
        <v>13</v>
      </c>
      <c r="AE63" s="10">
        <v>0.37291666666666667</v>
      </c>
      <c r="AF63" s="10">
        <v>0.37430555555555556</v>
      </c>
      <c r="AG63" s="10">
        <v>0.37430555555555556</v>
      </c>
      <c r="AH63" s="10">
        <v>0.37222222222222223</v>
      </c>
      <c r="AI63" s="10">
        <v>0.37569444444444444</v>
      </c>
      <c r="AJ63" s="10">
        <v>0.37986111111111109</v>
      </c>
      <c r="AK63" s="6" t="s">
        <v>13</v>
      </c>
      <c r="AL63" s="3"/>
      <c r="AM63" s="3"/>
      <c r="AN63" s="3"/>
      <c r="AO63" s="3"/>
      <c r="AP63" s="3"/>
    </row>
    <row r="64" spans="1:42" ht="15" x14ac:dyDescent="0.2">
      <c r="A64" s="4">
        <v>63</v>
      </c>
      <c r="B64" s="5">
        <v>1441</v>
      </c>
      <c r="C64" s="5" t="s">
        <v>97</v>
      </c>
      <c r="D64" s="5" t="s">
        <v>77</v>
      </c>
      <c r="E64" s="5" t="s">
        <v>76</v>
      </c>
      <c r="F64" s="5" t="s">
        <v>89</v>
      </c>
      <c r="G64" s="25">
        <v>43255</v>
      </c>
      <c r="H64" s="6" t="s">
        <v>12</v>
      </c>
      <c r="I64" s="6" t="s">
        <v>13</v>
      </c>
      <c r="J64" s="9">
        <v>0.37361111111111112</v>
      </c>
      <c r="K64" s="10">
        <v>0.37222222222222223</v>
      </c>
      <c r="L64" s="10">
        <v>0.38055555555555554</v>
      </c>
      <c r="M64" s="10">
        <v>0.40347222222222223</v>
      </c>
      <c r="N64" s="10">
        <v>0.44513888888888886</v>
      </c>
      <c r="O64" s="10">
        <v>0.37013888888888891</v>
      </c>
      <c r="P64" s="6" t="s">
        <v>13</v>
      </c>
      <c r="Q64" s="10">
        <v>0.36319444444444443</v>
      </c>
      <c r="R64" s="10">
        <v>0.36319444444444443</v>
      </c>
      <c r="S64" s="10">
        <v>0.36388888888888887</v>
      </c>
      <c r="T64" s="10">
        <v>0.38611111111111113</v>
      </c>
      <c r="U64" s="10">
        <v>1.3888888888888889E-3</v>
      </c>
      <c r="V64" s="10">
        <v>0.21319444444444444</v>
      </c>
      <c r="W64" s="6" t="s">
        <v>13</v>
      </c>
      <c r="X64" s="10">
        <v>0.41319444444444442</v>
      </c>
      <c r="Y64" s="10">
        <v>0.38611111111111113</v>
      </c>
      <c r="Z64" s="10">
        <v>0.43680555555555556</v>
      </c>
      <c r="AA64" s="10">
        <v>0.32569444444444445</v>
      </c>
      <c r="AB64" s="10">
        <v>0.46944444444444444</v>
      </c>
      <c r="AC64" s="10">
        <v>0.40208333333333335</v>
      </c>
      <c r="AD64" s="10">
        <v>0.12430555555555556</v>
      </c>
      <c r="AE64" s="10">
        <v>0.38472222222222224</v>
      </c>
      <c r="AF64" s="10">
        <v>0</v>
      </c>
      <c r="AG64" s="10">
        <v>0.38194444444444442</v>
      </c>
      <c r="AH64" s="10">
        <v>0.3923611111111111</v>
      </c>
      <c r="AI64" s="10">
        <v>0.39930555555555558</v>
      </c>
      <c r="AJ64" s="10">
        <v>0.51666666666666672</v>
      </c>
      <c r="AK64" s="6" t="s">
        <v>13</v>
      </c>
      <c r="AL64" s="3"/>
      <c r="AM64" s="3"/>
      <c r="AN64" s="3"/>
      <c r="AO64" s="3"/>
      <c r="AP64" s="3"/>
    </row>
    <row r="65" spans="1:42" ht="15" x14ac:dyDescent="0.2">
      <c r="A65" s="4">
        <v>64</v>
      </c>
      <c r="B65" s="5">
        <v>1444</v>
      </c>
      <c r="C65" s="5" t="s">
        <v>98</v>
      </c>
      <c r="D65" s="5" t="s">
        <v>74</v>
      </c>
      <c r="E65" s="5" t="s">
        <v>99</v>
      </c>
      <c r="F65" s="5" t="s">
        <v>100</v>
      </c>
      <c r="G65" s="8">
        <v>42836</v>
      </c>
      <c r="H65" s="6" t="s">
        <v>12</v>
      </c>
      <c r="I65" s="6" t="s">
        <v>13</v>
      </c>
      <c r="J65" s="9">
        <v>0.37847222222222221</v>
      </c>
      <c r="K65" s="10">
        <v>0.37986111111111109</v>
      </c>
      <c r="L65" s="10">
        <v>0.38055555555555554</v>
      </c>
      <c r="M65" s="10">
        <v>0.37569444444444444</v>
      </c>
      <c r="N65" s="10">
        <v>0.37777777777777777</v>
      </c>
      <c r="O65" s="7" t="s">
        <v>14</v>
      </c>
      <c r="P65" s="6" t="s">
        <v>13</v>
      </c>
      <c r="Q65" s="10">
        <v>0.37777777777777777</v>
      </c>
      <c r="R65" s="10">
        <v>0.38263888888888886</v>
      </c>
      <c r="S65" s="10">
        <v>0.37708333333333333</v>
      </c>
      <c r="T65" s="10">
        <v>0.37847222222222221</v>
      </c>
      <c r="U65" s="7" t="s">
        <v>14</v>
      </c>
      <c r="V65" s="7" t="s">
        <v>14</v>
      </c>
      <c r="W65" s="6" t="s">
        <v>13</v>
      </c>
      <c r="X65" s="10">
        <v>0.37638888888888888</v>
      </c>
      <c r="Y65" s="10">
        <v>0.37361111111111112</v>
      </c>
      <c r="Z65" s="10">
        <v>0.35069444444444442</v>
      </c>
      <c r="AA65" s="10">
        <v>0.37916666666666665</v>
      </c>
      <c r="AB65" s="10">
        <v>0.38055555555555554</v>
      </c>
      <c r="AC65" s="7" t="s">
        <v>14</v>
      </c>
      <c r="AD65" s="6" t="s">
        <v>13</v>
      </c>
      <c r="AE65" s="10">
        <v>0.37638888888888888</v>
      </c>
      <c r="AF65" s="10">
        <v>0.37430555555555556</v>
      </c>
      <c r="AG65" s="10">
        <v>0.37638888888888888</v>
      </c>
      <c r="AH65" s="10">
        <v>0.37777777777777777</v>
      </c>
      <c r="AI65" s="7" t="s">
        <v>14</v>
      </c>
      <c r="AJ65" s="7" t="s">
        <v>14</v>
      </c>
      <c r="AK65" s="6" t="s">
        <v>13</v>
      </c>
      <c r="AL65" s="3"/>
      <c r="AM65" s="3"/>
      <c r="AN65" s="3"/>
      <c r="AO65" s="3"/>
      <c r="AP65" s="3"/>
    </row>
    <row r="66" spans="1:42" ht="15" x14ac:dyDescent="0.2">
      <c r="A66" s="4">
        <v>65</v>
      </c>
      <c r="B66" s="5">
        <v>1464</v>
      </c>
      <c r="C66" s="5" t="s">
        <v>101</v>
      </c>
      <c r="D66" s="5" t="s">
        <v>77</v>
      </c>
      <c r="E66" s="5" t="s">
        <v>76</v>
      </c>
      <c r="F66" s="5" t="s">
        <v>102</v>
      </c>
      <c r="G66" s="8">
        <v>43306</v>
      </c>
      <c r="H66" s="6" t="s">
        <v>12</v>
      </c>
      <c r="I66" s="10">
        <v>2.013888888888889E-2</v>
      </c>
      <c r="J66" s="9">
        <v>0.41319444444444442</v>
      </c>
      <c r="K66" s="10">
        <v>0.38680555555555557</v>
      </c>
      <c r="L66" s="10">
        <v>0.51666666666666672</v>
      </c>
      <c r="M66" s="10">
        <v>0.37569444444444444</v>
      </c>
      <c r="N66" s="10">
        <v>0.50069444444444444</v>
      </c>
      <c r="O66" s="10">
        <v>0.37777777777777777</v>
      </c>
      <c r="P66" s="10">
        <v>1.5972222222222221E-2</v>
      </c>
      <c r="Q66" s="10">
        <v>0.37569444444444444</v>
      </c>
      <c r="R66" s="10">
        <v>0.37847222222222221</v>
      </c>
      <c r="S66" s="10">
        <v>0.38055555555555554</v>
      </c>
      <c r="T66" s="7" t="s">
        <v>14</v>
      </c>
      <c r="U66" s="7" t="s">
        <v>14</v>
      </c>
      <c r="V66" s="7" t="s">
        <v>14</v>
      </c>
      <c r="W66" s="10">
        <v>4.3749999999999997E-2</v>
      </c>
      <c r="X66" s="10">
        <v>0.37569444444444444</v>
      </c>
      <c r="Y66" s="10">
        <v>0.37638888888888888</v>
      </c>
      <c r="Z66" s="10">
        <v>0.37708333333333333</v>
      </c>
      <c r="AA66" s="10">
        <v>0.37777777777777777</v>
      </c>
      <c r="AB66" s="10">
        <v>0.37708333333333333</v>
      </c>
      <c r="AC66" s="10">
        <v>0.37638888888888888</v>
      </c>
      <c r="AD66" s="10">
        <v>1.3194444444444444E-2</v>
      </c>
      <c r="AE66" s="10">
        <v>0.37569444444444444</v>
      </c>
      <c r="AF66" s="10">
        <v>0.37777777777777777</v>
      </c>
      <c r="AG66" s="10">
        <v>0.37569444444444444</v>
      </c>
      <c r="AH66" s="10">
        <v>0.53125</v>
      </c>
      <c r="AI66" s="10">
        <v>0.34652777777777777</v>
      </c>
      <c r="AJ66" s="10">
        <v>0.38611111111111113</v>
      </c>
      <c r="AK66" s="6" t="s">
        <v>13</v>
      </c>
      <c r="AL66" s="3"/>
      <c r="AM66" s="3"/>
      <c r="AN66" s="3"/>
      <c r="AO66" s="3"/>
      <c r="AP66" s="3"/>
    </row>
    <row r="67" spans="1:42" ht="15" x14ac:dyDescent="0.2">
      <c r="A67" s="4">
        <v>66</v>
      </c>
      <c r="B67" s="5">
        <v>1486</v>
      </c>
      <c r="C67" s="5" t="s">
        <v>103</v>
      </c>
      <c r="D67" s="5" t="s">
        <v>83</v>
      </c>
      <c r="E67" s="5" t="s">
        <v>9</v>
      </c>
      <c r="F67" s="5" t="s">
        <v>89</v>
      </c>
      <c r="G67" s="8">
        <v>43399</v>
      </c>
      <c r="H67" s="6" t="s">
        <v>12</v>
      </c>
      <c r="I67" s="6" t="s">
        <v>13</v>
      </c>
      <c r="J67" s="9">
        <v>0.39374999999999999</v>
      </c>
      <c r="K67" s="10">
        <v>0.39513888888888887</v>
      </c>
      <c r="L67" s="10">
        <v>0.38819444444444445</v>
      </c>
      <c r="M67" s="10">
        <v>0.38541666666666669</v>
      </c>
      <c r="N67" s="10">
        <v>0.39097222222222222</v>
      </c>
      <c r="O67" s="7" t="s">
        <v>14</v>
      </c>
      <c r="P67" s="6" t="s">
        <v>13</v>
      </c>
      <c r="Q67" s="10">
        <v>0.38263888888888886</v>
      </c>
      <c r="R67" s="10">
        <v>0.37777777777777777</v>
      </c>
      <c r="S67" s="10">
        <v>0.38263888888888886</v>
      </c>
      <c r="T67" s="10">
        <v>0.37847222222222221</v>
      </c>
      <c r="U67" s="10">
        <v>0.50763888888888886</v>
      </c>
      <c r="V67" s="10">
        <v>0.35972222222222222</v>
      </c>
      <c r="W67" s="6" t="s">
        <v>13</v>
      </c>
      <c r="X67" s="10">
        <v>0.37291666666666667</v>
      </c>
      <c r="Y67" s="10">
        <v>0.38333333333333336</v>
      </c>
      <c r="Z67" s="10">
        <v>0.375</v>
      </c>
      <c r="AA67" s="10">
        <v>0.37430555555555556</v>
      </c>
      <c r="AB67" s="10">
        <v>0.37986111111111109</v>
      </c>
      <c r="AC67" s="10">
        <v>0.3659722222222222</v>
      </c>
      <c r="AD67" s="6" t="s">
        <v>13</v>
      </c>
      <c r="AE67" s="10">
        <v>0.37986111111111109</v>
      </c>
      <c r="AF67" s="10">
        <v>0.375</v>
      </c>
      <c r="AG67" s="10">
        <v>0.39930555555555558</v>
      </c>
      <c r="AH67" s="10">
        <v>0.38680555555555557</v>
      </c>
      <c r="AI67" s="10">
        <v>0.41736111111111113</v>
      </c>
      <c r="AJ67" s="10">
        <v>0.37986111111111109</v>
      </c>
      <c r="AK67" s="6" t="s">
        <v>13</v>
      </c>
      <c r="AL67" s="3"/>
      <c r="AM67" s="3"/>
      <c r="AN67" s="3"/>
      <c r="AO67" s="3"/>
      <c r="AP67" s="3"/>
    </row>
    <row r="68" spans="1:42" ht="15" x14ac:dyDescent="0.2">
      <c r="A68" s="4">
        <v>67</v>
      </c>
      <c r="B68" s="5">
        <v>1509</v>
      </c>
      <c r="C68" s="5" t="s">
        <v>104</v>
      </c>
      <c r="D68" s="5" t="s">
        <v>92</v>
      </c>
      <c r="E68" s="5" t="s">
        <v>28</v>
      </c>
      <c r="F68" s="5" t="s">
        <v>89</v>
      </c>
      <c r="G68" s="25">
        <v>43472</v>
      </c>
      <c r="H68" s="6" t="s">
        <v>12</v>
      </c>
      <c r="I68" s="6" t="s">
        <v>13</v>
      </c>
      <c r="J68" s="7" t="s">
        <v>14</v>
      </c>
      <c r="K68" s="7" t="s">
        <v>14</v>
      </c>
      <c r="L68" s="7" t="s">
        <v>14</v>
      </c>
      <c r="M68" s="7" t="s">
        <v>14</v>
      </c>
      <c r="N68" s="7" t="s">
        <v>14</v>
      </c>
      <c r="O68" s="7" t="s">
        <v>14</v>
      </c>
      <c r="P68" s="6" t="s">
        <v>13</v>
      </c>
      <c r="Q68" s="7" t="s">
        <v>14</v>
      </c>
      <c r="R68" s="7" t="s">
        <v>14</v>
      </c>
      <c r="S68" s="7" t="s">
        <v>14</v>
      </c>
      <c r="T68" s="7" t="s">
        <v>14</v>
      </c>
      <c r="U68" s="7" t="s">
        <v>14</v>
      </c>
      <c r="V68" s="7" t="s">
        <v>14</v>
      </c>
      <c r="W68" s="6" t="s">
        <v>13</v>
      </c>
      <c r="X68" s="7" t="s">
        <v>14</v>
      </c>
      <c r="Y68" s="7" t="s">
        <v>14</v>
      </c>
      <c r="Z68" s="7" t="s">
        <v>14</v>
      </c>
      <c r="AA68" s="7" t="s">
        <v>14</v>
      </c>
      <c r="AB68" s="7" t="s">
        <v>14</v>
      </c>
      <c r="AC68" s="7" t="s">
        <v>14</v>
      </c>
      <c r="AD68" s="6" t="s">
        <v>13</v>
      </c>
      <c r="AE68" s="7" t="s">
        <v>14</v>
      </c>
      <c r="AF68" s="7" t="s">
        <v>14</v>
      </c>
      <c r="AG68" s="7" t="s">
        <v>14</v>
      </c>
      <c r="AH68" s="7" t="s">
        <v>14</v>
      </c>
      <c r="AI68" s="7" t="s">
        <v>14</v>
      </c>
      <c r="AJ68" s="7" t="s">
        <v>14</v>
      </c>
      <c r="AK68" s="6" t="s">
        <v>13</v>
      </c>
      <c r="AL68" s="3"/>
      <c r="AM68" s="3"/>
      <c r="AN68" s="3"/>
      <c r="AO68" s="3"/>
      <c r="AP68" s="3"/>
    </row>
    <row r="69" spans="1:42" ht="15" x14ac:dyDescent="0.2">
      <c r="A69" s="4">
        <v>68</v>
      </c>
      <c r="B69" s="5">
        <v>1518</v>
      </c>
      <c r="C69" s="5" t="s">
        <v>105</v>
      </c>
      <c r="D69" s="5" t="s">
        <v>83</v>
      </c>
      <c r="E69" s="5" t="s">
        <v>9</v>
      </c>
      <c r="F69" s="5" t="s">
        <v>89</v>
      </c>
      <c r="G69" s="8">
        <v>43493</v>
      </c>
      <c r="H69" s="6" t="s">
        <v>12</v>
      </c>
      <c r="I69" s="6" t="s">
        <v>13</v>
      </c>
      <c r="J69" s="9">
        <v>0.39652777777777776</v>
      </c>
      <c r="K69" s="10">
        <v>0.38819444444444445</v>
      </c>
      <c r="L69" s="10">
        <v>0.38055555555555554</v>
      </c>
      <c r="M69" s="10">
        <v>0.37986111111111109</v>
      </c>
      <c r="N69" s="10">
        <v>0.38958333333333334</v>
      </c>
      <c r="O69" s="10">
        <v>0.41249999999999998</v>
      </c>
      <c r="P69" s="6" t="s">
        <v>13</v>
      </c>
      <c r="Q69" s="10">
        <v>0.37777777777777777</v>
      </c>
      <c r="R69" s="10">
        <v>0.37569444444444444</v>
      </c>
      <c r="S69" s="10">
        <v>0.39166666666666666</v>
      </c>
      <c r="T69" s="10">
        <v>0.375</v>
      </c>
      <c r="U69" s="10">
        <v>0.38819444444444445</v>
      </c>
      <c r="V69" s="10">
        <v>0.36527777777777776</v>
      </c>
      <c r="W69" s="6" t="s">
        <v>13</v>
      </c>
      <c r="X69" s="7" t="s">
        <v>14</v>
      </c>
      <c r="Y69" s="7" t="s">
        <v>14</v>
      </c>
      <c r="Z69" s="7" t="s">
        <v>14</v>
      </c>
      <c r="AA69" s="7" t="s">
        <v>14</v>
      </c>
      <c r="AB69" s="7" t="s">
        <v>14</v>
      </c>
      <c r="AC69" s="7" t="s">
        <v>14</v>
      </c>
      <c r="AD69" s="6" t="s">
        <v>13</v>
      </c>
      <c r="AE69" s="7" t="s">
        <v>14</v>
      </c>
      <c r="AF69" s="7" t="s">
        <v>14</v>
      </c>
      <c r="AG69" s="7" t="s">
        <v>14</v>
      </c>
      <c r="AH69" s="7" t="s">
        <v>14</v>
      </c>
      <c r="AI69" s="7" t="s">
        <v>14</v>
      </c>
      <c r="AJ69" s="7" t="s">
        <v>14</v>
      </c>
      <c r="AK69" s="6" t="s">
        <v>13</v>
      </c>
      <c r="AL69" s="3"/>
      <c r="AM69" s="3"/>
      <c r="AN69" s="3"/>
      <c r="AO69" s="3"/>
      <c r="AP69" s="3"/>
    </row>
    <row r="70" spans="1:42" ht="15" x14ac:dyDescent="0.2">
      <c r="A70" s="4">
        <v>69</v>
      </c>
      <c r="B70" s="5">
        <v>1636</v>
      </c>
      <c r="C70" s="5" t="s">
        <v>106</v>
      </c>
      <c r="D70" s="5" t="s">
        <v>8</v>
      </c>
      <c r="E70" s="5" t="s">
        <v>9</v>
      </c>
      <c r="F70" s="5" t="s">
        <v>107</v>
      </c>
      <c r="G70" s="8">
        <v>44102</v>
      </c>
      <c r="H70" s="6" t="s">
        <v>12</v>
      </c>
      <c r="I70" s="6" t="s">
        <v>13</v>
      </c>
      <c r="J70" s="7" t="s">
        <v>14</v>
      </c>
      <c r="K70" s="7" t="s">
        <v>14</v>
      </c>
      <c r="L70" s="7" t="s">
        <v>14</v>
      </c>
      <c r="M70" s="7" t="s">
        <v>14</v>
      </c>
      <c r="N70" s="7" t="s">
        <v>14</v>
      </c>
      <c r="O70" s="7" t="s">
        <v>14</v>
      </c>
      <c r="P70" s="6" t="s">
        <v>13</v>
      </c>
      <c r="Q70" s="7" t="s">
        <v>14</v>
      </c>
      <c r="R70" s="7" t="s">
        <v>14</v>
      </c>
      <c r="S70" s="7" t="s">
        <v>14</v>
      </c>
      <c r="T70" s="7" t="s">
        <v>14</v>
      </c>
      <c r="U70" s="7" t="s">
        <v>14</v>
      </c>
      <c r="V70" s="7" t="s">
        <v>14</v>
      </c>
      <c r="W70" s="6" t="s">
        <v>13</v>
      </c>
      <c r="X70" s="7" t="s">
        <v>14</v>
      </c>
      <c r="Y70" s="7" t="s">
        <v>14</v>
      </c>
      <c r="Z70" s="7" t="s">
        <v>14</v>
      </c>
      <c r="AA70" s="7" t="s">
        <v>14</v>
      </c>
      <c r="AB70" s="7" t="s">
        <v>14</v>
      </c>
      <c r="AC70" s="7" t="s">
        <v>14</v>
      </c>
      <c r="AD70" s="6" t="s">
        <v>13</v>
      </c>
      <c r="AE70" s="7" t="s">
        <v>14</v>
      </c>
      <c r="AF70" s="7" t="s">
        <v>14</v>
      </c>
      <c r="AG70" s="7" t="s">
        <v>14</v>
      </c>
      <c r="AH70" s="7" t="s">
        <v>14</v>
      </c>
      <c r="AI70" s="7" t="s">
        <v>14</v>
      </c>
      <c r="AJ70" s="7" t="s">
        <v>14</v>
      </c>
      <c r="AK70" s="6" t="s">
        <v>13</v>
      </c>
      <c r="AL70" s="3"/>
      <c r="AM70" s="3"/>
      <c r="AN70" s="3"/>
      <c r="AO70" s="3"/>
      <c r="AP70" s="3"/>
    </row>
    <row r="71" spans="1:42" ht="15" x14ac:dyDescent="0.2">
      <c r="A71" s="4">
        <v>70</v>
      </c>
      <c r="B71" s="5">
        <v>1638</v>
      </c>
      <c r="C71" s="5" t="s">
        <v>108</v>
      </c>
      <c r="D71" s="5" t="s">
        <v>44</v>
      </c>
      <c r="E71" s="5" t="s">
        <v>109</v>
      </c>
      <c r="F71" s="5" t="s">
        <v>89</v>
      </c>
      <c r="G71" s="25">
        <v>44287</v>
      </c>
      <c r="H71" s="6" t="s">
        <v>12</v>
      </c>
      <c r="I71" s="6" t="s">
        <v>13</v>
      </c>
      <c r="J71" s="9">
        <v>0.36041666666666666</v>
      </c>
      <c r="K71" s="10">
        <v>0.38194444444444442</v>
      </c>
      <c r="L71" s="10">
        <v>0.41180555555555554</v>
      </c>
      <c r="M71" s="10">
        <v>0.49444444444444446</v>
      </c>
      <c r="N71" s="10">
        <v>0.38541666666666669</v>
      </c>
      <c r="O71" s="10">
        <v>0.44722222222222224</v>
      </c>
      <c r="P71" s="6" t="s">
        <v>13</v>
      </c>
      <c r="Q71" s="10">
        <v>0.35138888888888886</v>
      </c>
      <c r="R71" s="10">
        <v>0.38055555555555554</v>
      </c>
      <c r="S71" s="10">
        <v>0.3888888888888889</v>
      </c>
      <c r="T71" s="10">
        <v>0.37916666666666665</v>
      </c>
      <c r="U71" s="10">
        <v>0.47569444444444442</v>
      </c>
      <c r="V71" s="10">
        <v>0</v>
      </c>
      <c r="W71" s="6" t="s">
        <v>13</v>
      </c>
      <c r="X71" s="10">
        <v>0.38194444444444442</v>
      </c>
      <c r="Y71" s="10">
        <v>0</v>
      </c>
      <c r="Z71" s="10">
        <v>0.55069444444444449</v>
      </c>
      <c r="AA71" s="10">
        <v>0.39652777777777776</v>
      </c>
      <c r="AB71" s="10">
        <v>0.39166666666666666</v>
      </c>
      <c r="AC71" s="10">
        <v>0.38819444444444445</v>
      </c>
      <c r="AD71" s="6" t="s">
        <v>13</v>
      </c>
      <c r="AE71" s="10">
        <v>0.36180555555555555</v>
      </c>
      <c r="AF71" s="10">
        <v>0.38958333333333334</v>
      </c>
      <c r="AG71" s="10">
        <v>0.37430555555555556</v>
      </c>
      <c r="AH71" s="7" t="s">
        <v>14</v>
      </c>
      <c r="AI71" s="10">
        <v>0.3840277777777778</v>
      </c>
      <c r="AJ71" s="10">
        <v>0.37013888888888891</v>
      </c>
      <c r="AK71" s="6" t="s">
        <v>13</v>
      </c>
      <c r="AL71" s="3"/>
      <c r="AM71" s="3"/>
      <c r="AN71" s="3"/>
      <c r="AO71" s="3"/>
      <c r="AP71" s="3"/>
    </row>
    <row r="72" spans="1:42" ht="15" x14ac:dyDescent="0.2">
      <c r="A72" s="4">
        <v>71</v>
      </c>
      <c r="B72" s="5">
        <v>1686</v>
      </c>
      <c r="C72" s="5" t="s">
        <v>110</v>
      </c>
      <c r="D72" s="5" t="s">
        <v>92</v>
      </c>
      <c r="E72" s="5" t="s">
        <v>45</v>
      </c>
      <c r="F72" s="5" t="s">
        <v>89</v>
      </c>
      <c r="G72" s="25">
        <v>43834</v>
      </c>
      <c r="H72" s="6" t="s">
        <v>12</v>
      </c>
      <c r="I72" s="6" t="s">
        <v>13</v>
      </c>
      <c r="J72" s="9">
        <v>0.38680555555555557</v>
      </c>
      <c r="K72" s="10">
        <v>0.39097222222222222</v>
      </c>
      <c r="L72" s="10">
        <v>0.42222222222222222</v>
      </c>
      <c r="M72" s="7" t="s">
        <v>14</v>
      </c>
      <c r="N72" s="10">
        <v>0.33680555555555558</v>
      </c>
      <c r="O72" s="10">
        <v>0.34722222222222221</v>
      </c>
      <c r="P72" s="6" t="s">
        <v>13</v>
      </c>
      <c r="Q72" s="10">
        <v>0.36944444444444446</v>
      </c>
      <c r="R72" s="10">
        <v>0.38750000000000001</v>
      </c>
      <c r="S72" s="10">
        <v>0.35347222222222224</v>
      </c>
      <c r="T72" s="10">
        <v>0.36875000000000002</v>
      </c>
      <c r="U72" s="10">
        <v>0.39027777777777778</v>
      </c>
      <c r="V72" s="10">
        <v>0.36249999999999999</v>
      </c>
      <c r="W72" s="6" t="s">
        <v>13</v>
      </c>
      <c r="X72" s="10">
        <v>0.37083333333333335</v>
      </c>
      <c r="Y72" s="10">
        <v>0.36805555555555558</v>
      </c>
      <c r="Z72" s="7" t="s">
        <v>14</v>
      </c>
      <c r="AA72" s="10">
        <v>0.38541666666666669</v>
      </c>
      <c r="AB72" s="10">
        <v>0.37569444444444444</v>
      </c>
      <c r="AC72" s="7" t="s">
        <v>14</v>
      </c>
      <c r="AD72" s="6" t="s">
        <v>13</v>
      </c>
      <c r="AE72" s="10">
        <v>0.36458333333333331</v>
      </c>
      <c r="AF72" s="10">
        <v>0.37083333333333335</v>
      </c>
      <c r="AG72" s="10">
        <v>0.37569444444444444</v>
      </c>
      <c r="AH72" s="10">
        <v>0.37777777777777777</v>
      </c>
      <c r="AI72" s="10">
        <v>0.38263888888888886</v>
      </c>
      <c r="AJ72" s="10">
        <v>0.38680555555555557</v>
      </c>
      <c r="AK72" s="6" t="s">
        <v>13</v>
      </c>
      <c r="AL72" s="3"/>
      <c r="AM72" s="3"/>
      <c r="AN72" s="3"/>
      <c r="AO72" s="3"/>
      <c r="AP72" s="3"/>
    </row>
    <row r="73" spans="1:42" ht="15" x14ac:dyDescent="0.2">
      <c r="A73" s="4">
        <v>72</v>
      </c>
      <c r="B73" s="5">
        <v>1687</v>
      </c>
      <c r="C73" s="5" t="s">
        <v>111</v>
      </c>
      <c r="D73" s="5" t="s">
        <v>92</v>
      </c>
      <c r="E73" s="5" t="s">
        <v>24</v>
      </c>
      <c r="F73" s="5" t="s">
        <v>89</v>
      </c>
      <c r="G73" s="25">
        <v>43834</v>
      </c>
      <c r="H73" s="6" t="s">
        <v>12</v>
      </c>
      <c r="I73" s="6" t="s">
        <v>13</v>
      </c>
      <c r="J73" s="7" t="s">
        <v>14</v>
      </c>
      <c r="K73" s="7" t="s">
        <v>14</v>
      </c>
      <c r="L73" s="7" t="s">
        <v>14</v>
      </c>
      <c r="M73" s="10">
        <v>0.37291666666666667</v>
      </c>
      <c r="N73" s="10">
        <v>0.37708333333333333</v>
      </c>
      <c r="O73" s="10">
        <v>0.37638888888888888</v>
      </c>
      <c r="P73" s="6" t="s">
        <v>13</v>
      </c>
      <c r="Q73" s="10">
        <v>0.37430555555555556</v>
      </c>
      <c r="R73" s="10">
        <v>0.37222222222222223</v>
      </c>
      <c r="S73" s="7" t="s">
        <v>14</v>
      </c>
      <c r="T73" s="10">
        <v>0.37430555555555556</v>
      </c>
      <c r="U73" s="10">
        <v>0.37638888888888888</v>
      </c>
      <c r="V73" s="7" t="s">
        <v>14</v>
      </c>
      <c r="W73" s="6" t="s">
        <v>13</v>
      </c>
      <c r="X73" s="10">
        <v>0.37222222222222223</v>
      </c>
      <c r="Y73" s="7" t="s">
        <v>14</v>
      </c>
      <c r="Z73" s="7" t="s">
        <v>14</v>
      </c>
      <c r="AA73" s="10">
        <v>0.37777777777777777</v>
      </c>
      <c r="AB73" s="10">
        <v>0.375</v>
      </c>
      <c r="AC73" s="10">
        <v>0.31874999999999998</v>
      </c>
      <c r="AD73" s="6" t="s">
        <v>13</v>
      </c>
      <c r="AE73" s="10">
        <v>0.37222222222222223</v>
      </c>
      <c r="AF73" s="10">
        <v>0.37708333333333333</v>
      </c>
      <c r="AG73" s="10">
        <v>0.375</v>
      </c>
      <c r="AH73" s="10">
        <v>0.37361111111111112</v>
      </c>
      <c r="AI73" s="10">
        <v>0.37777777777777777</v>
      </c>
      <c r="AJ73" s="10">
        <v>0.49861111111111112</v>
      </c>
      <c r="AK73" s="6" t="s">
        <v>13</v>
      </c>
      <c r="AL73" s="3"/>
      <c r="AM73" s="3"/>
      <c r="AN73" s="3"/>
      <c r="AO73" s="3"/>
      <c r="AP73" s="3"/>
    </row>
    <row r="74" spans="1:42" ht="15" x14ac:dyDescent="0.2">
      <c r="A74" s="4">
        <v>73</v>
      </c>
      <c r="B74" s="5">
        <v>1717</v>
      </c>
      <c r="C74" s="5" t="s">
        <v>112</v>
      </c>
      <c r="D74" s="5" t="s">
        <v>88</v>
      </c>
      <c r="E74" s="5" t="s">
        <v>24</v>
      </c>
      <c r="F74" s="5" t="s">
        <v>89</v>
      </c>
      <c r="G74" s="8">
        <v>44299</v>
      </c>
      <c r="H74" s="6" t="s">
        <v>12</v>
      </c>
      <c r="I74" s="6" t="s">
        <v>13</v>
      </c>
      <c r="J74" s="9">
        <v>0.35416666666666669</v>
      </c>
      <c r="K74" s="10">
        <v>0.36875000000000002</v>
      </c>
      <c r="L74" s="10">
        <v>0.39374999999999999</v>
      </c>
      <c r="M74" s="10">
        <v>0.42708333333333331</v>
      </c>
      <c r="N74" s="10">
        <v>0.38055555555555554</v>
      </c>
      <c r="O74" s="10">
        <v>0.38750000000000001</v>
      </c>
      <c r="P74" s="6" t="s">
        <v>13</v>
      </c>
      <c r="Q74" s="10">
        <v>0.37708333333333333</v>
      </c>
      <c r="R74" s="10">
        <v>0.3576388888888889</v>
      </c>
      <c r="S74" s="10">
        <v>0.33888888888888891</v>
      </c>
      <c r="T74" s="10">
        <v>0.37569444444444444</v>
      </c>
      <c r="U74" s="10">
        <v>0.38750000000000001</v>
      </c>
      <c r="V74" s="7" t="s">
        <v>14</v>
      </c>
      <c r="W74" s="6" t="s">
        <v>13</v>
      </c>
      <c r="X74" s="10">
        <v>0.37152777777777779</v>
      </c>
      <c r="Y74" s="10">
        <v>0.37638888888888888</v>
      </c>
      <c r="Z74" s="10">
        <v>0.3659722222222222</v>
      </c>
      <c r="AA74" s="10">
        <v>0.38472222222222224</v>
      </c>
      <c r="AB74" s="10">
        <v>0.37847222222222221</v>
      </c>
      <c r="AC74" s="10">
        <v>0.25555555555555554</v>
      </c>
      <c r="AD74" s="6" t="s">
        <v>13</v>
      </c>
      <c r="AE74" s="7" t="s">
        <v>14</v>
      </c>
      <c r="AF74" s="10">
        <v>0.19583333333333333</v>
      </c>
      <c r="AG74" s="10">
        <v>0.3888888888888889</v>
      </c>
      <c r="AH74" s="7" t="s">
        <v>14</v>
      </c>
      <c r="AI74" s="7" t="s">
        <v>14</v>
      </c>
      <c r="AJ74" s="10">
        <v>0.37569444444444444</v>
      </c>
      <c r="AK74" s="6" t="s">
        <v>13</v>
      </c>
      <c r="AL74" s="3"/>
      <c r="AM74" s="3"/>
      <c r="AN74" s="3"/>
      <c r="AO74" s="3"/>
      <c r="AP74" s="3"/>
    </row>
    <row r="75" spans="1:42" ht="15" x14ac:dyDescent="0.2">
      <c r="A75" s="4">
        <v>74</v>
      </c>
      <c r="B75" s="5">
        <v>1719</v>
      </c>
      <c r="C75" s="5" t="s">
        <v>113</v>
      </c>
      <c r="D75" s="5" t="s">
        <v>114</v>
      </c>
      <c r="E75" s="5" t="s">
        <v>115</v>
      </c>
      <c r="F75" s="5" t="s">
        <v>107</v>
      </c>
      <c r="G75" s="8">
        <v>44301</v>
      </c>
      <c r="H75" s="6" t="s">
        <v>12</v>
      </c>
      <c r="I75" s="10">
        <v>6.9444444444444447E-4</v>
      </c>
      <c r="J75" s="9">
        <v>0.37777777777777777</v>
      </c>
      <c r="K75" s="10">
        <v>0.38472222222222224</v>
      </c>
      <c r="L75" s="10">
        <v>0.38124999999999998</v>
      </c>
      <c r="M75" s="10">
        <v>0.37708333333333333</v>
      </c>
      <c r="N75" s="10">
        <v>0.36180555555555555</v>
      </c>
      <c r="O75" s="10">
        <v>0.36666666666666664</v>
      </c>
      <c r="P75" s="6" t="s">
        <v>13</v>
      </c>
      <c r="Q75" s="10">
        <v>0.37916666666666665</v>
      </c>
      <c r="R75" s="7" t="s">
        <v>14</v>
      </c>
      <c r="S75" s="10">
        <v>0.37847222222222221</v>
      </c>
      <c r="T75" s="10">
        <v>0.3659722222222222</v>
      </c>
      <c r="U75" s="10">
        <v>0.38263888888888886</v>
      </c>
      <c r="V75" s="10">
        <v>0.38750000000000001</v>
      </c>
      <c r="W75" s="6" t="s">
        <v>13</v>
      </c>
      <c r="X75" s="10">
        <v>0.37986111111111109</v>
      </c>
      <c r="Y75" s="10">
        <v>0.37847222222222221</v>
      </c>
      <c r="Z75" s="10">
        <v>0.38194444444444442</v>
      </c>
      <c r="AA75" s="10">
        <v>0.37708333333333333</v>
      </c>
      <c r="AB75" s="10">
        <v>0.38194444444444442</v>
      </c>
      <c r="AC75" s="7" t="s">
        <v>14</v>
      </c>
      <c r="AD75" s="10">
        <v>1.3888888888888888E-2</v>
      </c>
      <c r="AE75" s="10">
        <v>0.38541666666666669</v>
      </c>
      <c r="AF75" s="10">
        <v>0.35972222222222222</v>
      </c>
      <c r="AG75" s="10">
        <v>0.36944444444444446</v>
      </c>
      <c r="AH75" s="10">
        <v>0.37361111111111112</v>
      </c>
      <c r="AI75" s="10">
        <v>0.37013888888888891</v>
      </c>
      <c r="AJ75" s="10">
        <v>0.38541666666666669</v>
      </c>
      <c r="AK75" s="6" t="s">
        <v>13</v>
      </c>
      <c r="AL75" s="3"/>
      <c r="AM75" s="3"/>
      <c r="AN75" s="3"/>
      <c r="AO75" s="3"/>
      <c r="AP75" s="3"/>
    </row>
    <row r="76" spans="1:42" ht="15" x14ac:dyDescent="0.2">
      <c r="A76" s="4">
        <v>75</v>
      </c>
      <c r="B76" s="5">
        <v>1730</v>
      </c>
      <c r="C76" s="5" t="s">
        <v>116</v>
      </c>
      <c r="D76" s="5" t="s">
        <v>83</v>
      </c>
      <c r="E76" s="5" t="s">
        <v>39</v>
      </c>
      <c r="F76" s="5" t="s">
        <v>89</v>
      </c>
      <c r="G76" s="25">
        <v>44386</v>
      </c>
      <c r="H76" s="6" t="s">
        <v>12</v>
      </c>
      <c r="I76" s="6" t="s">
        <v>13</v>
      </c>
      <c r="J76" s="7" t="s">
        <v>14</v>
      </c>
      <c r="K76" s="7" t="s">
        <v>14</v>
      </c>
      <c r="L76" s="7" t="s">
        <v>14</v>
      </c>
      <c r="M76" s="7" t="s">
        <v>14</v>
      </c>
      <c r="N76" s="7" t="s">
        <v>14</v>
      </c>
      <c r="O76" s="7" t="s">
        <v>14</v>
      </c>
      <c r="P76" s="6" t="s">
        <v>13</v>
      </c>
      <c r="Q76" s="7" t="s">
        <v>14</v>
      </c>
      <c r="R76" s="7" t="s">
        <v>14</v>
      </c>
      <c r="S76" s="7" t="s">
        <v>14</v>
      </c>
      <c r="T76" s="7" t="s">
        <v>14</v>
      </c>
      <c r="U76" s="7" t="s">
        <v>14</v>
      </c>
      <c r="V76" s="7" t="s">
        <v>14</v>
      </c>
      <c r="W76" s="6" t="s">
        <v>13</v>
      </c>
      <c r="X76" s="7" t="s">
        <v>14</v>
      </c>
      <c r="Y76" s="7" t="s">
        <v>14</v>
      </c>
      <c r="Z76" s="7" t="s">
        <v>14</v>
      </c>
      <c r="AA76" s="7" t="s">
        <v>14</v>
      </c>
      <c r="AB76" s="7" t="s">
        <v>14</v>
      </c>
      <c r="AC76" s="7" t="s">
        <v>14</v>
      </c>
      <c r="AD76" s="6" t="s">
        <v>13</v>
      </c>
      <c r="AE76" s="7" t="s">
        <v>14</v>
      </c>
      <c r="AF76" s="7" t="s">
        <v>14</v>
      </c>
      <c r="AG76" s="7" t="s">
        <v>14</v>
      </c>
      <c r="AH76" s="7" t="s">
        <v>14</v>
      </c>
      <c r="AI76" s="7" t="s">
        <v>14</v>
      </c>
      <c r="AJ76" s="7" t="s">
        <v>14</v>
      </c>
      <c r="AK76" s="6" t="s">
        <v>13</v>
      </c>
      <c r="AL76" s="3"/>
      <c r="AM76" s="3"/>
      <c r="AN76" s="3"/>
      <c r="AO76" s="3"/>
      <c r="AP76" s="3"/>
    </row>
    <row r="77" spans="1:42" ht="15" x14ac:dyDescent="0.2">
      <c r="A77" s="4">
        <v>76</v>
      </c>
      <c r="B77" s="5">
        <v>1733</v>
      </c>
      <c r="C77" s="5" t="s">
        <v>117</v>
      </c>
      <c r="D77" s="5" t="s">
        <v>80</v>
      </c>
      <c r="E77" s="5" t="s">
        <v>109</v>
      </c>
      <c r="F77" s="5" t="s">
        <v>118</v>
      </c>
      <c r="G77" s="8">
        <v>44389</v>
      </c>
      <c r="H77" s="6" t="s">
        <v>12</v>
      </c>
      <c r="I77" s="6" t="s">
        <v>13</v>
      </c>
      <c r="J77" s="7" t="s">
        <v>14</v>
      </c>
      <c r="K77" s="7" t="s">
        <v>14</v>
      </c>
      <c r="L77" s="10">
        <v>0.3298611111111111</v>
      </c>
      <c r="M77" s="10">
        <v>0</v>
      </c>
      <c r="N77" s="10">
        <v>0</v>
      </c>
      <c r="O77" s="7" t="s">
        <v>14</v>
      </c>
      <c r="P77" s="6" t="s">
        <v>13</v>
      </c>
      <c r="Q77" s="10">
        <v>0.32013888888888886</v>
      </c>
      <c r="R77" s="10">
        <v>0.30902777777777779</v>
      </c>
      <c r="S77" s="10">
        <v>0.2388888888888889</v>
      </c>
      <c r="T77" s="10">
        <v>0.24444444444444444</v>
      </c>
      <c r="U77" s="10">
        <v>0.2902777777777778</v>
      </c>
      <c r="V77" s="7" t="s">
        <v>14</v>
      </c>
      <c r="W77" s="6" t="s">
        <v>13</v>
      </c>
      <c r="X77" s="7" t="s">
        <v>14</v>
      </c>
      <c r="Y77" s="7" t="s">
        <v>14</v>
      </c>
      <c r="Z77" s="7" t="s">
        <v>14</v>
      </c>
      <c r="AA77" s="10">
        <v>0.24027777777777778</v>
      </c>
      <c r="AB77" s="10">
        <v>0.24374999999999999</v>
      </c>
      <c r="AC77" s="7" t="s">
        <v>14</v>
      </c>
      <c r="AD77" s="6" t="s">
        <v>13</v>
      </c>
      <c r="AE77" s="10">
        <v>0.28402777777777777</v>
      </c>
      <c r="AF77" s="10">
        <v>0.2902777777777778</v>
      </c>
      <c r="AG77" s="10">
        <v>0.20277777777777778</v>
      </c>
      <c r="AH77" s="7" t="s">
        <v>14</v>
      </c>
      <c r="AI77" s="7" t="s">
        <v>14</v>
      </c>
      <c r="AJ77" s="7" t="s">
        <v>14</v>
      </c>
      <c r="AK77" s="6" t="s">
        <v>13</v>
      </c>
      <c r="AL77" s="3"/>
      <c r="AM77" s="3"/>
      <c r="AN77" s="3"/>
      <c r="AO77" s="3"/>
      <c r="AP77" s="3"/>
    </row>
    <row r="78" spans="1:42" ht="15" x14ac:dyDescent="0.2">
      <c r="A78" s="4">
        <v>77</v>
      </c>
      <c r="B78" s="5">
        <v>1735</v>
      </c>
      <c r="C78" s="5" t="s">
        <v>119</v>
      </c>
      <c r="D78" s="5" t="s">
        <v>83</v>
      </c>
      <c r="E78" s="5" t="s">
        <v>39</v>
      </c>
      <c r="F78" s="5" t="s">
        <v>89</v>
      </c>
      <c r="G78" s="8">
        <v>44391</v>
      </c>
      <c r="H78" s="6" t="s">
        <v>12</v>
      </c>
      <c r="I78" s="6" t="s">
        <v>13</v>
      </c>
      <c r="J78" s="7" t="s">
        <v>14</v>
      </c>
      <c r="K78" s="7" t="s">
        <v>14</v>
      </c>
      <c r="L78" s="7" t="s">
        <v>14</v>
      </c>
      <c r="M78" s="7" t="s">
        <v>14</v>
      </c>
      <c r="N78" s="7" t="s">
        <v>14</v>
      </c>
      <c r="O78" s="7" t="s">
        <v>14</v>
      </c>
      <c r="P78" s="6" t="s">
        <v>13</v>
      </c>
      <c r="Q78" s="7" t="s">
        <v>14</v>
      </c>
      <c r="R78" s="7" t="s">
        <v>14</v>
      </c>
      <c r="S78" s="7" t="s">
        <v>14</v>
      </c>
      <c r="T78" s="7" t="s">
        <v>14</v>
      </c>
      <c r="U78" s="7" t="s">
        <v>14</v>
      </c>
      <c r="V78" s="7" t="s">
        <v>14</v>
      </c>
      <c r="W78" s="6" t="s">
        <v>13</v>
      </c>
      <c r="X78" s="7" t="s">
        <v>14</v>
      </c>
      <c r="Y78" s="7" t="s">
        <v>14</v>
      </c>
      <c r="Z78" s="7" t="s">
        <v>14</v>
      </c>
      <c r="AA78" s="7" t="s">
        <v>14</v>
      </c>
      <c r="AB78" s="7" t="s">
        <v>14</v>
      </c>
      <c r="AC78" s="7" t="s">
        <v>14</v>
      </c>
      <c r="AD78" s="6" t="s">
        <v>13</v>
      </c>
      <c r="AE78" s="7" t="s">
        <v>14</v>
      </c>
      <c r="AF78" s="7" t="s">
        <v>14</v>
      </c>
      <c r="AG78" s="7" t="s">
        <v>14</v>
      </c>
      <c r="AH78" s="7" t="s">
        <v>14</v>
      </c>
      <c r="AI78" s="7" t="s">
        <v>14</v>
      </c>
      <c r="AJ78" s="7" t="s">
        <v>14</v>
      </c>
      <c r="AK78" s="6" t="s">
        <v>13</v>
      </c>
      <c r="AL78" s="3"/>
      <c r="AM78" s="3"/>
      <c r="AN78" s="3"/>
      <c r="AO78" s="3"/>
      <c r="AP78" s="3"/>
    </row>
    <row r="79" spans="1:42" ht="15" x14ac:dyDescent="0.2">
      <c r="A79" s="4">
        <v>78</v>
      </c>
      <c r="B79" s="5">
        <v>1738</v>
      </c>
      <c r="C79" s="5" t="s">
        <v>120</v>
      </c>
      <c r="D79" s="5" t="s">
        <v>88</v>
      </c>
      <c r="E79" s="5" t="s">
        <v>28</v>
      </c>
      <c r="F79" s="5" t="s">
        <v>93</v>
      </c>
      <c r="G79" s="8">
        <v>44396</v>
      </c>
      <c r="H79" s="6" t="s">
        <v>12</v>
      </c>
      <c r="I79" s="6" t="s">
        <v>13</v>
      </c>
      <c r="J79" s="7" t="s">
        <v>14</v>
      </c>
      <c r="K79" s="7" t="s">
        <v>14</v>
      </c>
      <c r="L79" s="7" t="s">
        <v>14</v>
      </c>
      <c r="M79" s="7" t="s">
        <v>14</v>
      </c>
      <c r="N79" s="7" t="s">
        <v>14</v>
      </c>
      <c r="O79" s="7" t="s">
        <v>14</v>
      </c>
      <c r="P79" s="6" t="s">
        <v>13</v>
      </c>
      <c r="Q79" s="7" t="s">
        <v>14</v>
      </c>
      <c r="R79" s="7" t="s">
        <v>14</v>
      </c>
      <c r="S79" s="7" t="s">
        <v>14</v>
      </c>
      <c r="T79" s="7" t="s">
        <v>14</v>
      </c>
      <c r="U79" s="7" t="s">
        <v>14</v>
      </c>
      <c r="V79" s="7" t="s">
        <v>14</v>
      </c>
      <c r="W79" s="6" t="s">
        <v>13</v>
      </c>
      <c r="X79" s="7" t="s">
        <v>14</v>
      </c>
      <c r="Y79" s="7" t="s">
        <v>14</v>
      </c>
      <c r="Z79" s="7" t="s">
        <v>14</v>
      </c>
      <c r="AA79" s="7" t="s">
        <v>14</v>
      </c>
      <c r="AB79" s="7" t="s">
        <v>14</v>
      </c>
      <c r="AC79" s="7" t="s">
        <v>14</v>
      </c>
      <c r="AD79" s="6" t="s">
        <v>13</v>
      </c>
      <c r="AE79" s="7" t="s">
        <v>14</v>
      </c>
      <c r="AF79" s="7" t="s">
        <v>14</v>
      </c>
      <c r="AG79" s="7" t="s">
        <v>14</v>
      </c>
      <c r="AH79" s="7" t="s">
        <v>14</v>
      </c>
      <c r="AI79" s="7" t="s">
        <v>14</v>
      </c>
      <c r="AJ79" s="7" t="s">
        <v>14</v>
      </c>
      <c r="AK79" s="6" t="s">
        <v>13</v>
      </c>
      <c r="AL79" s="3"/>
      <c r="AM79" s="3"/>
      <c r="AN79" s="3"/>
      <c r="AO79" s="3"/>
      <c r="AP79" s="3"/>
    </row>
    <row r="80" spans="1:42" ht="15" x14ac:dyDescent="0.2">
      <c r="A80" s="4">
        <v>79</v>
      </c>
      <c r="B80" s="5">
        <v>1741</v>
      </c>
      <c r="C80" s="5" t="s">
        <v>121</v>
      </c>
      <c r="D80" s="5" t="s">
        <v>44</v>
      </c>
      <c r="E80" s="5" t="s">
        <v>39</v>
      </c>
      <c r="F80" s="5" t="s">
        <v>89</v>
      </c>
      <c r="G80" s="8">
        <v>44398</v>
      </c>
      <c r="H80" s="6" t="s">
        <v>12</v>
      </c>
      <c r="I80" s="6" t="s">
        <v>13</v>
      </c>
      <c r="J80" s="9">
        <v>0.3840277777777778</v>
      </c>
      <c r="K80" s="10">
        <v>0.36249999999999999</v>
      </c>
      <c r="L80" s="10">
        <v>0.37777777777777777</v>
      </c>
      <c r="M80" s="10">
        <v>0.36944444444444446</v>
      </c>
      <c r="N80" s="10">
        <v>0.37291666666666667</v>
      </c>
      <c r="O80" s="10">
        <v>0.34027777777777779</v>
      </c>
      <c r="P80" s="6" t="s">
        <v>13</v>
      </c>
      <c r="Q80" s="10">
        <v>0.22569444444444445</v>
      </c>
      <c r="R80" s="10">
        <v>0.37152777777777779</v>
      </c>
      <c r="S80" s="10">
        <v>0.37430555555555556</v>
      </c>
      <c r="T80" s="10">
        <v>0.37361111111111112</v>
      </c>
      <c r="U80" s="10">
        <v>0.34930555555555554</v>
      </c>
      <c r="V80" s="10">
        <v>0.3840277777777778</v>
      </c>
      <c r="W80" s="6" t="s">
        <v>13</v>
      </c>
      <c r="X80" s="10">
        <v>0.35625000000000001</v>
      </c>
      <c r="Y80" s="10">
        <v>0.37222222222222223</v>
      </c>
      <c r="Z80" s="10">
        <v>0.375</v>
      </c>
      <c r="AA80" s="10">
        <v>0.36805555555555558</v>
      </c>
      <c r="AB80" s="10">
        <v>0.18194444444444444</v>
      </c>
      <c r="AC80" s="7" t="s">
        <v>14</v>
      </c>
      <c r="AD80" s="6" t="s">
        <v>13</v>
      </c>
      <c r="AE80" s="7" t="s">
        <v>14</v>
      </c>
      <c r="AF80" s="10">
        <v>0.37847222222222221</v>
      </c>
      <c r="AG80" s="10">
        <v>0.18124999999999999</v>
      </c>
      <c r="AH80" s="7" t="s">
        <v>14</v>
      </c>
      <c r="AI80" s="10">
        <v>0.37013888888888891</v>
      </c>
      <c r="AJ80" s="10">
        <v>0.38819444444444445</v>
      </c>
      <c r="AK80" s="6" t="s">
        <v>13</v>
      </c>
      <c r="AL80" s="3"/>
      <c r="AM80" s="3"/>
      <c r="AN80" s="3"/>
      <c r="AO80" s="3"/>
      <c r="AP80" s="3"/>
    </row>
    <row r="81" spans="1:42" ht="15" x14ac:dyDescent="0.2">
      <c r="A81" s="4">
        <v>80</v>
      </c>
      <c r="B81" s="5">
        <v>1745</v>
      </c>
      <c r="C81" s="5" t="s">
        <v>122</v>
      </c>
      <c r="D81" s="5" t="s">
        <v>80</v>
      </c>
      <c r="E81" s="5" t="s">
        <v>20</v>
      </c>
      <c r="F81" s="5" t="s">
        <v>118</v>
      </c>
      <c r="G81" s="8">
        <v>44403</v>
      </c>
      <c r="H81" s="6" t="s">
        <v>12</v>
      </c>
      <c r="I81" s="6" t="s">
        <v>13</v>
      </c>
      <c r="J81" s="9">
        <v>0.39583333333333331</v>
      </c>
      <c r="K81" s="10">
        <v>0.39791666666666664</v>
      </c>
      <c r="L81" s="10">
        <v>0</v>
      </c>
      <c r="M81" s="10">
        <v>0</v>
      </c>
      <c r="N81" s="10">
        <v>0</v>
      </c>
      <c r="O81" s="7" t="s">
        <v>14</v>
      </c>
      <c r="P81" s="6" t="s">
        <v>13</v>
      </c>
      <c r="Q81" s="10">
        <v>0.3576388888888889</v>
      </c>
      <c r="R81" s="10">
        <v>0.27291666666666664</v>
      </c>
      <c r="S81" s="10">
        <v>0.36666666666666664</v>
      </c>
      <c r="T81" s="10">
        <v>0.38958333333333334</v>
      </c>
      <c r="U81" s="7" t="s">
        <v>14</v>
      </c>
      <c r="V81" s="10">
        <v>0.25833333333333336</v>
      </c>
      <c r="W81" s="6" t="s">
        <v>13</v>
      </c>
      <c r="X81" s="10">
        <v>0.35972222222222222</v>
      </c>
      <c r="Y81" s="7" t="s">
        <v>14</v>
      </c>
      <c r="Z81" s="10">
        <v>0.40694444444444444</v>
      </c>
      <c r="AA81" s="10">
        <v>0.40138888888888891</v>
      </c>
      <c r="AB81" s="10">
        <v>0.38333333333333336</v>
      </c>
      <c r="AC81" s="10">
        <v>0.33958333333333335</v>
      </c>
      <c r="AD81" s="6" t="s">
        <v>13</v>
      </c>
      <c r="AE81" s="10">
        <v>0.34930555555555554</v>
      </c>
      <c r="AF81" s="10">
        <v>0.3527777777777778</v>
      </c>
      <c r="AG81" s="10">
        <v>0.36319444444444443</v>
      </c>
      <c r="AH81" s="10">
        <v>0.37430555555555556</v>
      </c>
      <c r="AI81" s="10">
        <v>0.38263888888888886</v>
      </c>
      <c r="AJ81" s="10">
        <v>0.34652777777777777</v>
      </c>
      <c r="AK81" s="6" t="s">
        <v>13</v>
      </c>
      <c r="AL81" s="3"/>
      <c r="AM81" s="3"/>
      <c r="AN81" s="3"/>
      <c r="AO81" s="3"/>
      <c r="AP81" s="3"/>
    </row>
    <row r="82" spans="1:42" ht="15" x14ac:dyDescent="0.2">
      <c r="A82" s="4">
        <v>81</v>
      </c>
      <c r="B82" s="5">
        <v>1754</v>
      </c>
      <c r="C82" s="5" t="s">
        <v>123</v>
      </c>
      <c r="D82" s="5" t="s">
        <v>23</v>
      </c>
      <c r="E82" s="5" t="s">
        <v>20</v>
      </c>
      <c r="F82" s="5" t="s">
        <v>86</v>
      </c>
      <c r="G82" s="25">
        <v>44413</v>
      </c>
      <c r="H82" s="6" t="s">
        <v>12</v>
      </c>
      <c r="I82" s="6" t="s">
        <v>13</v>
      </c>
      <c r="J82" s="7" t="s">
        <v>14</v>
      </c>
      <c r="K82" s="7" t="s">
        <v>14</v>
      </c>
      <c r="L82" s="7" t="s">
        <v>14</v>
      </c>
      <c r="M82" s="7" t="s">
        <v>14</v>
      </c>
      <c r="N82" s="7" t="s">
        <v>14</v>
      </c>
      <c r="O82" s="7" t="s">
        <v>14</v>
      </c>
      <c r="P82" s="6" t="s">
        <v>13</v>
      </c>
      <c r="Q82" s="7" t="s">
        <v>14</v>
      </c>
      <c r="R82" s="7" t="s">
        <v>14</v>
      </c>
      <c r="S82" s="7" t="s">
        <v>14</v>
      </c>
      <c r="T82" s="7" t="s">
        <v>14</v>
      </c>
      <c r="U82" s="7" t="s">
        <v>14</v>
      </c>
      <c r="V82" s="7" t="s">
        <v>14</v>
      </c>
      <c r="W82" s="6" t="s">
        <v>13</v>
      </c>
      <c r="X82" s="7" t="s">
        <v>14</v>
      </c>
      <c r="Y82" s="7" t="s">
        <v>14</v>
      </c>
      <c r="Z82" s="7" t="s">
        <v>14</v>
      </c>
      <c r="AA82" s="7" t="s">
        <v>14</v>
      </c>
      <c r="AB82" s="7" t="s">
        <v>14</v>
      </c>
      <c r="AC82" s="7" t="s">
        <v>14</v>
      </c>
      <c r="AD82" s="6" t="s">
        <v>13</v>
      </c>
      <c r="AE82" s="7" t="s">
        <v>14</v>
      </c>
      <c r="AF82" s="7" t="s">
        <v>14</v>
      </c>
      <c r="AG82" s="7" t="s">
        <v>14</v>
      </c>
      <c r="AH82" s="7" t="s">
        <v>14</v>
      </c>
      <c r="AI82" s="7" t="s">
        <v>14</v>
      </c>
      <c r="AJ82" s="7" t="s">
        <v>14</v>
      </c>
      <c r="AK82" s="6" t="s">
        <v>13</v>
      </c>
      <c r="AL82" s="3"/>
      <c r="AM82" s="3"/>
      <c r="AN82" s="3"/>
      <c r="AO82" s="3"/>
      <c r="AP82" s="3"/>
    </row>
    <row r="83" spans="1:42" ht="15" x14ac:dyDescent="0.2">
      <c r="A83" s="4">
        <v>82</v>
      </c>
      <c r="B83" s="5">
        <v>1761</v>
      </c>
      <c r="C83" s="5" t="s">
        <v>9</v>
      </c>
      <c r="D83" s="5" t="s">
        <v>19</v>
      </c>
      <c r="E83" s="5" t="s">
        <v>124</v>
      </c>
      <c r="F83" s="5" t="s">
        <v>125</v>
      </c>
      <c r="G83" s="8">
        <v>44424</v>
      </c>
      <c r="H83" s="6" t="s">
        <v>12</v>
      </c>
      <c r="I83" s="6" t="s">
        <v>13</v>
      </c>
      <c r="J83" s="9">
        <v>0.41805555555555557</v>
      </c>
      <c r="K83" s="10">
        <v>0.36527777777777776</v>
      </c>
      <c r="L83" s="10">
        <v>0.33750000000000002</v>
      </c>
      <c r="M83" s="10">
        <v>0.41875000000000001</v>
      </c>
      <c r="N83" s="10">
        <v>0.36527777777777776</v>
      </c>
      <c r="O83" s="10">
        <v>0.23333333333333334</v>
      </c>
      <c r="P83" s="6" t="s">
        <v>13</v>
      </c>
      <c r="Q83" s="10">
        <v>0.39861111111111114</v>
      </c>
      <c r="R83" s="10">
        <v>0.37916666666666665</v>
      </c>
      <c r="S83" s="10">
        <v>0.35347222222222224</v>
      </c>
      <c r="T83" s="10">
        <v>0.36527777777777776</v>
      </c>
      <c r="U83" s="10">
        <v>0.38472222222222224</v>
      </c>
      <c r="V83" s="10">
        <v>0.29444444444444445</v>
      </c>
      <c r="W83" s="6" t="s">
        <v>13</v>
      </c>
      <c r="X83" s="10">
        <v>0.35138888888888886</v>
      </c>
      <c r="Y83" s="10">
        <v>0.33333333333333331</v>
      </c>
      <c r="Z83" s="10">
        <v>0.37013888888888891</v>
      </c>
      <c r="AA83" s="10">
        <v>0.4</v>
      </c>
      <c r="AB83" s="10">
        <v>0.47361111111111109</v>
      </c>
      <c r="AC83" s="7" t="s">
        <v>14</v>
      </c>
      <c r="AD83" s="6" t="s">
        <v>13</v>
      </c>
      <c r="AE83" s="10">
        <v>0.37430555555555556</v>
      </c>
      <c r="AF83" s="10">
        <v>0.38750000000000001</v>
      </c>
      <c r="AG83" s="10">
        <v>0.39444444444444443</v>
      </c>
      <c r="AH83" s="10">
        <v>0.34305555555555556</v>
      </c>
      <c r="AI83" s="10">
        <v>0.38750000000000001</v>
      </c>
      <c r="AJ83" s="10">
        <v>0.3840277777777778</v>
      </c>
      <c r="AK83" s="6" t="s">
        <v>13</v>
      </c>
      <c r="AL83" s="3"/>
      <c r="AM83" s="3"/>
      <c r="AN83" s="3"/>
      <c r="AO83" s="3"/>
      <c r="AP83" s="3"/>
    </row>
    <row r="84" spans="1:42" ht="15" x14ac:dyDescent="0.2">
      <c r="A84" s="4">
        <v>83</v>
      </c>
      <c r="B84" s="5">
        <v>1768</v>
      </c>
      <c r="C84" s="5" t="s">
        <v>126</v>
      </c>
      <c r="D84" s="5" t="s">
        <v>23</v>
      </c>
      <c r="E84" s="5" t="s">
        <v>39</v>
      </c>
      <c r="F84" s="5" t="s">
        <v>89</v>
      </c>
      <c r="G84" s="25">
        <v>44441</v>
      </c>
      <c r="H84" s="10">
        <v>0</v>
      </c>
      <c r="I84" s="6" t="s">
        <v>13</v>
      </c>
      <c r="J84" s="9">
        <v>0.22430555555555556</v>
      </c>
      <c r="K84" s="10">
        <v>0.42152777777777778</v>
      </c>
      <c r="L84" s="7" t="s">
        <v>14</v>
      </c>
      <c r="M84" s="10">
        <v>0.44861111111111113</v>
      </c>
      <c r="N84" s="10">
        <v>0.36944444444444446</v>
      </c>
      <c r="O84" s="10">
        <v>0.37013888888888891</v>
      </c>
      <c r="P84" s="6" t="s">
        <v>13</v>
      </c>
      <c r="Q84" s="10">
        <v>0.38333333333333336</v>
      </c>
      <c r="R84" s="7" t="s">
        <v>14</v>
      </c>
      <c r="S84" s="7" t="s">
        <v>14</v>
      </c>
      <c r="T84" s="10">
        <v>0.43055555555555558</v>
      </c>
      <c r="U84" s="10">
        <v>0.40347222222222223</v>
      </c>
      <c r="V84" s="10">
        <v>0.31805555555555554</v>
      </c>
      <c r="W84" s="10">
        <v>0.2298611111111111</v>
      </c>
      <c r="X84" s="10">
        <v>0.44513888888888886</v>
      </c>
      <c r="Y84" s="10">
        <v>0.44444444444444442</v>
      </c>
      <c r="Z84" s="10">
        <v>0.46111111111111114</v>
      </c>
      <c r="AA84" s="10">
        <v>0.31597222222222221</v>
      </c>
      <c r="AB84" s="10">
        <v>0.46180555555555558</v>
      </c>
      <c r="AC84" s="10">
        <v>0.38541666666666669</v>
      </c>
      <c r="AD84" s="6" t="s">
        <v>13</v>
      </c>
      <c r="AE84" s="10">
        <v>0.38194444444444442</v>
      </c>
      <c r="AF84" s="10">
        <v>0.43472222222222223</v>
      </c>
      <c r="AG84" s="10">
        <v>0.29236111111111113</v>
      </c>
      <c r="AH84" s="10">
        <v>0.34236111111111112</v>
      </c>
      <c r="AI84" s="10">
        <v>0.44305555555555554</v>
      </c>
      <c r="AJ84" s="10">
        <v>0.42083333333333334</v>
      </c>
      <c r="AK84" s="6" t="s">
        <v>13</v>
      </c>
      <c r="AL84" s="3"/>
      <c r="AM84" s="3"/>
      <c r="AN84" s="3"/>
      <c r="AO84" s="3"/>
      <c r="AP84" s="3"/>
    </row>
    <row r="85" spans="1:42" ht="15" x14ac:dyDescent="0.2">
      <c r="A85" s="4">
        <v>84</v>
      </c>
      <c r="B85" s="5">
        <v>1780</v>
      </c>
      <c r="C85" s="5" t="s">
        <v>127</v>
      </c>
      <c r="D85" s="5" t="s">
        <v>88</v>
      </c>
      <c r="E85" s="5" t="s">
        <v>45</v>
      </c>
      <c r="F85" s="5" t="s">
        <v>89</v>
      </c>
      <c r="G85" s="8">
        <v>44450</v>
      </c>
      <c r="H85" s="6" t="s">
        <v>12</v>
      </c>
      <c r="I85" s="6" t="s">
        <v>13</v>
      </c>
      <c r="J85" s="9">
        <v>0.38124999999999998</v>
      </c>
      <c r="K85" s="10">
        <v>0.33680555555555558</v>
      </c>
      <c r="L85" s="10">
        <v>0.38541666666666669</v>
      </c>
      <c r="M85" s="10">
        <v>0.38472222222222224</v>
      </c>
      <c r="N85" s="10">
        <v>0.35138888888888886</v>
      </c>
      <c r="O85" s="7" t="s">
        <v>14</v>
      </c>
      <c r="P85" s="6" t="s">
        <v>13</v>
      </c>
      <c r="Q85" s="10">
        <v>0.37430555555555556</v>
      </c>
      <c r="R85" s="10">
        <v>0.37777777777777777</v>
      </c>
      <c r="S85" s="10">
        <v>0</v>
      </c>
      <c r="T85" s="10">
        <v>0</v>
      </c>
      <c r="U85" s="7" t="s">
        <v>14</v>
      </c>
      <c r="V85" s="10">
        <v>0.35625000000000001</v>
      </c>
      <c r="W85" s="6" t="s">
        <v>13</v>
      </c>
      <c r="X85" s="10">
        <v>0.37222222222222223</v>
      </c>
      <c r="Y85" s="10">
        <v>0.34652777777777777</v>
      </c>
      <c r="Z85" s="7" t="s">
        <v>14</v>
      </c>
      <c r="AA85" s="10">
        <v>0.35694444444444445</v>
      </c>
      <c r="AB85" s="10">
        <v>0.38263888888888886</v>
      </c>
      <c r="AC85" s="7" t="s">
        <v>14</v>
      </c>
      <c r="AD85" s="6" t="s">
        <v>13</v>
      </c>
      <c r="AE85" s="10">
        <v>0.37916666666666665</v>
      </c>
      <c r="AF85" s="10">
        <v>0.35625000000000001</v>
      </c>
      <c r="AG85" s="10">
        <v>0.3840277777777778</v>
      </c>
      <c r="AH85" s="10">
        <v>0.36319444444444443</v>
      </c>
      <c r="AI85" s="10">
        <v>0.3923611111111111</v>
      </c>
      <c r="AJ85" s="7" t="s">
        <v>14</v>
      </c>
      <c r="AK85" s="6" t="s">
        <v>13</v>
      </c>
      <c r="AL85" s="3"/>
      <c r="AM85" s="3"/>
      <c r="AN85" s="3"/>
      <c r="AO85" s="3"/>
      <c r="AP85" s="3"/>
    </row>
    <row r="86" spans="1:42" ht="15" x14ac:dyDescent="0.2">
      <c r="A86" s="4">
        <v>85</v>
      </c>
      <c r="B86" s="5">
        <v>1786</v>
      </c>
      <c r="C86" s="5" t="s">
        <v>128</v>
      </c>
      <c r="D86" s="5" t="s">
        <v>88</v>
      </c>
      <c r="E86" s="5" t="s">
        <v>45</v>
      </c>
      <c r="F86" s="5" t="s">
        <v>89</v>
      </c>
      <c r="G86" s="8">
        <v>44452</v>
      </c>
      <c r="H86" s="6" t="s">
        <v>12</v>
      </c>
      <c r="I86" s="6" t="s">
        <v>13</v>
      </c>
      <c r="J86" s="9">
        <v>0.3659722222222222</v>
      </c>
      <c r="K86" s="10">
        <v>0.40069444444444446</v>
      </c>
      <c r="L86" s="7" t="s">
        <v>14</v>
      </c>
      <c r="M86" s="10">
        <v>0</v>
      </c>
      <c r="N86" s="10">
        <v>0.37638888888888888</v>
      </c>
      <c r="O86" s="7" t="s">
        <v>14</v>
      </c>
      <c r="P86" s="6" t="s">
        <v>13</v>
      </c>
      <c r="Q86" s="10">
        <v>0.36180555555555555</v>
      </c>
      <c r="R86" s="10">
        <v>0.36736111111111114</v>
      </c>
      <c r="S86" s="10">
        <v>0.38472222222222224</v>
      </c>
      <c r="T86" s="10">
        <v>0.36805555555555558</v>
      </c>
      <c r="U86" s="10">
        <v>0.38055555555555554</v>
      </c>
      <c r="V86" s="10">
        <v>0.34027777777777779</v>
      </c>
      <c r="W86" s="6" t="s">
        <v>13</v>
      </c>
      <c r="X86" s="10">
        <v>0.38333333333333336</v>
      </c>
      <c r="Y86" s="10">
        <v>0.37430555555555556</v>
      </c>
      <c r="Z86" s="10">
        <v>0.3659722222222222</v>
      </c>
      <c r="AA86" s="10">
        <v>0.38680555555555557</v>
      </c>
      <c r="AB86" s="10">
        <v>0.38680555555555557</v>
      </c>
      <c r="AC86" s="10">
        <v>0.36180555555555555</v>
      </c>
      <c r="AD86" s="6" t="s">
        <v>13</v>
      </c>
      <c r="AE86" s="10">
        <v>0.40138888888888891</v>
      </c>
      <c r="AF86" s="10">
        <v>0.34375</v>
      </c>
      <c r="AG86" s="10">
        <v>0.41597222222222224</v>
      </c>
      <c r="AH86" s="10">
        <v>0.40347222222222223</v>
      </c>
      <c r="AI86" s="10">
        <v>0.2298611111111111</v>
      </c>
      <c r="AJ86" s="10">
        <v>0.33750000000000002</v>
      </c>
      <c r="AK86" s="6" t="s">
        <v>13</v>
      </c>
      <c r="AL86" s="3"/>
      <c r="AM86" s="3"/>
      <c r="AN86" s="3"/>
      <c r="AO86" s="3"/>
      <c r="AP86" s="3"/>
    </row>
    <row r="87" spans="1:42" ht="15" x14ac:dyDescent="0.2">
      <c r="A87" s="4">
        <v>86</v>
      </c>
      <c r="B87" s="5">
        <v>1792</v>
      </c>
      <c r="C87" s="5" t="s">
        <v>129</v>
      </c>
      <c r="D87" s="5" t="s">
        <v>77</v>
      </c>
      <c r="E87" s="5" t="s">
        <v>130</v>
      </c>
      <c r="F87" s="5" t="s">
        <v>131</v>
      </c>
      <c r="G87" s="8">
        <v>44466</v>
      </c>
      <c r="H87" s="6" t="s">
        <v>12</v>
      </c>
      <c r="I87" s="6" t="s">
        <v>13</v>
      </c>
      <c r="J87" s="7" t="s">
        <v>14</v>
      </c>
      <c r="K87" s="7" t="s">
        <v>14</v>
      </c>
      <c r="L87" s="7" t="s">
        <v>14</v>
      </c>
      <c r="M87" s="7" t="s">
        <v>14</v>
      </c>
      <c r="N87" s="7" t="s">
        <v>14</v>
      </c>
      <c r="O87" s="7" t="s">
        <v>14</v>
      </c>
      <c r="P87" s="6" t="s">
        <v>13</v>
      </c>
      <c r="Q87" s="7" t="s">
        <v>14</v>
      </c>
      <c r="R87" s="7" t="s">
        <v>14</v>
      </c>
      <c r="S87" s="7" t="s">
        <v>14</v>
      </c>
      <c r="T87" s="7" t="s">
        <v>14</v>
      </c>
      <c r="U87" s="7" t="s">
        <v>14</v>
      </c>
      <c r="V87" s="7" t="s">
        <v>14</v>
      </c>
      <c r="W87" s="6" t="s">
        <v>13</v>
      </c>
      <c r="X87" s="7" t="s">
        <v>14</v>
      </c>
      <c r="Y87" s="7" t="s">
        <v>14</v>
      </c>
      <c r="Z87" s="7" t="s">
        <v>14</v>
      </c>
      <c r="AA87" s="7" t="s">
        <v>14</v>
      </c>
      <c r="AB87" s="7" t="s">
        <v>14</v>
      </c>
      <c r="AC87" s="7" t="s">
        <v>14</v>
      </c>
      <c r="AD87" s="6" t="s">
        <v>13</v>
      </c>
      <c r="AE87" s="7" t="s">
        <v>14</v>
      </c>
      <c r="AF87" s="7" t="s">
        <v>14</v>
      </c>
      <c r="AG87" s="7" t="s">
        <v>14</v>
      </c>
      <c r="AH87" s="7" t="s">
        <v>14</v>
      </c>
      <c r="AI87" s="7" t="s">
        <v>14</v>
      </c>
      <c r="AJ87" s="7" t="s">
        <v>14</v>
      </c>
      <c r="AK87" s="6" t="s">
        <v>13</v>
      </c>
      <c r="AL87" s="3"/>
      <c r="AM87" s="3"/>
      <c r="AN87" s="3"/>
      <c r="AO87" s="3"/>
      <c r="AP87" s="3"/>
    </row>
    <row r="88" spans="1:42" ht="15" x14ac:dyDescent="0.2">
      <c r="A88" s="4">
        <v>87</v>
      </c>
      <c r="B88" s="5">
        <v>1795</v>
      </c>
      <c r="C88" s="5" t="s">
        <v>132</v>
      </c>
      <c r="D88" s="5" t="s">
        <v>80</v>
      </c>
      <c r="E88" s="5" t="s">
        <v>39</v>
      </c>
      <c r="F88" s="5" t="s">
        <v>89</v>
      </c>
      <c r="G88" s="25">
        <v>44470</v>
      </c>
      <c r="H88" s="6" t="s">
        <v>12</v>
      </c>
      <c r="I88" s="6" t="s">
        <v>13</v>
      </c>
      <c r="J88" s="9">
        <v>0.375</v>
      </c>
      <c r="K88" s="10">
        <v>0.36180555555555555</v>
      </c>
      <c r="L88" s="10">
        <v>0.37708333333333333</v>
      </c>
      <c r="M88" s="7" t="s">
        <v>14</v>
      </c>
      <c r="N88" s="10">
        <v>0.35833333333333334</v>
      </c>
      <c r="O88" s="10">
        <v>0.36041666666666666</v>
      </c>
      <c r="P88" s="6" t="s">
        <v>13</v>
      </c>
      <c r="Q88" s="10">
        <v>0.37152777777777779</v>
      </c>
      <c r="R88" s="10">
        <v>0.36805555555555558</v>
      </c>
      <c r="S88" s="10">
        <v>0.2076388888888889</v>
      </c>
      <c r="T88" s="10">
        <v>0.38194444444444442</v>
      </c>
      <c r="U88" s="10">
        <v>0.24791666666666667</v>
      </c>
      <c r="V88" s="7" t="s">
        <v>14</v>
      </c>
      <c r="W88" s="6" t="s">
        <v>13</v>
      </c>
      <c r="X88" s="10">
        <v>0.23333333333333334</v>
      </c>
      <c r="Y88" s="10">
        <v>0.37222222222222223</v>
      </c>
      <c r="Z88" s="10">
        <v>0.35625000000000001</v>
      </c>
      <c r="AA88" s="10">
        <v>0.19305555555555556</v>
      </c>
      <c r="AB88" s="10">
        <v>0.36875000000000002</v>
      </c>
      <c r="AC88" s="10">
        <v>0.36805555555555558</v>
      </c>
      <c r="AD88" s="6" t="s">
        <v>13</v>
      </c>
      <c r="AE88" s="10">
        <v>0.37222222222222223</v>
      </c>
      <c r="AF88" s="10">
        <v>0.36458333333333331</v>
      </c>
      <c r="AG88" s="10">
        <v>0.37083333333333335</v>
      </c>
      <c r="AH88" s="7" t="s">
        <v>14</v>
      </c>
      <c r="AI88" s="10">
        <v>0.38194444444444442</v>
      </c>
      <c r="AJ88" s="10">
        <v>0.36458333333333331</v>
      </c>
      <c r="AK88" s="6" t="s">
        <v>13</v>
      </c>
      <c r="AL88" s="3"/>
      <c r="AM88" s="3"/>
      <c r="AN88" s="3"/>
      <c r="AO88" s="3"/>
      <c r="AP88" s="3"/>
    </row>
    <row r="89" spans="1:42" ht="15" x14ac:dyDescent="0.2">
      <c r="A89" s="4">
        <v>88</v>
      </c>
      <c r="B89" s="5">
        <v>1814</v>
      </c>
      <c r="C89" s="5" t="s">
        <v>133</v>
      </c>
      <c r="D89" s="5" t="s">
        <v>77</v>
      </c>
      <c r="E89" s="5" t="s">
        <v>124</v>
      </c>
      <c r="F89" s="5" t="s">
        <v>131</v>
      </c>
      <c r="G89" s="25">
        <v>44505</v>
      </c>
      <c r="H89" s="6" t="s">
        <v>12</v>
      </c>
      <c r="I89" s="6" t="s">
        <v>13</v>
      </c>
      <c r="J89" s="9">
        <v>0.33333333333333331</v>
      </c>
      <c r="K89" s="10">
        <v>0.35833333333333334</v>
      </c>
      <c r="L89" s="10">
        <v>0.35416666666666669</v>
      </c>
      <c r="M89" s="10">
        <v>0</v>
      </c>
      <c r="N89" s="10">
        <v>0.36319444444444443</v>
      </c>
      <c r="O89" s="10">
        <v>0.33958333333333335</v>
      </c>
      <c r="P89" s="6" t="s">
        <v>13</v>
      </c>
      <c r="Q89" s="10">
        <v>0.35138888888888886</v>
      </c>
      <c r="R89" s="10">
        <v>0.35</v>
      </c>
      <c r="S89" s="10">
        <v>0.34930555555555554</v>
      </c>
      <c r="T89" s="10">
        <v>0.37361111111111112</v>
      </c>
      <c r="U89" s="10">
        <v>0.43194444444444446</v>
      </c>
      <c r="V89" s="10">
        <v>0.30972222222222223</v>
      </c>
      <c r="W89" s="6" t="s">
        <v>13</v>
      </c>
      <c r="X89" s="10">
        <v>0.36527777777777776</v>
      </c>
      <c r="Y89" s="10">
        <v>0.35625000000000001</v>
      </c>
      <c r="Z89" s="10">
        <v>0.45763888888888887</v>
      </c>
      <c r="AA89" s="10">
        <v>0.34444444444444444</v>
      </c>
      <c r="AB89" s="10">
        <v>0.35625000000000001</v>
      </c>
      <c r="AC89" s="7" t="s">
        <v>14</v>
      </c>
      <c r="AD89" s="6" t="s">
        <v>13</v>
      </c>
      <c r="AE89" s="10">
        <v>0.34791666666666665</v>
      </c>
      <c r="AF89" s="10">
        <v>0.27430555555555558</v>
      </c>
      <c r="AG89" s="10">
        <v>0.35069444444444442</v>
      </c>
      <c r="AH89" s="10">
        <v>0.33194444444444443</v>
      </c>
      <c r="AI89" s="10">
        <v>0.31180555555555556</v>
      </c>
      <c r="AJ89" s="10">
        <v>0.34027777777777779</v>
      </c>
      <c r="AK89" s="6" t="s">
        <v>13</v>
      </c>
      <c r="AL89" s="3"/>
      <c r="AM89" s="3"/>
      <c r="AN89" s="3"/>
      <c r="AO89" s="3"/>
      <c r="AP89" s="3"/>
    </row>
    <row r="90" spans="1:42" ht="15" x14ac:dyDescent="0.2">
      <c r="A90" s="4">
        <v>89</v>
      </c>
      <c r="B90" s="5">
        <v>1823</v>
      </c>
      <c r="C90" s="5" t="s">
        <v>134</v>
      </c>
      <c r="D90" s="5" t="s">
        <v>80</v>
      </c>
      <c r="E90" s="5" t="s">
        <v>45</v>
      </c>
      <c r="F90" s="5" t="s">
        <v>86</v>
      </c>
      <c r="G90" s="8">
        <v>44526</v>
      </c>
      <c r="H90" s="6" t="s">
        <v>12</v>
      </c>
      <c r="I90" s="6" t="s">
        <v>13</v>
      </c>
      <c r="J90" s="9">
        <v>0.39166666666666666</v>
      </c>
      <c r="K90" s="10">
        <v>0</v>
      </c>
      <c r="L90" s="10">
        <v>0.37638888888888888</v>
      </c>
      <c r="M90" s="10">
        <v>0</v>
      </c>
      <c r="N90" s="10">
        <v>0.34513888888888888</v>
      </c>
      <c r="O90" s="10">
        <v>0.38194444444444442</v>
      </c>
      <c r="P90" s="6" t="s">
        <v>13</v>
      </c>
      <c r="Q90" s="10">
        <v>0.35069444444444442</v>
      </c>
      <c r="R90" s="10">
        <v>0.41736111111111113</v>
      </c>
      <c r="S90" s="10">
        <v>0.36041666666666666</v>
      </c>
      <c r="T90" s="10">
        <v>0.34513888888888888</v>
      </c>
      <c r="U90" s="10">
        <v>0.375</v>
      </c>
      <c r="V90" s="7" t="s">
        <v>14</v>
      </c>
      <c r="W90" s="6" t="s">
        <v>13</v>
      </c>
      <c r="X90" s="10">
        <v>0.36458333333333331</v>
      </c>
      <c r="Y90" s="10">
        <v>0.36388888888888887</v>
      </c>
      <c r="Z90" s="10">
        <v>0.36249999999999999</v>
      </c>
      <c r="AA90" s="10">
        <v>0.3576388888888889</v>
      </c>
      <c r="AB90" s="10">
        <v>0.38611111111111113</v>
      </c>
      <c r="AC90" s="10">
        <v>0</v>
      </c>
      <c r="AD90" s="6" t="s">
        <v>13</v>
      </c>
      <c r="AE90" s="10">
        <v>0.37847222222222221</v>
      </c>
      <c r="AF90" s="10">
        <v>0.36805555555555558</v>
      </c>
      <c r="AG90" s="10">
        <v>0.37361111111111112</v>
      </c>
      <c r="AH90" s="10">
        <v>0.34930555555555554</v>
      </c>
      <c r="AI90" s="10">
        <v>0.3611111111111111</v>
      </c>
      <c r="AJ90" s="10">
        <v>0.27777777777777779</v>
      </c>
      <c r="AK90" s="6" t="s">
        <v>13</v>
      </c>
      <c r="AL90" s="3"/>
      <c r="AM90" s="3"/>
      <c r="AN90" s="3"/>
      <c r="AO90" s="3"/>
      <c r="AP90" s="3"/>
    </row>
    <row r="91" spans="1:42" ht="15" x14ac:dyDescent="0.2">
      <c r="A91" s="4">
        <v>90</v>
      </c>
      <c r="B91" s="5">
        <v>1826</v>
      </c>
      <c r="C91" s="5" t="s">
        <v>135</v>
      </c>
      <c r="D91" s="5" t="s">
        <v>136</v>
      </c>
      <c r="E91" s="5" t="s">
        <v>137</v>
      </c>
      <c r="F91" s="5" t="s">
        <v>89</v>
      </c>
      <c r="G91" s="8">
        <v>44529</v>
      </c>
      <c r="H91" s="6" t="s">
        <v>12</v>
      </c>
      <c r="I91" s="6" t="s">
        <v>13</v>
      </c>
      <c r="J91" s="7" t="s">
        <v>14</v>
      </c>
      <c r="K91" s="7" t="s">
        <v>14</v>
      </c>
      <c r="L91" s="7" t="s">
        <v>14</v>
      </c>
      <c r="M91" s="7" t="s">
        <v>14</v>
      </c>
      <c r="N91" s="7" t="s">
        <v>14</v>
      </c>
      <c r="O91" s="7" t="s">
        <v>14</v>
      </c>
      <c r="P91" s="6" t="s">
        <v>13</v>
      </c>
      <c r="Q91" s="7" t="s">
        <v>14</v>
      </c>
      <c r="R91" s="7" t="s">
        <v>14</v>
      </c>
      <c r="S91" s="7" t="s">
        <v>14</v>
      </c>
      <c r="T91" s="7" t="s">
        <v>14</v>
      </c>
      <c r="U91" s="7" t="s">
        <v>14</v>
      </c>
      <c r="V91" s="7" t="s">
        <v>14</v>
      </c>
      <c r="W91" s="6" t="s">
        <v>13</v>
      </c>
      <c r="X91" s="7" t="s">
        <v>14</v>
      </c>
      <c r="Y91" s="7" t="s">
        <v>14</v>
      </c>
      <c r="Z91" s="7" t="s">
        <v>14</v>
      </c>
      <c r="AA91" s="7" t="s">
        <v>14</v>
      </c>
      <c r="AB91" s="7" t="s">
        <v>14</v>
      </c>
      <c r="AC91" s="7" t="s">
        <v>14</v>
      </c>
      <c r="AD91" s="6" t="s">
        <v>13</v>
      </c>
      <c r="AE91" s="7" t="s">
        <v>14</v>
      </c>
      <c r="AF91" s="7" t="s">
        <v>14</v>
      </c>
      <c r="AG91" s="7" t="s">
        <v>14</v>
      </c>
      <c r="AH91" s="7" t="s">
        <v>14</v>
      </c>
      <c r="AI91" s="7" t="s">
        <v>14</v>
      </c>
      <c r="AJ91" s="7" t="s">
        <v>14</v>
      </c>
      <c r="AK91" s="6" t="s">
        <v>13</v>
      </c>
      <c r="AL91" s="3"/>
      <c r="AM91" s="3"/>
      <c r="AN91" s="3"/>
      <c r="AO91" s="3"/>
      <c r="AP91" s="3"/>
    </row>
    <row r="92" spans="1:42" ht="15" x14ac:dyDescent="0.2">
      <c r="A92" s="4">
        <v>91</v>
      </c>
      <c r="B92" s="5">
        <v>1827</v>
      </c>
      <c r="C92" s="5" t="s">
        <v>138</v>
      </c>
      <c r="D92" s="5" t="s">
        <v>19</v>
      </c>
      <c r="E92" s="5" t="s">
        <v>9</v>
      </c>
      <c r="F92" s="5" t="s">
        <v>89</v>
      </c>
      <c r="G92" s="5" t="s">
        <v>139</v>
      </c>
      <c r="H92" s="6" t="s">
        <v>12</v>
      </c>
      <c r="I92" s="6" t="s">
        <v>13</v>
      </c>
      <c r="J92" s="9">
        <v>0.37222222222222223</v>
      </c>
      <c r="K92" s="10">
        <v>0.37777777777777777</v>
      </c>
      <c r="L92" s="10">
        <v>0.38680555555555557</v>
      </c>
      <c r="M92" s="10">
        <v>0.37638888888888888</v>
      </c>
      <c r="N92" s="10">
        <v>0.35902777777777778</v>
      </c>
      <c r="O92" s="10">
        <v>0.35555555555555557</v>
      </c>
      <c r="P92" s="6" t="s">
        <v>13</v>
      </c>
      <c r="Q92" s="7" t="s">
        <v>14</v>
      </c>
      <c r="R92" s="10">
        <v>0.37222222222222223</v>
      </c>
      <c r="S92" s="10">
        <v>0.36736111111111114</v>
      </c>
      <c r="T92" s="10">
        <v>0.37569444444444444</v>
      </c>
      <c r="U92" s="10">
        <v>0.38541666666666669</v>
      </c>
      <c r="V92" s="7" t="s">
        <v>14</v>
      </c>
      <c r="W92" s="6" t="s">
        <v>13</v>
      </c>
      <c r="X92" s="10">
        <v>0.36944444444444446</v>
      </c>
      <c r="Y92" s="10">
        <v>0.38124999999999998</v>
      </c>
      <c r="Z92" s="10">
        <v>0.37013888888888891</v>
      </c>
      <c r="AA92" s="10">
        <v>0.37638888888888888</v>
      </c>
      <c r="AB92" s="10">
        <v>0.37430555555555556</v>
      </c>
      <c r="AC92" s="10">
        <v>0.35416666666666669</v>
      </c>
      <c r="AD92" s="6" t="s">
        <v>13</v>
      </c>
      <c r="AE92" s="10">
        <v>0.38333333333333336</v>
      </c>
      <c r="AF92" s="10">
        <v>0.20416666666666666</v>
      </c>
      <c r="AG92" s="10">
        <v>0.37291666666666667</v>
      </c>
      <c r="AH92" s="10">
        <v>0.3840277777777778</v>
      </c>
      <c r="AI92" s="10">
        <v>0.37152777777777779</v>
      </c>
      <c r="AJ92" s="10">
        <v>0.37569444444444444</v>
      </c>
      <c r="AK92" s="6" t="s">
        <v>13</v>
      </c>
      <c r="AL92" s="3"/>
      <c r="AM92" s="3"/>
      <c r="AN92" s="3"/>
      <c r="AO92" s="3"/>
      <c r="AP92" s="3"/>
    </row>
    <row r="93" spans="1:42" ht="15" x14ac:dyDescent="0.2">
      <c r="A93" s="4">
        <v>92</v>
      </c>
      <c r="B93" s="5">
        <v>1833</v>
      </c>
      <c r="C93" s="5" t="s">
        <v>140</v>
      </c>
      <c r="D93" s="5" t="s">
        <v>74</v>
      </c>
      <c r="E93" s="5" t="s">
        <v>124</v>
      </c>
      <c r="F93" s="5" t="s">
        <v>141</v>
      </c>
      <c r="G93" s="25">
        <v>44538</v>
      </c>
      <c r="H93" s="6" t="s">
        <v>12</v>
      </c>
      <c r="I93" s="6" t="s">
        <v>13</v>
      </c>
      <c r="J93" s="9">
        <v>0.35902777777777778</v>
      </c>
      <c r="K93" s="10">
        <v>0.3527777777777778</v>
      </c>
      <c r="L93" s="10">
        <v>0.37152777777777779</v>
      </c>
      <c r="M93" s="10">
        <v>0.36458333333333331</v>
      </c>
      <c r="N93" s="10">
        <v>0.35069444444444442</v>
      </c>
      <c r="O93" s="7" t="s">
        <v>14</v>
      </c>
      <c r="P93" s="6" t="s">
        <v>13</v>
      </c>
      <c r="Q93" s="10">
        <v>0.36319444444444443</v>
      </c>
      <c r="R93" s="10">
        <v>0.3611111111111111</v>
      </c>
      <c r="S93" s="10">
        <v>0.37916666666666665</v>
      </c>
      <c r="T93" s="10">
        <v>0.37013888888888891</v>
      </c>
      <c r="U93" s="10">
        <v>0.34861111111111109</v>
      </c>
      <c r="V93" s="7" t="s">
        <v>14</v>
      </c>
      <c r="W93" s="6" t="s">
        <v>13</v>
      </c>
      <c r="X93" s="10">
        <v>0.36944444444444446</v>
      </c>
      <c r="Y93" s="10">
        <v>0.37569444444444444</v>
      </c>
      <c r="Z93" s="7" t="s">
        <v>14</v>
      </c>
      <c r="AA93" s="10">
        <v>0.375</v>
      </c>
      <c r="AB93" s="10">
        <v>0.36875000000000002</v>
      </c>
      <c r="AC93" s="7" t="s">
        <v>14</v>
      </c>
      <c r="AD93" s="6" t="s">
        <v>13</v>
      </c>
      <c r="AE93" s="7" t="s">
        <v>14</v>
      </c>
      <c r="AF93" s="7" t="s">
        <v>14</v>
      </c>
      <c r="AG93" s="10">
        <v>0.29236111111111113</v>
      </c>
      <c r="AH93" s="10">
        <v>0.36388888888888887</v>
      </c>
      <c r="AI93" s="10">
        <v>0.32777777777777778</v>
      </c>
      <c r="AJ93" s="7" t="s">
        <v>14</v>
      </c>
      <c r="AK93" s="6" t="s">
        <v>13</v>
      </c>
      <c r="AL93" s="3"/>
      <c r="AM93" s="3"/>
      <c r="AN93" s="3"/>
      <c r="AO93" s="3"/>
      <c r="AP93" s="3"/>
    </row>
    <row r="94" spans="1:42" ht="15" x14ac:dyDescent="0.2">
      <c r="A94" s="4">
        <v>93</v>
      </c>
      <c r="B94" s="5">
        <v>1851</v>
      </c>
      <c r="C94" s="5" t="s">
        <v>142</v>
      </c>
      <c r="D94" s="5" t="s">
        <v>88</v>
      </c>
      <c r="E94" s="5" t="s">
        <v>39</v>
      </c>
      <c r="F94" s="5" t="s">
        <v>93</v>
      </c>
      <c r="G94" s="8">
        <v>44557</v>
      </c>
      <c r="H94" s="6" t="s">
        <v>12</v>
      </c>
      <c r="I94" s="6" t="s">
        <v>13</v>
      </c>
      <c r="J94" s="7" t="s">
        <v>14</v>
      </c>
      <c r="K94" s="7" t="s">
        <v>14</v>
      </c>
      <c r="L94" s="10">
        <v>0.37986111111111109</v>
      </c>
      <c r="M94" s="10">
        <v>0.37430555555555556</v>
      </c>
      <c r="N94" s="10">
        <v>0.37916666666666665</v>
      </c>
      <c r="O94" s="10">
        <v>0.38055555555555554</v>
      </c>
      <c r="P94" s="6" t="s">
        <v>13</v>
      </c>
      <c r="Q94" s="10">
        <v>0.37847222222222221</v>
      </c>
      <c r="R94" s="10">
        <v>0.37638888888888888</v>
      </c>
      <c r="S94" s="10">
        <v>0.37847222222222221</v>
      </c>
      <c r="T94" s="10">
        <v>0.37708333333333333</v>
      </c>
      <c r="U94" s="10">
        <v>0.46875</v>
      </c>
      <c r="V94" s="7" t="s">
        <v>14</v>
      </c>
      <c r="W94" s="6" t="s">
        <v>13</v>
      </c>
      <c r="X94" s="10">
        <v>0.37569444444444444</v>
      </c>
      <c r="Y94" s="10">
        <v>0.375</v>
      </c>
      <c r="Z94" s="10">
        <v>0.37916666666666665</v>
      </c>
      <c r="AA94" s="10">
        <v>0.37708333333333333</v>
      </c>
      <c r="AB94" s="10">
        <v>0.37638888888888888</v>
      </c>
      <c r="AC94" s="10">
        <v>0.37777777777777777</v>
      </c>
      <c r="AD94" s="6" t="s">
        <v>13</v>
      </c>
      <c r="AE94" s="10">
        <v>0.37986111111111109</v>
      </c>
      <c r="AF94" s="10">
        <v>0.27708333333333335</v>
      </c>
      <c r="AG94" s="10">
        <v>0.37986111111111109</v>
      </c>
      <c r="AH94" s="10">
        <v>0.38055555555555554</v>
      </c>
      <c r="AI94" s="10">
        <v>0.38124999999999998</v>
      </c>
      <c r="AJ94" s="7" t="s">
        <v>14</v>
      </c>
      <c r="AK94" s="6" t="s">
        <v>13</v>
      </c>
      <c r="AL94" s="3"/>
      <c r="AM94" s="3"/>
      <c r="AN94" s="3"/>
      <c r="AO94" s="3"/>
      <c r="AP94" s="3"/>
    </row>
    <row r="95" spans="1:42" ht="15" x14ac:dyDescent="0.2">
      <c r="A95" s="4">
        <v>94</v>
      </c>
      <c r="B95" s="5">
        <v>1854</v>
      </c>
      <c r="C95" s="5" t="s">
        <v>143</v>
      </c>
      <c r="D95" s="5" t="s">
        <v>80</v>
      </c>
      <c r="E95" s="5" t="s">
        <v>24</v>
      </c>
      <c r="F95" s="5" t="s">
        <v>89</v>
      </c>
      <c r="G95" s="8">
        <v>44558</v>
      </c>
      <c r="H95" s="6" t="s">
        <v>12</v>
      </c>
      <c r="I95" s="6" t="s">
        <v>13</v>
      </c>
      <c r="J95" s="9">
        <v>0.37569444444444444</v>
      </c>
      <c r="K95" s="10">
        <v>0.37638888888888888</v>
      </c>
      <c r="L95" s="10">
        <v>0.37569444444444444</v>
      </c>
      <c r="M95" s="10">
        <v>0.38194444444444442</v>
      </c>
      <c r="N95" s="7" t="s">
        <v>14</v>
      </c>
      <c r="O95" s="10">
        <v>0.33680555555555558</v>
      </c>
      <c r="P95" s="6" t="s">
        <v>13</v>
      </c>
      <c r="Q95" s="10">
        <v>0.37361111111111112</v>
      </c>
      <c r="R95" s="10">
        <v>0.37708333333333333</v>
      </c>
      <c r="S95" s="10">
        <v>0.3576388888888889</v>
      </c>
      <c r="T95" s="10">
        <v>0.37916666666666665</v>
      </c>
      <c r="U95" s="10">
        <v>0.38194444444444442</v>
      </c>
      <c r="V95" s="10">
        <v>0.30902777777777779</v>
      </c>
      <c r="W95" s="6" t="s">
        <v>13</v>
      </c>
      <c r="X95" s="10">
        <v>0.37916666666666665</v>
      </c>
      <c r="Y95" s="10">
        <v>0.37222222222222223</v>
      </c>
      <c r="Z95" s="10">
        <v>0.38055555555555554</v>
      </c>
      <c r="AA95" s="10">
        <v>0.36249999999999999</v>
      </c>
      <c r="AB95" s="10">
        <v>0.3611111111111111</v>
      </c>
      <c r="AC95" s="7" t="s">
        <v>14</v>
      </c>
      <c r="AD95" s="6" t="s">
        <v>13</v>
      </c>
      <c r="AE95" s="10">
        <v>0.37916666666666665</v>
      </c>
      <c r="AF95" s="10">
        <v>0.36805555555555558</v>
      </c>
      <c r="AG95" s="10">
        <v>0.38680555555555557</v>
      </c>
      <c r="AH95" s="10">
        <v>0.37638888888888888</v>
      </c>
      <c r="AI95" s="10">
        <v>0.37916666666666665</v>
      </c>
      <c r="AJ95" s="10">
        <v>0.37569444444444444</v>
      </c>
      <c r="AK95" s="6" t="s">
        <v>13</v>
      </c>
      <c r="AL95" s="3"/>
      <c r="AM95" s="3"/>
      <c r="AN95" s="3"/>
      <c r="AO95" s="3"/>
      <c r="AP95" s="3"/>
    </row>
    <row r="96" spans="1:42" ht="15" x14ac:dyDescent="0.2">
      <c r="A96" s="4">
        <v>95</v>
      </c>
      <c r="B96" s="5">
        <v>1879</v>
      </c>
      <c r="C96" s="5" t="s">
        <v>144</v>
      </c>
      <c r="D96" s="5" t="s">
        <v>92</v>
      </c>
      <c r="E96" s="5" t="s">
        <v>39</v>
      </c>
      <c r="F96" s="5" t="s">
        <v>107</v>
      </c>
      <c r="G96" s="8">
        <v>44593</v>
      </c>
      <c r="H96" s="10">
        <v>0</v>
      </c>
      <c r="I96" s="6" t="s">
        <v>13</v>
      </c>
      <c r="J96" s="9">
        <v>0.39027777777777778</v>
      </c>
      <c r="K96" s="10">
        <v>0.37708333333333333</v>
      </c>
      <c r="L96" s="10">
        <v>0.37708333333333333</v>
      </c>
      <c r="M96" s="10">
        <v>0.37916666666666665</v>
      </c>
      <c r="N96" s="10">
        <v>0.3611111111111111</v>
      </c>
      <c r="O96" s="10">
        <v>0.35833333333333334</v>
      </c>
      <c r="P96" s="6" t="s">
        <v>13</v>
      </c>
      <c r="Q96" s="10">
        <v>0.37986111111111109</v>
      </c>
      <c r="R96" s="10">
        <v>0.38750000000000001</v>
      </c>
      <c r="S96" s="10">
        <v>0.37569444444444444</v>
      </c>
      <c r="T96" s="7" t="s">
        <v>14</v>
      </c>
      <c r="U96" s="10">
        <v>0.37777777777777777</v>
      </c>
      <c r="V96" s="7" t="s">
        <v>14</v>
      </c>
      <c r="W96" s="6" t="s">
        <v>13</v>
      </c>
      <c r="X96" s="10">
        <v>0.37638888888888888</v>
      </c>
      <c r="Y96" s="10">
        <v>0.19930555555555557</v>
      </c>
      <c r="Z96" s="10">
        <v>0.37777777777777777</v>
      </c>
      <c r="AA96" s="10">
        <v>0.38124999999999998</v>
      </c>
      <c r="AB96" s="10">
        <v>0.37847222222222221</v>
      </c>
      <c r="AC96" s="10">
        <v>0.37569444444444444</v>
      </c>
      <c r="AD96" s="6" t="s">
        <v>13</v>
      </c>
      <c r="AE96" s="10">
        <v>0.37152777777777779</v>
      </c>
      <c r="AF96" s="10">
        <v>0.37916666666666665</v>
      </c>
      <c r="AG96" s="10">
        <v>0.37569444444444444</v>
      </c>
      <c r="AH96" s="10">
        <v>0.37569444444444444</v>
      </c>
      <c r="AI96" s="10">
        <v>0.39305555555555555</v>
      </c>
      <c r="AJ96" s="10">
        <v>0.43055555555555558</v>
      </c>
      <c r="AK96" s="6" t="s">
        <v>13</v>
      </c>
      <c r="AL96" s="3"/>
      <c r="AM96" s="3"/>
      <c r="AN96" s="3"/>
      <c r="AO96" s="3"/>
      <c r="AP96" s="3"/>
    </row>
    <row r="97" spans="1:42" ht="15" x14ac:dyDescent="0.2">
      <c r="A97" s="4">
        <v>96</v>
      </c>
      <c r="B97" s="5">
        <v>1883</v>
      </c>
      <c r="C97" s="5" t="s">
        <v>128</v>
      </c>
      <c r="D97" s="5" t="s">
        <v>88</v>
      </c>
      <c r="E97" s="5" t="s">
        <v>28</v>
      </c>
      <c r="F97" s="5" t="s">
        <v>89</v>
      </c>
      <c r="G97" s="8">
        <v>44597</v>
      </c>
      <c r="H97" s="6" t="s">
        <v>12</v>
      </c>
      <c r="I97" s="6" t="s">
        <v>13</v>
      </c>
      <c r="J97" s="7" t="s">
        <v>14</v>
      </c>
      <c r="K97" s="7" t="s">
        <v>14</v>
      </c>
      <c r="L97" s="7" t="s">
        <v>14</v>
      </c>
      <c r="M97" s="7" t="s">
        <v>14</v>
      </c>
      <c r="N97" s="7" t="s">
        <v>14</v>
      </c>
      <c r="O97" s="7" t="s">
        <v>14</v>
      </c>
      <c r="P97" s="6" t="s">
        <v>13</v>
      </c>
      <c r="Q97" s="7" t="s">
        <v>14</v>
      </c>
      <c r="R97" s="7" t="s">
        <v>14</v>
      </c>
      <c r="S97" s="7" t="s">
        <v>14</v>
      </c>
      <c r="T97" s="7" t="s">
        <v>14</v>
      </c>
      <c r="U97" s="7" t="s">
        <v>14</v>
      </c>
      <c r="V97" s="7" t="s">
        <v>14</v>
      </c>
      <c r="W97" s="6" t="s">
        <v>13</v>
      </c>
      <c r="X97" s="7" t="s">
        <v>14</v>
      </c>
      <c r="Y97" s="7" t="s">
        <v>14</v>
      </c>
      <c r="Z97" s="7" t="s">
        <v>14</v>
      </c>
      <c r="AA97" s="7" t="s">
        <v>14</v>
      </c>
      <c r="AB97" s="7" t="s">
        <v>14</v>
      </c>
      <c r="AC97" s="7" t="s">
        <v>14</v>
      </c>
      <c r="AD97" s="6" t="s">
        <v>13</v>
      </c>
      <c r="AE97" s="7" t="s">
        <v>14</v>
      </c>
      <c r="AF97" s="7" t="s">
        <v>14</v>
      </c>
      <c r="AG97" s="7" t="s">
        <v>14</v>
      </c>
      <c r="AH97" s="7" t="s">
        <v>14</v>
      </c>
      <c r="AI97" s="7" t="s">
        <v>14</v>
      </c>
      <c r="AJ97" s="7" t="s">
        <v>14</v>
      </c>
      <c r="AK97" s="6" t="s">
        <v>13</v>
      </c>
      <c r="AL97" s="3"/>
      <c r="AM97" s="3"/>
      <c r="AN97" s="3"/>
      <c r="AO97" s="3"/>
      <c r="AP97" s="3"/>
    </row>
    <row r="98" spans="1:42" ht="15" x14ac:dyDescent="0.2">
      <c r="A98" s="4">
        <v>97</v>
      </c>
      <c r="B98" s="5">
        <v>1894</v>
      </c>
      <c r="C98" s="5" t="s">
        <v>145</v>
      </c>
      <c r="D98" s="5" t="s">
        <v>88</v>
      </c>
      <c r="E98" s="5" t="s">
        <v>24</v>
      </c>
      <c r="F98" s="5" t="s">
        <v>107</v>
      </c>
      <c r="G98" s="25">
        <v>44621</v>
      </c>
      <c r="H98" s="10">
        <v>1.7361111111111112E-2</v>
      </c>
      <c r="I98" s="6" t="s">
        <v>13</v>
      </c>
      <c r="J98" s="9">
        <v>0.37916666666666665</v>
      </c>
      <c r="K98" s="10">
        <v>0.37708333333333333</v>
      </c>
      <c r="L98" s="10">
        <v>0.37569444444444444</v>
      </c>
      <c r="M98" s="10">
        <v>0.37638888888888888</v>
      </c>
      <c r="N98" s="10">
        <v>0.37638888888888888</v>
      </c>
      <c r="O98" s="7" t="s">
        <v>14</v>
      </c>
      <c r="P98" s="6" t="s">
        <v>13</v>
      </c>
      <c r="Q98" s="10">
        <v>0.38750000000000001</v>
      </c>
      <c r="R98" s="10">
        <v>0.37638888888888888</v>
      </c>
      <c r="S98" s="10">
        <v>0.37708333333333333</v>
      </c>
      <c r="T98" s="10">
        <v>0.37847222222222221</v>
      </c>
      <c r="U98" s="10">
        <v>0.37569444444444444</v>
      </c>
      <c r="V98" s="7" t="s">
        <v>14</v>
      </c>
      <c r="W98" s="6" t="s">
        <v>13</v>
      </c>
      <c r="X98" s="10">
        <v>0.37569444444444444</v>
      </c>
      <c r="Y98" s="10">
        <v>0.37638888888888888</v>
      </c>
      <c r="Z98" s="10">
        <v>0.37638888888888888</v>
      </c>
      <c r="AA98" s="10">
        <v>0.38263888888888886</v>
      </c>
      <c r="AB98" s="10">
        <v>0.37638888888888888</v>
      </c>
      <c r="AC98" s="10">
        <v>0.24305555555555555</v>
      </c>
      <c r="AD98" s="6" t="s">
        <v>13</v>
      </c>
      <c r="AE98" s="10">
        <v>0.37569444444444444</v>
      </c>
      <c r="AF98" s="7" t="s">
        <v>14</v>
      </c>
      <c r="AG98" s="10">
        <v>0.37569444444444444</v>
      </c>
      <c r="AH98" s="10">
        <v>0.35972222222222222</v>
      </c>
      <c r="AI98" s="10">
        <v>0.37638888888888888</v>
      </c>
      <c r="AJ98" s="10">
        <v>0.37638888888888888</v>
      </c>
      <c r="AK98" s="6" t="s">
        <v>13</v>
      </c>
      <c r="AL98" s="3"/>
      <c r="AM98" s="3"/>
      <c r="AN98" s="3"/>
      <c r="AO98" s="3"/>
      <c r="AP98" s="3"/>
    </row>
    <row r="99" spans="1:42" ht="15" x14ac:dyDescent="0.2">
      <c r="A99" s="4">
        <v>98</v>
      </c>
      <c r="B99" s="5">
        <v>1896</v>
      </c>
      <c r="C99" s="5" t="s">
        <v>146</v>
      </c>
      <c r="D99" s="5" t="s">
        <v>80</v>
      </c>
      <c r="E99" s="5" t="s">
        <v>24</v>
      </c>
      <c r="F99" s="5" t="s">
        <v>93</v>
      </c>
      <c r="G99" s="25">
        <v>44621</v>
      </c>
      <c r="H99" s="6" t="s">
        <v>12</v>
      </c>
      <c r="I99" s="6" t="s">
        <v>13</v>
      </c>
      <c r="J99" s="9">
        <v>0.39583333333333331</v>
      </c>
      <c r="K99" s="10">
        <v>0.40833333333333333</v>
      </c>
      <c r="L99" s="10">
        <v>0.38194444444444442</v>
      </c>
      <c r="M99" s="10">
        <v>0.40208333333333335</v>
      </c>
      <c r="N99" s="10">
        <v>0.38680555555555557</v>
      </c>
      <c r="O99" s="10">
        <v>0.13055555555555556</v>
      </c>
      <c r="P99" s="6" t="s">
        <v>13</v>
      </c>
      <c r="Q99" s="10">
        <v>0.37708333333333333</v>
      </c>
      <c r="R99" s="10">
        <v>0.37847222222222221</v>
      </c>
      <c r="S99" s="10">
        <v>0.33611111111111114</v>
      </c>
      <c r="T99" s="10">
        <v>0.37847222222222221</v>
      </c>
      <c r="U99" s="10">
        <v>0.37430555555555556</v>
      </c>
      <c r="V99" s="7" t="s">
        <v>14</v>
      </c>
      <c r="W99" s="6" t="s">
        <v>13</v>
      </c>
      <c r="X99" s="10">
        <v>0.39513888888888887</v>
      </c>
      <c r="Y99" s="10">
        <v>0.37638888888888888</v>
      </c>
      <c r="Z99" s="10">
        <v>0.37569444444444444</v>
      </c>
      <c r="AA99" s="10">
        <v>0.38194444444444442</v>
      </c>
      <c r="AB99" s="10">
        <v>0.375</v>
      </c>
      <c r="AC99" s="10">
        <v>0.1986111111111111</v>
      </c>
      <c r="AD99" s="6" t="s">
        <v>13</v>
      </c>
      <c r="AE99" s="10">
        <v>0.3840277777777778</v>
      </c>
      <c r="AF99" s="10">
        <v>0.36875000000000002</v>
      </c>
      <c r="AG99" s="10">
        <v>0.38958333333333334</v>
      </c>
      <c r="AH99" s="10">
        <v>0.37777777777777777</v>
      </c>
      <c r="AI99" s="10">
        <v>0.3659722222222222</v>
      </c>
      <c r="AJ99" s="10">
        <v>0.34097222222222223</v>
      </c>
      <c r="AK99" s="6" t="s">
        <v>13</v>
      </c>
      <c r="AL99" s="3"/>
      <c r="AM99" s="3"/>
      <c r="AN99" s="3"/>
      <c r="AO99" s="3"/>
      <c r="AP99" s="3"/>
    </row>
    <row r="100" spans="1:42" ht="15" x14ac:dyDescent="0.2">
      <c r="A100" s="4">
        <v>99</v>
      </c>
      <c r="B100" s="5">
        <v>1900</v>
      </c>
      <c r="C100" s="5" t="s">
        <v>147</v>
      </c>
      <c r="D100" s="5" t="s">
        <v>88</v>
      </c>
      <c r="E100" s="5" t="s">
        <v>20</v>
      </c>
      <c r="F100" s="5" t="s">
        <v>81</v>
      </c>
      <c r="G100" s="25">
        <v>44625</v>
      </c>
      <c r="H100" s="6" t="s">
        <v>12</v>
      </c>
      <c r="I100" s="6" t="s">
        <v>13</v>
      </c>
      <c r="J100" s="9">
        <v>0.40763888888888888</v>
      </c>
      <c r="K100" s="10">
        <v>0.42222222222222222</v>
      </c>
      <c r="L100" s="10">
        <v>0.41458333333333336</v>
      </c>
      <c r="M100" s="10">
        <v>0.39305555555555555</v>
      </c>
      <c r="N100" s="10">
        <v>0.40555555555555556</v>
      </c>
      <c r="O100" s="7" t="s">
        <v>14</v>
      </c>
      <c r="P100" s="6" t="s">
        <v>13</v>
      </c>
      <c r="Q100" s="10">
        <v>0.39444444444444443</v>
      </c>
      <c r="R100" s="10">
        <v>0.38472222222222224</v>
      </c>
      <c r="S100" s="10">
        <v>0.40416666666666667</v>
      </c>
      <c r="T100" s="10">
        <v>0.40277777777777779</v>
      </c>
      <c r="U100" s="7" t="s">
        <v>14</v>
      </c>
      <c r="V100" s="10">
        <v>0.36875000000000002</v>
      </c>
      <c r="W100" s="6" t="s">
        <v>13</v>
      </c>
      <c r="X100" s="10">
        <v>0.40763888888888888</v>
      </c>
      <c r="Y100" s="10">
        <v>0.38611111111111113</v>
      </c>
      <c r="Z100" s="10">
        <v>0.39583333333333331</v>
      </c>
      <c r="AA100" s="10">
        <v>0.40486111111111112</v>
      </c>
      <c r="AB100" s="10">
        <v>0.42986111111111114</v>
      </c>
      <c r="AC100" s="10">
        <v>0.39166666666666666</v>
      </c>
      <c r="AD100" s="6" t="s">
        <v>13</v>
      </c>
      <c r="AE100" s="10">
        <v>0.40069444444444446</v>
      </c>
      <c r="AF100" s="10">
        <v>0.40902777777777777</v>
      </c>
      <c r="AG100" s="10">
        <v>0.39444444444444443</v>
      </c>
      <c r="AH100" s="10">
        <v>0.38958333333333334</v>
      </c>
      <c r="AI100" s="10">
        <v>0.41180555555555554</v>
      </c>
      <c r="AJ100" s="10">
        <v>0.41319444444444442</v>
      </c>
      <c r="AK100" s="6" t="s">
        <v>13</v>
      </c>
      <c r="AL100" s="3"/>
      <c r="AM100" s="3"/>
      <c r="AN100" s="3"/>
      <c r="AO100" s="3"/>
      <c r="AP100" s="3"/>
    </row>
    <row r="101" spans="1:42" ht="15" x14ac:dyDescent="0.2">
      <c r="A101" s="4">
        <v>100</v>
      </c>
      <c r="B101" s="5">
        <v>1922</v>
      </c>
      <c r="C101" s="5" t="s">
        <v>148</v>
      </c>
      <c r="D101" s="5" t="s">
        <v>88</v>
      </c>
      <c r="E101" s="5" t="s">
        <v>39</v>
      </c>
      <c r="F101" s="5" t="s">
        <v>89</v>
      </c>
      <c r="G101" s="8">
        <v>44662</v>
      </c>
      <c r="H101" s="6" t="s">
        <v>12</v>
      </c>
      <c r="I101" s="6" t="s">
        <v>13</v>
      </c>
      <c r="J101" s="7" t="s">
        <v>14</v>
      </c>
      <c r="K101" s="10">
        <v>0.37916666666666665</v>
      </c>
      <c r="L101" s="10">
        <v>0.38472222222222224</v>
      </c>
      <c r="M101" s="10">
        <v>0.37222222222222223</v>
      </c>
      <c r="N101" s="10">
        <v>0.36805555555555558</v>
      </c>
      <c r="O101" s="10">
        <v>0.36458333333333331</v>
      </c>
      <c r="P101" s="6" t="s">
        <v>13</v>
      </c>
      <c r="Q101" s="10">
        <v>0.38055555555555554</v>
      </c>
      <c r="R101" s="10">
        <v>0.37152777777777779</v>
      </c>
      <c r="S101" s="10">
        <v>0.37013888888888891</v>
      </c>
      <c r="T101" s="10">
        <v>0.37430555555555556</v>
      </c>
      <c r="U101" s="10">
        <v>0.38333333333333336</v>
      </c>
      <c r="V101" s="7" t="s">
        <v>14</v>
      </c>
      <c r="W101" s="6" t="s">
        <v>13</v>
      </c>
      <c r="X101" s="10">
        <v>0.35972222222222222</v>
      </c>
      <c r="Y101" s="10">
        <v>0.38541666666666669</v>
      </c>
      <c r="Z101" s="10">
        <v>0.39027777777777778</v>
      </c>
      <c r="AA101" s="10">
        <v>0.39513888888888887</v>
      </c>
      <c r="AB101" s="10">
        <v>0.39374999999999999</v>
      </c>
      <c r="AC101" s="10">
        <v>0.37916666666666665</v>
      </c>
      <c r="AD101" s="6" t="s">
        <v>13</v>
      </c>
      <c r="AE101" s="10">
        <v>0.3840277777777778</v>
      </c>
      <c r="AF101" s="10">
        <v>0.38819444444444445</v>
      </c>
      <c r="AG101" s="10">
        <v>0.40416666666666667</v>
      </c>
      <c r="AH101" s="10">
        <v>0.38958333333333334</v>
      </c>
      <c r="AI101" s="10">
        <v>0.38680555555555557</v>
      </c>
      <c r="AJ101" s="7" t="s">
        <v>14</v>
      </c>
      <c r="AK101" s="6" t="s">
        <v>13</v>
      </c>
      <c r="AL101" s="3"/>
      <c r="AM101" s="3"/>
      <c r="AN101" s="3"/>
      <c r="AO101" s="3"/>
      <c r="AP101" s="3"/>
    </row>
    <row r="102" spans="1:42" ht="15" x14ac:dyDescent="0.2">
      <c r="A102" s="4">
        <v>101</v>
      </c>
      <c r="B102" s="5">
        <v>1924</v>
      </c>
      <c r="C102" s="5" t="s">
        <v>149</v>
      </c>
      <c r="D102" s="5" t="s">
        <v>44</v>
      </c>
      <c r="E102" s="5" t="s">
        <v>20</v>
      </c>
      <c r="F102" s="5" t="s">
        <v>107</v>
      </c>
      <c r="G102" s="8">
        <v>44667</v>
      </c>
      <c r="H102" s="6" t="s">
        <v>12</v>
      </c>
      <c r="I102" s="6" t="s">
        <v>13</v>
      </c>
      <c r="J102" s="9">
        <v>0.39861111111111114</v>
      </c>
      <c r="K102" s="10">
        <v>0.4</v>
      </c>
      <c r="L102" s="10">
        <v>0.37708333333333333</v>
      </c>
      <c r="M102" s="10">
        <v>0.36944444444444446</v>
      </c>
      <c r="N102" s="10">
        <v>0.37222222222222223</v>
      </c>
      <c r="O102" s="10">
        <v>0.37222222222222223</v>
      </c>
      <c r="P102" s="6" t="s">
        <v>13</v>
      </c>
      <c r="Q102" s="10">
        <v>0.37013888888888891</v>
      </c>
      <c r="R102" s="10">
        <v>0.36875000000000002</v>
      </c>
      <c r="S102" s="10">
        <v>0.37361111111111112</v>
      </c>
      <c r="T102" s="10">
        <v>0.37430555555555556</v>
      </c>
      <c r="U102" s="10">
        <v>0.37291666666666667</v>
      </c>
      <c r="V102" s="10">
        <v>0.37430555555555556</v>
      </c>
      <c r="W102" s="6" t="s">
        <v>13</v>
      </c>
      <c r="X102" s="10">
        <v>0.36944444444444446</v>
      </c>
      <c r="Y102" s="10">
        <v>0.37083333333333335</v>
      </c>
      <c r="Z102" s="10">
        <v>0.19375000000000001</v>
      </c>
      <c r="AA102" s="7" t="s">
        <v>14</v>
      </c>
      <c r="AB102" s="7" t="s">
        <v>14</v>
      </c>
      <c r="AC102" s="7" t="s">
        <v>14</v>
      </c>
      <c r="AD102" s="6" t="s">
        <v>13</v>
      </c>
      <c r="AE102" s="7" t="s">
        <v>14</v>
      </c>
      <c r="AF102" s="7" t="s">
        <v>14</v>
      </c>
      <c r="AG102" s="10">
        <v>0.18124999999999999</v>
      </c>
      <c r="AH102" s="10">
        <v>0.36805555555555558</v>
      </c>
      <c r="AI102" s="10">
        <v>0.37222222222222223</v>
      </c>
      <c r="AJ102" s="10">
        <v>0.375</v>
      </c>
      <c r="AK102" s="6" t="s">
        <v>13</v>
      </c>
      <c r="AL102" s="3"/>
      <c r="AM102" s="3"/>
      <c r="AN102" s="3"/>
      <c r="AO102" s="3"/>
      <c r="AP102" s="3"/>
    </row>
    <row r="103" spans="1:42" ht="15" x14ac:dyDescent="0.2">
      <c r="A103" s="4">
        <v>102</v>
      </c>
      <c r="B103" s="5">
        <v>1925</v>
      </c>
      <c r="C103" s="5" t="s">
        <v>150</v>
      </c>
      <c r="D103" s="5" t="s">
        <v>88</v>
      </c>
      <c r="E103" s="5" t="s">
        <v>39</v>
      </c>
      <c r="F103" s="5" t="s">
        <v>89</v>
      </c>
      <c r="G103" s="8">
        <v>44669</v>
      </c>
      <c r="H103" s="6" t="s">
        <v>12</v>
      </c>
      <c r="I103" s="6" t="s">
        <v>13</v>
      </c>
      <c r="J103" s="7" t="s">
        <v>14</v>
      </c>
      <c r="K103" s="7" t="s">
        <v>14</v>
      </c>
      <c r="L103" s="7" t="s">
        <v>14</v>
      </c>
      <c r="M103" s="7" t="s">
        <v>14</v>
      </c>
      <c r="N103" s="7" t="s">
        <v>14</v>
      </c>
      <c r="O103" s="7" t="s">
        <v>14</v>
      </c>
      <c r="P103" s="6" t="s">
        <v>13</v>
      </c>
      <c r="Q103" s="7" t="s">
        <v>14</v>
      </c>
      <c r="R103" s="7" t="s">
        <v>14</v>
      </c>
      <c r="S103" s="7" t="s">
        <v>14</v>
      </c>
      <c r="T103" s="7" t="s">
        <v>14</v>
      </c>
      <c r="U103" s="7" t="s">
        <v>14</v>
      </c>
      <c r="V103" s="7" t="s">
        <v>14</v>
      </c>
      <c r="W103" s="6" t="s">
        <v>13</v>
      </c>
      <c r="X103" s="7" t="s">
        <v>14</v>
      </c>
      <c r="Y103" s="7" t="s">
        <v>14</v>
      </c>
      <c r="Z103" s="7" t="s">
        <v>14</v>
      </c>
      <c r="AA103" s="7" t="s">
        <v>14</v>
      </c>
      <c r="AB103" s="7" t="s">
        <v>14</v>
      </c>
      <c r="AC103" s="7" t="s">
        <v>14</v>
      </c>
      <c r="AD103" s="6" t="s">
        <v>13</v>
      </c>
      <c r="AE103" s="7" t="s">
        <v>14</v>
      </c>
      <c r="AF103" s="7" t="s">
        <v>14</v>
      </c>
      <c r="AG103" s="7" t="s">
        <v>14</v>
      </c>
      <c r="AH103" s="7" t="s">
        <v>14</v>
      </c>
      <c r="AI103" s="7" t="s">
        <v>14</v>
      </c>
      <c r="AJ103" s="7" t="s">
        <v>14</v>
      </c>
      <c r="AK103" s="6" t="s">
        <v>13</v>
      </c>
      <c r="AL103" s="3"/>
      <c r="AM103" s="3"/>
      <c r="AN103" s="3"/>
      <c r="AO103" s="3"/>
      <c r="AP103" s="3"/>
    </row>
    <row r="104" spans="1:42" ht="15" x14ac:dyDescent="0.2">
      <c r="A104" s="4">
        <v>103</v>
      </c>
      <c r="B104" s="5">
        <v>1930</v>
      </c>
      <c r="C104" s="5" t="s">
        <v>151</v>
      </c>
      <c r="D104" s="5" t="s">
        <v>44</v>
      </c>
      <c r="E104" s="5" t="s">
        <v>24</v>
      </c>
      <c r="F104" s="5" t="s">
        <v>89</v>
      </c>
      <c r="G104" s="24">
        <v>44683</v>
      </c>
      <c r="H104" s="6" t="s">
        <v>12</v>
      </c>
      <c r="I104" s="6" t="s">
        <v>13</v>
      </c>
      <c r="J104" s="9">
        <v>0.33958333333333335</v>
      </c>
      <c r="K104" s="10">
        <v>0.34305555555555556</v>
      </c>
      <c r="L104" s="10">
        <v>0.37638888888888888</v>
      </c>
      <c r="M104" s="10">
        <v>0.37569444444444444</v>
      </c>
      <c r="N104" s="10">
        <v>0.37916666666666665</v>
      </c>
      <c r="O104" s="7" t="s">
        <v>14</v>
      </c>
      <c r="P104" s="6" t="s">
        <v>13</v>
      </c>
      <c r="Q104" s="10">
        <v>0.37708333333333333</v>
      </c>
      <c r="R104" s="10">
        <v>0.37430555555555556</v>
      </c>
      <c r="S104" s="7" t="s">
        <v>14</v>
      </c>
      <c r="T104" s="10">
        <v>0.37708333333333333</v>
      </c>
      <c r="U104" s="10">
        <v>0.37986111111111109</v>
      </c>
      <c r="V104" s="10">
        <v>0.37638888888888888</v>
      </c>
      <c r="W104" s="6" t="s">
        <v>13</v>
      </c>
      <c r="X104" s="10">
        <v>0.375</v>
      </c>
      <c r="Y104" s="10">
        <v>0.37847222222222221</v>
      </c>
      <c r="Z104" s="10">
        <v>0.37986111111111109</v>
      </c>
      <c r="AA104" s="10">
        <v>0.37569444444444444</v>
      </c>
      <c r="AB104" s="10">
        <v>0.37847222222222221</v>
      </c>
      <c r="AC104" s="10">
        <v>0.2388888888888889</v>
      </c>
      <c r="AD104" s="6" t="s">
        <v>13</v>
      </c>
      <c r="AE104" s="10">
        <v>0.37430555555555556</v>
      </c>
      <c r="AF104" s="7" t="s">
        <v>14</v>
      </c>
      <c r="AG104" s="10">
        <v>0.375</v>
      </c>
      <c r="AH104" s="10">
        <v>0.37430555555555556</v>
      </c>
      <c r="AI104" s="10">
        <v>0.37638888888888888</v>
      </c>
      <c r="AJ104" s="10">
        <v>0.38055555555555554</v>
      </c>
      <c r="AK104" s="6" t="s">
        <v>13</v>
      </c>
      <c r="AL104" s="3"/>
      <c r="AM104" s="3"/>
      <c r="AN104" s="3"/>
      <c r="AO104" s="3"/>
      <c r="AP104" s="3"/>
    </row>
    <row r="105" spans="1:42" ht="15" x14ac:dyDescent="0.2">
      <c r="A105" s="4">
        <v>104</v>
      </c>
      <c r="B105" s="5">
        <v>1939</v>
      </c>
      <c r="C105" s="5" t="s">
        <v>152</v>
      </c>
      <c r="D105" s="5" t="s">
        <v>19</v>
      </c>
      <c r="E105" s="5" t="s">
        <v>9</v>
      </c>
      <c r="F105" s="5" t="s">
        <v>107</v>
      </c>
      <c r="G105" s="26">
        <v>44694</v>
      </c>
      <c r="H105" s="6" t="s">
        <v>12</v>
      </c>
      <c r="I105" s="6" t="s">
        <v>13</v>
      </c>
      <c r="J105" s="9">
        <v>0.34027777777777779</v>
      </c>
      <c r="K105" s="10">
        <v>0.31874999999999998</v>
      </c>
      <c r="L105" s="10">
        <v>0.37777777777777777</v>
      </c>
      <c r="M105" s="10">
        <v>0.35347222222222224</v>
      </c>
      <c r="N105" s="10">
        <v>0.34861111111111109</v>
      </c>
      <c r="O105" s="7" t="s">
        <v>14</v>
      </c>
      <c r="P105" s="6" t="s">
        <v>13</v>
      </c>
      <c r="Q105" s="7" t="s">
        <v>14</v>
      </c>
      <c r="R105" s="7" t="s">
        <v>14</v>
      </c>
      <c r="S105" s="10">
        <v>0.32708333333333334</v>
      </c>
      <c r="T105" s="10">
        <v>0.37638888888888888</v>
      </c>
      <c r="U105" s="10">
        <v>0.37777777777777777</v>
      </c>
      <c r="V105" s="10">
        <v>0.37708333333333333</v>
      </c>
      <c r="W105" s="6" t="s">
        <v>13</v>
      </c>
      <c r="X105" s="10">
        <v>0.35694444444444445</v>
      </c>
      <c r="Y105" s="10">
        <v>0.37638888888888888</v>
      </c>
      <c r="Z105" s="10">
        <v>0.37708333333333333</v>
      </c>
      <c r="AA105" s="10">
        <v>0.18958333333333333</v>
      </c>
      <c r="AB105" s="7" t="s">
        <v>14</v>
      </c>
      <c r="AC105" s="10">
        <v>0.375</v>
      </c>
      <c r="AD105" s="6" t="s">
        <v>13</v>
      </c>
      <c r="AE105" s="10">
        <v>0.375</v>
      </c>
      <c r="AF105" s="10">
        <v>0.375</v>
      </c>
      <c r="AG105" s="10">
        <v>0.37430555555555556</v>
      </c>
      <c r="AH105" s="10">
        <v>0.37083333333333335</v>
      </c>
      <c r="AI105" s="10">
        <v>0.375</v>
      </c>
      <c r="AJ105" s="10">
        <v>0.37847222222222221</v>
      </c>
      <c r="AK105" s="6" t="s">
        <v>13</v>
      </c>
      <c r="AL105" s="3"/>
      <c r="AM105" s="3"/>
      <c r="AN105" s="3"/>
      <c r="AO105" s="3"/>
      <c r="AP105" s="3"/>
    </row>
    <row r="106" spans="1:42" ht="15" x14ac:dyDescent="0.2">
      <c r="A106" s="4">
        <v>105</v>
      </c>
      <c r="B106" s="5">
        <v>1940</v>
      </c>
      <c r="C106" s="5" t="s">
        <v>153</v>
      </c>
      <c r="D106" s="5" t="s">
        <v>80</v>
      </c>
      <c r="E106" s="5" t="s">
        <v>39</v>
      </c>
      <c r="F106" s="5" t="s">
        <v>93</v>
      </c>
      <c r="G106" s="26">
        <v>44697</v>
      </c>
      <c r="H106" s="6" t="s">
        <v>12</v>
      </c>
      <c r="I106" s="6" t="s">
        <v>13</v>
      </c>
      <c r="J106" s="9">
        <v>0.40694444444444444</v>
      </c>
      <c r="K106" s="10">
        <v>0.40416666666666667</v>
      </c>
      <c r="L106" s="10">
        <v>0.38055555555555554</v>
      </c>
      <c r="M106" s="10">
        <v>0.37569444444444444</v>
      </c>
      <c r="N106" s="10">
        <v>0.37569444444444444</v>
      </c>
      <c r="O106" s="10">
        <v>0.37847222222222221</v>
      </c>
      <c r="P106" s="6" t="s">
        <v>13</v>
      </c>
      <c r="Q106" s="10">
        <v>0.37569444444444444</v>
      </c>
      <c r="R106" s="10">
        <v>0.375</v>
      </c>
      <c r="S106" s="10">
        <v>0.34652777777777777</v>
      </c>
      <c r="T106" s="7" t="s">
        <v>14</v>
      </c>
      <c r="U106" s="10">
        <v>0.4597222222222222</v>
      </c>
      <c r="V106" s="10">
        <v>0.37152777777777779</v>
      </c>
      <c r="W106" s="6" t="s">
        <v>13</v>
      </c>
      <c r="X106" s="10">
        <v>0.375</v>
      </c>
      <c r="Y106" s="10">
        <v>0.47083333333333333</v>
      </c>
      <c r="Z106" s="10">
        <v>0.37986111111111109</v>
      </c>
      <c r="AA106" s="10">
        <v>0.49166666666666664</v>
      </c>
      <c r="AB106" s="10">
        <v>0.41666666666666669</v>
      </c>
      <c r="AC106" s="10">
        <v>0.37638888888888888</v>
      </c>
      <c r="AD106" s="6" t="s">
        <v>13</v>
      </c>
      <c r="AE106" s="10">
        <v>0.375</v>
      </c>
      <c r="AF106" s="10">
        <v>0.37569444444444444</v>
      </c>
      <c r="AG106" s="7" t="s">
        <v>14</v>
      </c>
      <c r="AH106" s="10">
        <v>0.37222222222222223</v>
      </c>
      <c r="AI106" s="10">
        <v>0.37083333333333335</v>
      </c>
      <c r="AJ106" s="10">
        <v>0.33263888888888887</v>
      </c>
      <c r="AK106" s="6" t="s">
        <v>13</v>
      </c>
      <c r="AL106" s="3"/>
      <c r="AM106" s="3"/>
      <c r="AN106" s="3"/>
      <c r="AO106" s="3"/>
      <c r="AP106" s="3"/>
    </row>
    <row r="107" spans="1:42" ht="15" x14ac:dyDescent="0.2">
      <c r="A107" s="4">
        <v>106</v>
      </c>
      <c r="B107" s="5">
        <v>1950</v>
      </c>
      <c r="C107" s="5" t="s">
        <v>154</v>
      </c>
      <c r="D107" s="5" t="s">
        <v>19</v>
      </c>
      <c r="E107" s="5" t="s">
        <v>39</v>
      </c>
      <c r="F107" s="5" t="s">
        <v>89</v>
      </c>
      <c r="G107" s="8">
        <v>44613</v>
      </c>
      <c r="H107" s="6" t="s">
        <v>12</v>
      </c>
      <c r="I107" s="6" t="s">
        <v>13</v>
      </c>
      <c r="J107" s="9">
        <v>0.37152777777777779</v>
      </c>
      <c r="K107" s="10">
        <v>0.38611111111111113</v>
      </c>
      <c r="L107" s="10">
        <v>0.37430555555555556</v>
      </c>
      <c r="M107" s="10">
        <v>0.38194444444444442</v>
      </c>
      <c r="N107" s="10">
        <v>0.3527777777777778</v>
      </c>
      <c r="O107" s="7" t="s">
        <v>14</v>
      </c>
      <c r="P107" s="6" t="s">
        <v>13</v>
      </c>
      <c r="Q107" s="7" t="s">
        <v>14</v>
      </c>
      <c r="R107" s="7" t="s">
        <v>14</v>
      </c>
      <c r="S107" s="10">
        <v>0.39583333333333331</v>
      </c>
      <c r="T107" s="10">
        <v>0.37569444444444444</v>
      </c>
      <c r="U107" s="10">
        <v>0.39930555555555558</v>
      </c>
      <c r="V107" s="10">
        <v>0.37013888888888891</v>
      </c>
      <c r="W107" s="10">
        <v>0.17222222222222222</v>
      </c>
      <c r="X107" s="10">
        <v>0.40902777777777777</v>
      </c>
      <c r="Y107" s="10">
        <v>0.40763888888888888</v>
      </c>
      <c r="Z107" s="10">
        <v>0.42152777777777778</v>
      </c>
      <c r="AA107" s="10">
        <v>0.42708333333333331</v>
      </c>
      <c r="AB107" s="10">
        <v>0.42777777777777776</v>
      </c>
      <c r="AC107" s="10">
        <v>0.37569444444444444</v>
      </c>
      <c r="AD107" s="6" t="s">
        <v>13</v>
      </c>
      <c r="AE107" s="10">
        <v>0.37291666666666667</v>
      </c>
      <c r="AF107" s="10">
        <v>0.44444444444444442</v>
      </c>
      <c r="AG107" s="10">
        <v>0.43819444444444444</v>
      </c>
      <c r="AH107" s="10">
        <v>0.42777777777777776</v>
      </c>
      <c r="AI107" s="10">
        <v>0.43888888888888888</v>
      </c>
      <c r="AJ107" s="10">
        <v>0.40694444444444444</v>
      </c>
      <c r="AK107" s="6" t="s">
        <v>13</v>
      </c>
      <c r="AL107" s="3"/>
      <c r="AM107" s="3"/>
      <c r="AN107" s="3"/>
      <c r="AO107" s="3"/>
      <c r="AP107" s="3"/>
    </row>
    <row r="108" spans="1:42" ht="15" x14ac:dyDescent="0.2">
      <c r="A108" s="4">
        <v>107</v>
      </c>
      <c r="B108" s="5">
        <v>1956</v>
      </c>
      <c r="C108" s="5" t="s">
        <v>155</v>
      </c>
      <c r="D108" s="5" t="s">
        <v>80</v>
      </c>
      <c r="E108" s="5" t="s">
        <v>20</v>
      </c>
      <c r="F108" s="5" t="s">
        <v>89</v>
      </c>
      <c r="G108" s="25">
        <v>44720</v>
      </c>
      <c r="H108" s="6" t="s">
        <v>12</v>
      </c>
      <c r="I108" s="6" t="s">
        <v>13</v>
      </c>
      <c r="J108" s="9">
        <v>0.31944444444444442</v>
      </c>
      <c r="K108" s="10">
        <v>0.3527777777777778</v>
      </c>
      <c r="L108" s="10">
        <v>0.3611111111111111</v>
      </c>
      <c r="M108" s="10">
        <v>6.9444444444444447E-4</v>
      </c>
      <c r="N108" s="10">
        <v>0.35416666666666669</v>
      </c>
      <c r="O108" s="7" t="s">
        <v>14</v>
      </c>
      <c r="P108" s="6" t="s">
        <v>13</v>
      </c>
      <c r="Q108" s="10">
        <v>0.35833333333333334</v>
      </c>
      <c r="R108" s="10">
        <v>0</v>
      </c>
      <c r="S108" s="10">
        <v>0</v>
      </c>
      <c r="T108" s="10">
        <v>0.34861111111111109</v>
      </c>
      <c r="U108" s="10">
        <v>0.34166666666666667</v>
      </c>
      <c r="V108" s="10">
        <v>0.16527777777777777</v>
      </c>
      <c r="W108" s="6" t="s">
        <v>13</v>
      </c>
      <c r="X108" s="7" t="s">
        <v>14</v>
      </c>
      <c r="Y108" s="7" t="s">
        <v>14</v>
      </c>
      <c r="Z108" s="7" t="s">
        <v>14</v>
      </c>
      <c r="AA108" s="7" t="s">
        <v>14</v>
      </c>
      <c r="AB108" s="7" t="s">
        <v>14</v>
      </c>
      <c r="AC108" s="7" t="s">
        <v>14</v>
      </c>
      <c r="AD108" s="6" t="s">
        <v>13</v>
      </c>
      <c r="AE108" s="7" t="s">
        <v>14</v>
      </c>
      <c r="AF108" s="7" t="s">
        <v>14</v>
      </c>
      <c r="AG108" s="7" t="s">
        <v>14</v>
      </c>
      <c r="AH108" s="7" t="s">
        <v>14</v>
      </c>
      <c r="AI108" s="7" t="s">
        <v>14</v>
      </c>
      <c r="AJ108" s="7" t="s">
        <v>14</v>
      </c>
      <c r="AK108" s="6" t="s">
        <v>13</v>
      </c>
      <c r="AL108" s="3"/>
      <c r="AM108" s="3"/>
      <c r="AN108" s="3"/>
      <c r="AO108" s="3"/>
      <c r="AP108" s="3"/>
    </row>
    <row r="109" spans="1:42" ht="15" x14ac:dyDescent="0.2">
      <c r="A109" s="4">
        <v>108</v>
      </c>
      <c r="B109" s="5">
        <v>1965</v>
      </c>
      <c r="C109" s="5" t="s">
        <v>156</v>
      </c>
      <c r="D109" s="5" t="s">
        <v>19</v>
      </c>
      <c r="E109" s="5" t="s">
        <v>24</v>
      </c>
      <c r="F109" s="5" t="s">
        <v>89</v>
      </c>
      <c r="G109" s="25">
        <v>44744</v>
      </c>
      <c r="H109" s="6" t="s">
        <v>12</v>
      </c>
      <c r="I109" s="6" t="s">
        <v>13</v>
      </c>
      <c r="J109" s="9">
        <v>0.33958333333333335</v>
      </c>
      <c r="K109" s="10">
        <v>0.34027777777777779</v>
      </c>
      <c r="L109" s="10">
        <v>0</v>
      </c>
      <c r="M109" s="10">
        <v>0.37013888888888891</v>
      </c>
      <c r="N109" s="10">
        <v>0.37777777777777777</v>
      </c>
      <c r="O109" s="7" t="s">
        <v>14</v>
      </c>
      <c r="P109" s="6" t="s">
        <v>13</v>
      </c>
      <c r="Q109" s="10">
        <v>0.37361111111111112</v>
      </c>
      <c r="R109" s="10">
        <v>0.37083333333333335</v>
      </c>
      <c r="S109" s="10">
        <v>0.37569444444444444</v>
      </c>
      <c r="T109" s="10">
        <v>0.37569444444444444</v>
      </c>
      <c r="U109" s="10">
        <v>0.35972222222222222</v>
      </c>
      <c r="V109" s="10">
        <v>0.375</v>
      </c>
      <c r="W109" s="6" t="s">
        <v>13</v>
      </c>
      <c r="X109" s="7" t="s">
        <v>14</v>
      </c>
      <c r="Y109" s="10">
        <v>0</v>
      </c>
      <c r="Z109" s="10">
        <v>0.37291666666666667</v>
      </c>
      <c r="AA109" s="10">
        <v>0.21249999999999999</v>
      </c>
      <c r="AB109" s="10">
        <v>0.37708333333333333</v>
      </c>
      <c r="AC109" s="10">
        <v>0.19305555555555556</v>
      </c>
      <c r="AD109" s="6" t="s">
        <v>13</v>
      </c>
      <c r="AE109" s="10">
        <v>0.37569444444444444</v>
      </c>
      <c r="AF109" s="10">
        <v>0.37569444444444444</v>
      </c>
      <c r="AG109" s="7" t="s">
        <v>14</v>
      </c>
      <c r="AH109" s="10">
        <v>0.37152777777777779</v>
      </c>
      <c r="AI109" s="10">
        <v>0.32500000000000001</v>
      </c>
      <c r="AJ109" s="10">
        <v>0.35</v>
      </c>
      <c r="AK109" s="6" t="s">
        <v>13</v>
      </c>
      <c r="AL109" s="3"/>
      <c r="AM109" s="3"/>
      <c r="AN109" s="3"/>
      <c r="AO109" s="3"/>
      <c r="AP109" s="3"/>
    </row>
    <row r="110" spans="1:42" ht="15" x14ac:dyDescent="0.2">
      <c r="A110" s="4">
        <v>109</v>
      </c>
      <c r="B110" s="5">
        <v>1975</v>
      </c>
      <c r="C110" s="5" t="s">
        <v>157</v>
      </c>
      <c r="D110" s="5" t="s">
        <v>19</v>
      </c>
      <c r="E110" s="5" t="s">
        <v>45</v>
      </c>
      <c r="F110" s="5" t="s">
        <v>89</v>
      </c>
      <c r="G110" s="8">
        <v>44557</v>
      </c>
      <c r="H110" s="6" t="s">
        <v>12</v>
      </c>
      <c r="I110" s="6" t="s">
        <v>13</v>
      </c>
      <c r="J110" s="9">
        <v>0.40069444444444446</v>
      </c>
      <c r="K110" s="10">
        <v>0.39374999999999999</v>
      </c>
      <c r="L110" s="10">
        <v>0.37777777777777777</v>
      </c>
      <c r="M110" s="10">
        <v>0.33958333333333335</v>
      </c>
      <c r="N110" s="7" t="s">
        <v>14</v>
      </c>
      <c r="O110" s="7" t="s">
        <v>14</v>
      </c>
      <c r="P110" s="6" t="s">
        <v>13</v>
      </c>
      <c r="Q110" s="10">
        <v>0.3215277777777778</v>
      </c>
      <c r="R110" s="10">
        <v>0.35833333333333334</v>
      </c>
      <c r="S110" s="10">
        <v>0.37083333333333335</v>
      </c>
      <c r="T110" s="10">
        <v>0.37013888888888891</v>
      </c>
      <c r="U110" s="10">
        <v>0.37013888888888891</v>
      </c>
      <c r="V110" s="10">
        <v>0.33263888888888887</v>
      </c>
      <c r="W110" s="6" t="s">
        <v>13</v>
      </c>
      <c r="X110" s="10">
        <v>0.37013888888888891</v>
      </c>
      <c r="Y110" s="7" t="s">
        <v>14</v>
      </c>
      <c r="Z110" s="10">
        <v>0.37222222222222223</v>
      </c>
      <c r="AA110" s="10">
        <v>0.36875000000000002</v>
      </c>
      <c r="AB110" s="10">
        <v>0.36944444444444446</v>
      </c>
      <c r="AC110" s="10">
        <v>0.34305555555555556</v>
      </c>
      <c r="AD110" s="6" t="s">
        <v>13</v>
      </c>
      <c r="AE110" s="7" t="s">
        <v>14</v>
      </c>
      <c r="AF110" s="7" t="s">
        <v>14</v>
      </c>
      <c r="AG110" s="7" t="s">
        <v>14</v>
      </c>
      <c r="AH110" s="7" t="s">
        <v>14</v>
      </c>
      <c r="AI110" s="7" t="s">
        <v>14</v>
      </c>
      <c r="AJ110" s="7" t="s">
        <v>14</v>
      </c>
      <c r="AK110" s="6" t="s">
        <v>13</v>
      </c>
      <c r="AL110" s="3"/>
      <c r="AM110" s="3"/>
      <c r="AN110" s="3"/>
      <c r="AO110" s="3"/>
      <c r="AP110" s="3"/>
    </row>
    <row r="111" spans="1:42" ht="15" x14ac:dyDescent="0.2">
      <c r="A111" s="4">
        <v>110</v>
      </c>
      <c r="B111" s="5">
        <v>1980</v>
      </c>
      <c r="C111" s="5" t="s">
        <v>158</v>
      </c>
      <c r="D111" s="5" t="s">
        <v>19</v>
      </c>
      <c r="E111" s="5" t="s">
        <v>39</v>
      </c>
      <c r="F111" s="5" t="s">
        <v>107</v>
      </c>
      <c r="G111" s="25">
        <v>44750</v>
      </c>
      <c r="H111" s="6" t="s">
        <v>12</v>
      </c>
      <c r="I111" s="6" t="s">
        <v>13</v>
      </c>
      <c r="J111" s="9">
        <v>0.40902777777777777</v>
      </c>
      <c r="K111" s="10">
        <v>0.40347222222222223</v>
      </c>
      <c r="L111" s="10">
        <v>0.37916666666666665</v>
      </c>
      <c r="M111" s="10">
        <v>0.37083333333333335</v>
      </c>
      <c r="N111" s="10">
        <v>0.37430555555555556</v>
      </c>
      <c r="O111" s="7" t="s">
        <v>14</v>
      </c>
      <c r="P111" s="6" t="s">
        <v>13</v>
      </c>
      <c r="Q111" s="10">
        <v>0.37291666666666667</v>
      </c>
      <c r="R111" s="10">
        <v>0.37291666666666667</v>
      </c>
      <c r="S111" s="10">
        <v>0.375</v>
      </c>
      <c r="T111" s="10">
        <v>0.37361111111111112</v>
      </c>
      <c r="U111" s="10">
        <v>0.375</v>
      </c>
      <c r="V111" s="10">
        <v>0.37708333333333333</v>
      </c>
      <c r="W111" s="6" t="s">
        <v>13</v>
      </c>
      <c r="X111" s="10">
        <v>0.37430555555555556</v>
      </c>
      <c r="Y111" s="10">
        <v>0.37291666666666667</v>
      </c>
      <c r="Z111" s="10">
        <v>0.37569444444444444</v>
      </c>
      <c r="AA111" s="7" t="s">
        <v>14</v>
      </c>
      <c r="AB111" s="10">
        <v>0.37430555555555556</v>
      </c>
      <c r="AC111" s="7" t="s">
        <v>14</v>
      </c>
      <c r="AD111" s="6" t="s">
        <v>13</v>
      </c>
      <c r="AE111" s="10">
        <v>0.375</v>
      </c>
      <c r="AF111" s="10">
        <v>0.37430555555555556</v>
      </c>
      <c r="AG111" s="10">
        <v>0.37291666666666667</v>
      </c>
      <c r="AH111" s="10">
        <v>0.37152777777777779</v>
      </c>
      <c r="AI111" s="10">
        <v>0.37430555555555556</v>
      </c>
      <c r="AJ111" s="10">
        <v>0.37430555555555556</v>
      </c>
      <c r="AK111" s="6" t="s">
        <v>13</v>
      </c>
      <c r="AL111" s="3"/>
      <c r="AM111" s="3"/>
      <c r="AN111" s="3"/>
      <c r="AO111" s="3"/>
      <c r="AP111" s="3"/>
    </row>
    <row r="112" spans="1:42" ht="15" x14ac:dyDescent="0.2">
      <c r="A112" s="4">
        <v>111</v>
      </c>
      <c r="B112" s="5">
        <v>1983</v>
      </c>
      <c r="C112" s="5" t="s">
        <v>159</v>
      </c>
      <c r="D112" s="5" t="s">
        <v>80</v>
      </c>
      <c r="E112" s="5" t="s">
        <v>24</v>
      </c>
      <c r="F112" s="5" t="s">
        <v>93</v>
      </c>
      <c r="G112" s="8">
        <v>44755</v>
      </c>
      <c r="H112" s="6" t="s">
        <v>12</v>
      </c>
      <c r="I112" s="6" t="s">
        <v>13</v>
      </c>
      <c r="J112" s="7" t="s">
        <v>14</v>
      </c>
      <c r="K112" s="7" t="s">
        <v>14</v>
      </c>
      <c r="L112" s="10">
        <v>0.28888888888888886</v>
      </c>
      <c r="M112" s="10">
        <v>0.28125</v>
      </c>
      <c r="N112" s="10">
        <v>0.28888888888888886</v>
      </c>
      <c r="O112" s="7" t="s">
        <v>14</v>
      </c>
      <c r="P112" s="6" t="s">
        <v>13</v>
      </c>
      <c r="Q112" s="10">
        <v>0.27361111111111114</v>
      </c>
      <c r="R112" s="10">
        <v>0.26944444444444443</v>
      </c>
      <c r="S112" s="10">
        <v>0.29166666666666669</v>
      </c>
      <c r="T112" s="10">
        <v>0.28125</v>
      </c>
      <c r="U112" s="10">
        <v>0.28680555555555554</v>
      </c>
      <c r="V112" s="10">
        <v>0.2326388888888889</v>
      </c>
      <c r="W112" s="6" t="s">
        <v>13</v>
      </c>
      <c r="X112" s="7" t="s">
        <v>14</v>
      </c>
      <c r="Y112" s="10">
        <v>0.29444444444444445</v>
      </c>
      <c r="Z112" s="10">
        <v>0.28333333333333333</v>
      </c>
      <c r="AA112" s="10">
        <v>0.27361111111111114</v>
      </c>
      <c r="AB112" s="10">
        <v>0.26944444444444443</v>
      </c>
      <c r="AC112" s="10">
        <v>0.14791666666666667</v>
      </c>
      <c r="AD112" s="6" t="s">
        <v>13</v>
      </c>
      <c r="AE112" s="10">
        <v>0.26597222222222222</v>
      </c>
      <c r="AF112" s="10">
        <v>0.25972222222222224</v>
      </c>
      <c r="AG112" s="10">
        <v>0.26874999999999999</v>
      </c>
      <c r="AH112" s="10">
        <v>0.30069444444444443</v>
      </c>
      <c r="AI112" s="10">
        <v>0.20416666666666666</v>
      </c>
      <c r="AJ112" s="10">
        <v>0.21944444444444444</v>
      </c>
      <c r="AK112" s="6" t="s">
        <v>13</v>
      </c>
      <c r="AL112" s="3"/>
      <c r="AM112" s="3"/>
      <c r="AN112" s="3"/>
      <c r="AO112" s="3"/>
      <c r="AP112" s="3"/>
    </row>
    <row r="113" spans="1:42" ht="15" x14ac:dyDescent="0.2">
      <c r="A113" s="4">
        <v>112</v>
      </c>
      <c r="B113" s="5">
        <v>1988</v>
      </c>
      <c r="C113" s="5" t="s">
        <v>160</v>
      </c>
      <c r="D113" s="5" t="s">
        <v>92</v>
      </c>
      <c r="E113" s="5" t="s">
        <v>24</v>
      </c>
      <c r="F113" s="5" t="s">
        <v>89</v>
      </c>
      <c r="G113" s="25">
        <v>44777</v>
      </c>
      <c r="H113" s="6" t="s">
        <v>12</v>
      </c>
      <c r="I113" s="6" t="s">
        <v>13</v>
      </c>
      <c r="J113" s="9">
        <v>0.37430555555555556</v>
      </c>
      <c r="K113" s="10">
        <v>0.375</v>
      </c>
      <c r="L113" s="10">
        <v>0.38194444444444442</v>
      </c>
      <c r="M113" s="10">
        <v>0.38750000000000001</v>
      </c>
      <c r="N113" s="10">
        <v>0.36388888888888887</v>
      </c>
      <c r="O113" s="10">
        <v>0.37430555555555556</v>
      </c>
      <c r="P113" s="6" t="s">
        <v>13</v>
      </c>
      <c r="Q113" s="10">
        <v>0.37638888888888888</v>
      </c>
      <c r="R113" s="10">
        <v>0.37777777777777777</v>
      </c>
      <c r="S113" s="10">
        <v>0.37569444444444444</v>
      </c>
      <c r="T113" s="10">
        <v>0.37083333333333335</v>
      </c>
      <c r="U113" s="10">
        <v>0.39097222222222222</v>
      </c>
      <c r="V113" s="7" t="s">
        <v>14</v>
      </c>
      <c r="W113" s="6" t="s">
        <v>13</v>
      </c>
      <c r="X113" s="7" t="s">
        <v>14</v>
      </c>
      <c r="Y113" s="7" t="s">
        <v>14</v>
      </c>
      <c r="Z113" s="7" t="s">
        <v>14</v>
      </c>
      <c r="AA113" s="7" t="s">
        <v>14</v>
      </c>
      <c r="AB113" s="7" t="s">
        <v>14</v>
      </c>
      <c r="AC113" s="7" t="s">
        <v>14</v>
      </c>
      <c r="AD113" s="6" t="s">
        <v>13</v>
      </c>
      <c r="AE113" s="7" t="s">
        <v>14</v>
      </c>
      <c r="AF113" s="7" t="s">
        <v>14</v>
      </c>
      <c r="AG113" s="7" t="s">
        <v>14</v>
      </c>
      <c r="AH113" s="7" t="s">
        <v>14</v>
      </c>
      <c r="AI113" s="7" t="s">
        <v>14</v>
      </c>
      <c r="AJ113" s="7" t="s">
        <v>14</v>
      </c>
      <c r="AK113" s="6" t="s">
        <v>13</v>
      </c>
      <c r="AL113" s="3"/>
      <c r="AM113" s="3"/>
      <c r="AN113" s="3"/>
      <c r="AO113" s="3"/>
      <c r="AP113" s="3"/>
    </row>
    <row r="114" spans="1:42" ht="15" x14ac:dyDescent="0.2">
      <c r="A114" s="4">
        <v>113</v>
      </c>
      <c r="B114" s="5">
        <v>1990</v>
      </c>
      <c r="C114" s="5" t="s">
        <v>161</v>
      </c>
      <c r="D114" s="5" t="s">
        <v>8</v>
      </c>
      <c r="E114" s="5" t="s">
        <v>39</v>
      </c>
      <c r="F114" s="5" t="s">
        <v>89</v>
      </c>
      <c r="G114" s="25">
        <v>44777</v>
      </c>
      <c r="H114" s="6" t="s">
        <v>12</v>
      </c>
      <c r="I114" s="6" t="s">
        <v>13</v>
      </c>
      <c r="J114" s="9">
        <v>0.40555555555555556</v>
      </c>
      <c r="K114" s="10">
        <v>0.34166666666666667</v>
      </c>
      <c r="L114" s="10">
        <v>0.38055555555555554</v>
      </c>
      <c r="M114" s="10">
        <v>0.37430555555555556</v>
      </c>
      <c r="N114" s="7" t="s">
        <v>14</v>
      </c>
      <c r="O114" s="10">
        <v>0.37986111111111109</v>
      </c>
      <c r="P114" s="6" t="s">
        <v>13</v>
      </c>
      <c r="Q114" s="10">
        <v>0.375</v>
      </c>
      <c r="R114" s="10">
        <v>0.37430555555555556</v>
      </c>
      <c r="S114" s="10">
        <v>0.37569444444444444</v>
      </c>
      <c r="T114" s="10">
        <v>0.37777777777777777</v>
      </c>
      <c r="U114" s="7" t="s">
        <v>14</v>
      </c>
      <c r="V114" s="10">
        <v>0.37986111111111109</v>
      </c>
      <c r="W114" s="6" t="s">
        <v>13</v>
      </c>
      <c r="X114" s="10">
        <v>0.375</v>
      </c>
      <c r="Y114" s="10">
        <v>0.37777777777777777</v>
      </c>
      <c r="Z114" s="10">
        <v>0.37986111111111109</v>
      </c>
      <c r="AA114" s="10">
        <v>0.375</v>
      </c>
      <c r="AB114" s="7" t="s">
        <v>14</v>
      </c>
      <c r="AC114" s="10">
        <v>0.37361111111111112</v>
      </c>
      <c r="AD114" s="6" t="s">
        <v>13</v>
      </c>
      <c r="AE114" s="10">
        <v>0.37638888888888888</v>
      </c>
      <c r="AF114" s="10">
        <v>0.37638888888888888</v>
      </c>
      <c r="AG114" s="10">
        <v>0.37708333333333333</v>
      </c>
      <c r="AH114" s="10">
        <v>0.375</v>
      </c>
      <c r="AI114" s="10">
        <v>0.375</v>
      </c>
      <c r="AJ114" s="10">
        <v>0.37708333333333333</v>
      </c>
      <c r="AK114" s="6" t="s">
        <v>13</v>
      </c>
      <c r="AL114" s="3"/>
      <c r="AM114" s="3"/>
      <c r="AN114" s="3"/>
      <c r="AO114" s="3"/>
      <c r="AP114" s="3"/>
    </row>
    <row r="115" spans="1:42" ht="15" x14ac:dyDescent="0.2">
      <c r="A115" s="4">
        <v>114</v>
      </c>
      <c r="B115" s="5">
        <v>1991</v>
      </c>
      <c r="C115" s="5" t="s">
        <v>162</v>
      </c>
      <c r="D115" s="5" t="s">
        <v>88</v>
      </c>
      <c r="E115" s="5" t="s">
        <v>24</v>
      </c>
      <c r="F115" s="5" t="s">
        <v>89</v>
      </c>
      <c r="G115" s="8">
        <v>44789</v>
      </c>
      <c r="H115" s="6" t="s">
        <v>12</v>
      </c>
      <c r="I115" s="6" t="s">
        <v>13</v>
      </c>
      <c r="J115" s="9">
        <v>0.33958333333333335</v>
      </c>
      <c r="K115" s="10">
        <v>0.33888888888888891</v>
      </c>
      <c r="L115" s="10">
        <v>0.375</v>
      </c>
      <c r="M115" s="10">
        <v>0.37152777777777779</v>
      </c>
      <c r="N115" s="10">
        <v>0.375</v>
      </c>
      <c r="O115" s="10">
        <v>0.3527777777777778</v>
      </c>
      <c r="P115" s="6" t="s">
        <v>13</v>
      </c>
      <c r="Q115" s="10">
        <v>0.32013888888888886</v>
      </c>
      <c r="R115" s="10">
        <v>0.37152777777777779</v>
      </c>
      <c r="S115" s="10">
        <v>0.3298611111111111</v>
      </c>
      <c r="T115" s="10">
        <v>0.34444444444444444</v>
      </c>
      <c r="U115" s="10">
        <v>0.37222222222222223</v>
      </c>
      <c r="V115" s="7" t="s">
        <v>14</v>
      </c>
      <c r="W115" s="6" t="s">
        <v>13</v>
      </c>
      <c r="X115" s="10">
        <v>0.37013888888888891</v>
      </c>
      <c r="Y115" s="10">
        <v>0.37430555555555556</v>
      </c>
      <c r="Z115" s="10">
        <v>0.37291666666666667</v>
      </c>
      <c r="AA115" s="10">
        <v>0.37361111111111112</v>
      </c>
      <c r="AB115" s="10">
        <v>0.35902777777777778</v>
      </c>
      <c r="AC115" s="10">
        <v>0.25624999999999998</v>
      </c>
      <c r="AD115" s="6" t="s">
        <v>13</v>
      </c>
      <c r="AE115" s="10">
        <v>0.32777777777777778</v>
      </c>
      <c r="AF115" s="10">
        <v>0.37152777777777779</v>
      </c>
      <c r="AG115" s="10">
        <v>0.35625000000000001</v>
      </c>
      <c r="AH115" s="10">
        <v>0.34791666666666665</v>
      </c>
      <c r="AI115" s="7" t="s">
        <v>14</v>
      </c>
      <c r="AJ115" s="7" t="s">
        <v>14</v>
      </c>
      <c r="AK115" s="6" t="s">
        <v>13</v>
      </c>
      <c r="AL115" s="3"/>
      <c r="AM115" s="3"/>
      <c r="AN115" s="3"/>
      <c r="AO115" s="3"/>
      <c r="AP115" s="3"/>
    </row>
    <row r="116" spans="1:42" ht="15" x14ac:dyDescent="0.2">
      <c r="A116" s="4">
        <v>115</v>
      </c>
      <c r="B116" s="5">
        <v>1992</v>
      </c>
      <c r="C116" s="5" t="s">
        <v>163</v>
      </c>
      <c r="D116" s="5" t="s">
        <v>23</v>
      </c>
      <c r="E116" s="5" t="s">
        <v>20</v>
      </c>
      <c r="F116" s="5" t="s">
        <v>89</v>
      </c>
      <c r="G116" s="8">
        <v>44789</v>
      </c>
      <c r="H116" s="6" t="s">
        <v>12</v>
      </c>
      <c r="I116" s="6" t="s">
        <v>13</v>
      </c>
      <c r="J116" s="7" t="s">
        <v>14</v>
      </c>
      <c r="K116" s="10">
        <v>0.2986111111111111</v>
      </c>
      <c r="L116" s="10">
        <v>0.3923611111111111</v>
      </c>
      <c r="M116" s="10">
        <v>0.42291666666666666</v>
      </c>
      <c r="N116" s="10">
        <v>0.34722222222222221</v>
      </c>
      <c r="O116" s="10">
        <v>0.33888888888888891</v>
      </c>
      <c r="P116" s="6" t="s">
        <v>13</v>
      </c>
      <c r="Q116" s="10">
        <v>0.36805555555555558</v>
      </c>
      <c r="R116" s="10">
        <v>0.38124999999999998</v>
      </c>
      <c r="S116" s="10">
        <v>0.35486111111111113</v>
      </c>
      <c r="T116" s="10">
        <v>0.38055555555555554</v>
      </c>
      <c r="U116" s="10">
        <v>0.38055555555555554</v>
      </c>
      <c r="V116" s="10">
        <v>0.37847222222222221</v>
      </c>
      <c r="W116" s="6" t="s">
        <v>13</v>
      </c>
      <c r="X116" s="10">
        <v>0.36666666666666664</v>
      </c>
      <c r="Y116" s="10">
        <v>0.3576388888888889</v>
      </c>
      <c r="Z116" s="10">
        <v>0.34583333333333333</v>
      </c>
      <c r="AA116" s="10">
        <v>0.35</v>
      </c>
      <c r="AB116" s="10">
        <v>0.39444444444444443</v>
      </c>
      <c r="AC116" s="10">
        <v>0.32916666666666666</v>
      </c>
      <c r="AD116" s="6" t="s">
        <v>13</v>
      </c>
      <c r="AE116" s="10">
        <v>0.3840277777777778</v>
      </c>
      <c r="AF116" s="7" t="s">
        <v>14</v>
      </c>
      <c r="AG116" s="10">
        <v>0.37361111111111112</v>
      </c>
      <c r="AH116" s="10">
        <v>0.37222222222222223</v>
      </c>
      <c r="AI116" s="10">
        <v>0.39027777777777778</v>
      </c>
      <c r="AJ116" s="10">
        <v>0.41111111111111109</v>
      </c>
      <c r="AK116" s="6" t="s">
        <v>13</v>
      </c>
      <c r="AL116" s="3"/>
      <c r="AM116" s="3"/>
      <c r="AN116" s="3"/>
      <c r="AO116" s="3"/>
      <c r="AP116" s="3"/>
    </row>
    <row r="117" spans="1:42" ht="15" x14ac:dyDescent="0.2">
      <c r="A117" s="4">
        <v>116</v>
      </c>
      <c r="B117" s="5">
        <v>1993</v>
      </c>
      <c r="C117" s="5" t="s">
        <v>164</v>
      </c>
      <c r="D117" s="5" t="s">
        <v>92</v>
      </c>
      <c r="E117" s="5" t="s">
        <v>39</v>
      </c>
      <c r="F117" s="5" t="s">
        <v>89</v>
      </c>
      <c r="G117" s="8">
        <v>44791</v>
      </c>
      <c r="H117" s="6" t="s">
        <v>12</v>
      </c>
      <c r="I117" s="6" t="s">
        <v>13</v>
      </c>
      <c r="J117" s="7" t="s">
        <v>14</v>
      </c>
      <c r="K117" s="10">
        <v>0.33958333333333335</v>
      </c>
      <c r="L117" s="10">
        <v>0.37847222222222221</v>
      </c>
      <c r="M117" s="10">
        <v>0.38194444444444442</v>
      </c>
      <c r="N117" s="10">
        <v>0.35833333333333334</v>
      </c>
      <c r="O117" s="7" t="s">
        <v>14</v>
      </c>
      <c r="P117" s="6" t="s">
        <v>13</v>
      </c>
      <c r="Q117" s="10">
        <v>0.34652777777777777</v>
      </c>
      <c r="R117" s="10">
        <v>0.39374999999999999</v>
      </c>
      <c r="S117" s="10">
        <v>0.38611111111111113</v>
      </c>
      <c r="T117" s="10">
        <v>0.37708333333333333</v>
      </c>
      <c r="U117" s="10">
        <v>0.37569444444444444</v>
      </c>
      <c r="V117" s="10">
        <v>0.36527777777777776</v>
      </c>
      <c r="W117" s="6" t="s">
        <v>13</v>
      </c>
      <c r="X117" s="10">
        <v>0.39444444444444443</v>
      </c>
      <c r="Y117" s="10">
        <v>0.21736111111111112</v>
      </c>
      <c r="Z117" s="7" t="s">
        <v>14</v>
      </c>
      <c r="AA117" s="7" t="s">
        <v>14</v>
      </c>
      <c r="AB117" s="7" t="s">
        <v>14</v>
      </c>
      <c r="AC117" s="7" t="s">
        <v>14</v>
      </c>
      <c r="AD117" s="6" t="s">
        <v>13</v>
      </c>
      <c r="AE117" s="7" t="s">
        <v>14</v>
      </c>
      <c r="AF117" s="7" t="s">
        <v>14</v>
      </c>
      <c r="AG117" s="7" t="s">
        <v>14</v>
      </c>
      <c r="AH117" s="7" t="s">
        <v>14</v>
      </c>
      <c r="AI117" s="7" t="s">
        <v>14</v>
      </c>
      <c r="AJ117" s="7" t="s">
        <v>14</v>
      </c>
      <c r="AK117" s="6" t="s">
        <v>13</v>
      </c>
      <c r="AL117" s="3"/>
      <c r="AM117" s="3"/>
      <c r="AN117" s="3"/>
      <c r="AO117" s="3"/>
      <c r="AP117" s="3"/>
    </row>
    <row r="118" spans="1:42" ht="15" x14ac:dyDescent="0.2">
      <c r="A118" s="4">
        <v>117</v>
      </c>
      <c r="B118" s="5">
        <v>1995</v>
      </c>
      <c r="C118" s="5" t="s">
        <v>165</v>
      </c>
      <c r="D118" s="5" t="s">
        <v>19</v>
      </c>
      <c r="E118" s="5" t="s">
        <v>39</v>
      </c>
      <c r="F118" s="5" t="s">
        <v>89</v>
      </c>
      <c r="G118" s="8">
        <v>44726</v>
      </c>
      <c r="H118" s="6" t="s">
        <v>12</v>
      </c>
      <c r="I118" s="6" t="s">
        <v>13</v>
      </c>
      <c r="J118" s="9">
        <v>0.37222222222222223</v>
      </c>
      <c r="K118" s="10">
        <v>0.38055555555555554</v>
      </c>
      <c r="L118" s="10">
        <v>0.375</v>
      </c>
      <c r="M118" s="10">
        <v>0.38194444444444442</v>
      </c>
      <c r="N118" s="10">
        <v>0.35208333333333336</v>
      </c>
      <c r="O118" s="7" t="s">
        <v>14</v>
      </c>
      <c r="P118" s="6" t="s">
        <v>13</v>
      </c>
      <c r="Q118" s="10">
        <v>0.38680555555555557</v>
      </c>
      <c r="R118" s="10">
        <v>0.36875000000000002</v>
      </c>
      <c r="S118" s="10">
        <v>0.39583333333333331</v>
      </c>
      <c r="T118" s="10">
        <v>0.37569444444444444</v>
      </c>
      <c r="U118" s="10">
        <v>0.39930555555555558</v>
      </c>
      <c r="V118" s="10">
        <v>0.37013888888888891</v>
      </c>
      <c r="W118" s="6" t="s">
        <v>13</v>
      </c>
      <c r="X118" s="10">
        <v>0.40902777777777777</v>
      </c>
      <c r="Y118" s="10">
        <v>0.40833333333333333</v>
      </c>
      <c r="Z118" s="10">
        <v>0.42152777777777778</v>
      </c>
      <c r="AA118" s="10">
        <v>0.42708333333333331</v>
      </c>
      <c r="AB118" s="10">
        <v>0.42777777777777776</v>
      </c>
      <c r="AC118" s="7" t="s">
        <v>14</v>
      </c>
      <c r="AD118" s="6" t="s">
        <v>13</v>
      </c>
      <c r="AE118" s="7" t="s">
        <v>14</v>
      </c>
      <c r="AF118" s="10">
        <v>0.44444444444444442</v>
      </c>
      <c r="AG118" s="10">
        <v>0.43819444444444444</v>
      </c>
      <c r="AH118" s="10">
        <v>0.42777777777777776</v>
      </c>
      <c r="AI118" s="10">
        <v>0.43819444444444444</v>
      </c>
      <c r="AJ118" s="10">
        <v>0.29236111111111113</v>
      </c>
      <c r="AK118" s="6" t="s">
        <v>13</v>
      </c>
      <c r="AL118" s="3"/>
      <c r="AM118" s="3"/>
      <c r="AN118" s="3"/>
      <c r="AO118" s="3"/>
      <c r="AP118" s="3"/>
    </row>
    <row r="119" spans="1:42" ht="15" x14ac:dyDescent="0.2">
      <c r="A119" s="4">
        <v>118</v>
      </c>
      <c r="B119" s="5">
        <v>2001</v>
      </c>
      <c r="C119" s="5" t="s">
        <v>115</v>
      </c>
      <c r="D119" s="5" t="s">
        <v>114</v>
      </c>
      <c r="E119" s="5" t="s">
        <v>99</v>
      </c>
      <c r="F119" s="5" t="s">
        <v>125</v>
      </c>
      <c r="G119" s="8">
        <v>44799</v>
      </c>
      <c r="H119" s="6" t="s">
        <v>12</v>
      </c>
      <c r="I119" s="6" t="s">
        <v>13</v>
      </c>
      <c r="J119" s="9">
        <v>0.11805555555555555</v>
      </c>
      <c r="K119" s="10">
        <v>0.37777777777777777</v>
      </c>
      <c r="L119" s="10">
        <v>0.28125</v>
      </c>
      <c r="M119" s="10">
        <v>0.3840277777777778</v>
      </c>
      <c r="N119" s="10">
        <v>0.36249999999999999</v>
      </c>
      <c r="O119" s="10">
        <v>0.35069444444444442</v>
      </c>
      <c r="P119" s="6" t="s">
        <v>13</v>
      </c>
      <c r="Q119" s="10">
        <v>0.33819444444444446</v>
      </c>
      <c r="R119" s="10">
        <v>0.37291666666666667</v>
      </c>
      <c r="S119" s="10">
        <v>0.37708333333333333</v>
      </c>
      <c r="T119" s="10">
        <v>0.37708333333333333</v>
      </c>
      <c r="U119" s="10">
        <v>0.36249999999999999</v>
      </c>
      <c r="V119" s="7" t="s">
        <v>14</v>
      </c>
      <c r="W119" s="6" t="s">
        <v>13</v>
      </c>
      <c r="X119" s="10">
        <v>0.37777777777777777</v>
      </c>
      <c r="Y119" s="10">
        <v>0.36041666666666666</v>
      </c>
      <c r="Z119" s="10">
        <v>0.33263888888888887</v>
      </c>
      <c r="AA119" s="10">
        <v>0.36527777777777776</v>
      </c>
      <c r="AB119" s="10">
        <v>0.37361111111111112</v>
      </c>
      <c r="AC119" s="10">
        <v>0.35833333333333334</v>
      </c>
      <c r="AD119" s="6" t="s">
        <v>13</v>
      </c>
      <c r="AE119" s="10">
        <v>0.37222222222222223</v>
      </c>
      <c r="AF119" s="10">
        <v>0.36805555555555558</v>
      </c>
      <c r="AG119" s="10">
        <v>0.37083333333333335</v>
      </c>
      <c r="AH119" s="10">
        <v>0.33888888888888891</v>
      </c>
      <c r="AI119" s="10">
        <v>0.32916666666666666</v>
      </c>
      <c r="AJ119" s="10">
        <v>0.35833333333333334</v>
      </c>
      <c r="AK119" s="6" t="s">
        <v>13</v>
      </c>
      <c r="AL119" s="3"/>
      <c r="AM119" s="3"/>
      <c r="AN119" s="3"/>
      <c r="AO119" s="3"/>
      <c r="AP119" s="3"/>
    </row>
    <row r="120" spans="1:42" ht="15" x14ac:dyDescent="0.2">
      <c r="A120" s="4">
        <v>119</v>
      </c>
      <c r="B120" s="5">
        <v>2012</v>
      </c>
      <c r="C120" s="5" t="s">
        <v>166</v>
      </c>
      <c r="D120" s="5" t="s">
        <v>44</v>
      </c>
      <c r="E120" s="5" t="s">
        <v>28</v>
      </c>
      <c r="F120" s="5" t="s">
        <v>89</v>
      </c>
      <c r="G120" s="8">
        <v>44767</v>
      </c>
      <c r="H120" s="6" t="s">
        <v>12</v>
      </c>
      <c r="I120" s="6" t="s">
        <v>13</v>
      </c>
      <c r="J120" s="7" t="s">
        <v>14</v>
      </c>
      <c r="K120" s="7" t="s">
        <v>14</v>
      </c>
      <c r="L120" s="7" t="s">
        <v>14</v>
      </c>
      <c r="M120" s="7" t="s">
        <v>14</v>
      </c>
      <c r="N120" s="7" t="s">
        <v>14</v>
      </c>
      <c r="O120" s="7" t="s">
        <v>14</v>
      </c>
      <c r="P120" s="6" t="s">
        <v>13</v>
      </c>
      <c r="Q120" s="7" t="s">
        <v>14</v>
      </c>
      <c r="R120" s="7" t="s">
        <v>14</v>
      </c>
      <c r="S120" s="7" t="s">
        <v>14</v>
      </c>
      <c r="T120" s="7" t="s">
        <v>14</v>
      </c>
      <c r="U120" s="7" t="s">
        <v>14</v>
      </c>
      <c r="V120" s="7" t="s">
        <v>14</v>
      </c>
      <c r="W120" s="6" t="s">
        <v>13</v>
      </c>
      <c r="X120" s="7" t="s">
        <v>14</v>
      </c>
      <c r="Y120" s="7" t="s">
        <v>14</v>
      </c>
      <c r="Z120" s="7" t="s">
        <v>14</v>
      </c>
      <c r="AA120" s="7" t="s">
        <v>14</v>
      </c>
      <c r="AB120" s="7" t="s">
        <v>14</v>
      </c>
      <c r="AC120" s="7" t="s">
        <v>14</v>
      </c>
      <c r="AD120" s="6" t="s">
        <v>13</v>
      </c>
      <c r="AE120" s="7" t="s">
        <v>14</v>
      </c>
      <c r="AF120" s="7" t="s">
        <v>14</v>
      </c>
      <c r="AG120" s="7" t="s">
        <v>14</v>
      </c>
      <c r="AH120" s="7" t="s">
        <v>14</v>
      </c>
      <c r="AI120" s="7" t="s">
        <v>14</v>
      </c>
      <c r="AJ120" s="7" t="s">
        <v>14</v>
      </c>
      <c r="AK120" s="6" t="s">
        <v>13</v>
      </c>
      <c r="AL120" s="3"/>
      <c r="AM120" s="3"/>
      <c r="AN120" s="3"/>
      <c r="AO120" s="3"/>
      <c r="AP120" s="3"/>
    </row>
    <row r="121" spans="1:42" ht="15" x14ac:dyDescent="0.2">
      <c r="A121" s="4">
        <v>120</v>
      </c>
      <c r="B121" s="5">
        <v>2014</v>
      </c>
      <c r="C121" s="5" t="s">
        <v>167</v>
      </c>
      <c r="D121" s="5" t="s">
        <v>44</v>
      </c>
      <c r="E121" s="5" t="s">
        <v>39</v>
      </c>
      <c r="F121" s="5" t="s">
        <v>89</v>
      </c>
      <c r="G121" s="8">
        <v>44767</v>
      </c>
      <c r="H121" s="6" t="s">
        <v>12</v>
      </c>
      <c r="I121" s="6" t="s">
        <v>13</v>
      </c>
      <c r="J121" s="7" t="s">
        <v>14</v>
      </c>
      <c r="K121" s="7" t="s">
        <v>14</v>
      </c>
      <c r="L121" s="7" t="s">
        <v>14</v>
      </c>
      <c r="M121" s="7" t="s">
        <v>14</v>
      </c>
      <c r="N121" s="10">
        <v>0.31805555555555554</v>
      </c>
      <c r="O121" s="10">
        <v>0.37777777777777777</v>
      </c>
      <c r="P121" s="6" t="s">
        <v>13</v>
      </c>
      <c r="Q121" s="10">
        <v>0.38680555555555557</v>
      </c>
      <c r="R121" s="10">
        <v>0.38472222222222224</v>
      </c>
      <c r="S121" s="10">
        <v>0.37430555555555556</v>
      </c>
      <c r="T121" s="10">
        <v>0.35138888888888886</v>
      </c>
      <c r="U121" s="10">
        <v>0.50069444444444444</v>
      </c>
      <c r="V121" s="10">
        <v>0.40347222222222223</v>
      </c>
      <c r="W121" s="6" t="s">
        <v>13</v>
      </c>
      <c r="X121" s="10">
        <v>0.40486111111111112</v>
      </c>
      <c r="Y121" s="10">
        <v>0.37708333333333333</v>
      </c>
      <c r="Z121" s="10">
        <v>0.47013888888888888</v>
      </c>
      <c r="AA121" s="10">
        <v>0.4236111111111111</v>
      </c>
      <c r="AB121" s="10">
        <v>0.43263888888888891</v>
      </c>
      <c r="AC121" s="10">
        <v>0.42291666666666666</v>
      </c>
      <c r="AD121" s="6" t="s">
        <v>13</v>
      </c>
      <c r="AE121" s="10">
        <v>0.33680555555555558</v>
      </c>
      <c r="AF121" s="10">
        <v>0.40694444444444444</v>
      </c>
      <c r="AG121" s="10">
        <v>0.43819444444444444</v>
      </c>
      <c r="AH121" s="10">
        <v>0.41249999999999998</v>
      </c>
      <c r="AI121" s="10">
        <v>0.38750000000000001</v>
      </c>
      <c r="AJ121" s="7" t="s">
        <v>14</v>
      </c>
      <c r="AK121" s="6" t="s">
        <v>13</v>
      </c>
      <c r="AL121" s="3"/>
      <c r="AM121" s="3"/>
      <c r="AN121" s="3"/>
      <c r="AO121" s="3"/>
      <c r="AP121" s="3"/>
    </row>
    <row r="122" spans="1:42" ht="15" x14ac:dyDescent="0.2">
      <c r="A122" s="4">
        <v>121</v>
      </c>
      <c r="B122" s="5">
        <v>2025</v>
      </c>
      <c r="C122" s="5" t="s">
        <v>168</v>
      </c>
      <c r="D122" s="5" t="s">
        <v>8</v>
      </c>
      <c r="E122" s="5" t="s">
        <v>28</v>
      </c>
      <c r="F122" s="5" t="s">
        <v>107</v>
      </c>
      <c r="G122" s="25">
        <v>44810</v>
      </c>
      <c r="H122" s="6" t="s">
        <v>12</v>
      </c>
      <c r="I122" s="6" t="s">
        <v>13</v>
      </c>
      <c r="J122" s="7" t="s">
        <v>14</v>
      </c>
      <c r="K122" s="7" t="s">
        <v>14</v>
      </c>
      <c r="L122" s="7" t="s">
        <v>14</v>
      </c>
      <c r="M122" s="7" t="s">
        <v>14</v>
      </c>
      <c r="N122" s="7" t="s">
        <v>14</v>
      </c>
      <c r="O122" s="7" t="s">
        <v>14</v>
      </c>
      <c r="P122" s="6" t="s">
        <v>13</v>
      </c>
      <c r="Q122" s="7" t="s">
        <v>14</v>
      </c>
      <c r="R122" s="7" t="s">
        <v>14</v>
      </c>
      <c r="S122" s="7" t="s">
        <v>14</v>
      </c>
      <c r="T122" s="7" t="s">
        <v>14</v>
      </c>
      <c r="U122" s="7" t="s">
        <v>14</v>
      </c>
      <c r="V122" s="7" t="s">
        <v>14</v>
      </c>
      <c r="W122" s="6" t="s">
        <v>13</v>
      </c>
      <c r="X122" s="7" t="s">
        <v>14</v>
      </c>
      <c r="Y122" s="7" t="s">
        <v>14</v>
      </c>
      <c r="Z122" s="7" t="s">
        <v>14</v>
      </c>
      <c r="AA122" s="7" t="s">
        <v>14</v>
      </c>
      <c r="AB122" s="7" t="s">
        <v>14</v>
      </c>
      <c r="AC122" s="7" t="s">
        <v>14</v>
      </c>
      <c r="AD122" s="6" t="s">
        <v>13</v>
      </c>
      <c r="AE122" s="7" t="s">
        <v>14</v>
      </c>
      <c r="AF122" s="7" t="s">
        <v>14</v>
      </c>
      <c r="AG122" s="7" t="s">
        <v>14</v>
      </c>
      <c r="AH122" s="7" t="s">
        <v>14</v>
      </c>
      <c r="AI122" s="7" t="s">
        <v>14</v>
      </c>
      <c r="AJ122" s="7" t="s">
        <v>14</v>
      </c>
      <c r="AK122" s="6" t="s">
        <v>13</v>
      </c>
      <c r="AL122" s="3"/>
      <c r="AM122" s="3"/>
      <c r="AN122" s="3"/>
      <c r="AO122" s="3"/>
      <c r="AP122" s="3"/>
    </row>
    <row r="123" spans="1:42" ht="15" x14ac:dyDescent="0.2">
      <c r="A123" s="4">
        <v>122</v>
      </c>
      <c r="B123" s="5">
        <v>2027</v>
      </c>
      <c r="C123" s="5" t="s">
        <v>169</v>
      </c>
      <c r="D123" s="5" t="s">
        <v>19</v>
      </c>
      <c r="E123" s="5" t="s">
        <v>39</v>
      </c>
      <c r="F123" s="5" t="s">
        <v>89</v>
      </c>
      <c r="G123" s="8">
        <v>44816</v>
      </c>
      <c r="H123" s="6" t="s">
        <v>12</v>
      </c>
      <c r="I123" s="6" t="s">
        <v>13</v>
      </c>
      <c r="J123" s="9">
        <v>0.38194444444444442</v>
      </c>
      <c r="K123" s="10">
        <v>0.39097222222222222</v>
      </c>
      <c r="L123" s="10">
        <v>0.41319444444444442</v>
      </c>
      <c r="M123" s="10">
        <v>0.39027777777777778</v>
      </c>
      <c r="N123" s="10">
        <v>0.34375</v>
      </c>
      <c r="O123" s="10">
        <v>0.37708333333333333</v>
      </c>
      <c r="P123" s="6" t="s">
        <v>13</v>
      </c>
      <c r="Q123" s="10">
        <v>0.41458333333333336</v>
      </c>
      <c r="R123" s="10">
        <v>0.40277777777777779</v>
      </c>
      <c r="S123" s="10">
        <v>0.41111111111111109</v>
      </c>
      <c r="T123" s="10">
        <v>0.40416666666666667</v>
      </c>
      <c r="U123" s="10">
        <v>0.39930555555555558</v>
      </c>
      <c r="V123" s="7" t="s">
        <v>14</v>
      </c>
      <c r="W123" s="6" t="s">
        <v>13</v>
      </c>
      <c r="X123" s="10">
        <v>0.4152777777777778</v>
      </c>
      <c r="Y123" s="10">
        <v>0.43888888888888888</v>
      </c>
      <c r="Z123" s="10">
        <v>0.39583333333333331</v>
      </c>
      <c r="AA123" s="7" t="s">
        <v>14</v>
      </c>
      <c r="AB123" s="10">
        <v>0.44027777777777777</v>
      </c>
      <c r="AC123" s="10">
        <v>0.3972222222222222</v>
      </c>
      <c r="AD123" s="6" t="s">
        <v>13</v>
      </c>
      <c r="AE123" s="10">
        <v>0.38611111111111113</v>
      </c>
      <c r="AF123" s="10">
        <v>0.23333333333333334</v>
      </c>
      <c r="AG123" s="10">
        <v>0.43680555555555556</v>
      </c>
      <c r="AH123" s="10">
        <v>0.4236111111111111</v>
      </c>
      <c r="AI123" s="10">
        <v>0.41180555555555554</v>
      </c>
      <c r="AJ123" s="10">
        <v>0.2722222222222222</v>
      </c>
      <c r="AK123" s="6" t="s">
        <v>13</v>
      </c>
      <c r="AL123" s="3"/>
      <c r="AM123" s="3"/>
      <c r="AN123" s="3"/>
      <c r="AO123" s="3"/>
      <c r="AP123" s="3"/>
    </row>
    <row r="124" spans="1:42" ht="15" x14ac:dyDescent="0.2">
      <c r="A124" s="4">
        <v>123</v>
      </c>
      <c r="B124" s="5">
        <v>2030</v>
      </c>
      <c r="C124" s="5" t="s">
        <v>170</v>
      </c>
      <c r="D124" s="5" t="s">
        <v>92</v>
      </c>
      <c r="E124" s="5" t="s">
        <v>20</v>
      </c>
      <c r="F124" s="5" t="s">
        <v>89</v>
      </c>
      <c r="G124" s="8">
        <v>44798</v>
      </c>
      <c r="H124" s="6" t="s">
        <v>12</v>
      </c>
      <c r="I124" s="6" t="s">
        <v>13</v>
      </c>
      <c r="J124" s="7" t="s">
        <v>14</v>
      </c>
      <c r="K124" s="7" t="s">
        <v>14</v>
      </c>
      <c r="L124" s="7" t="s">
        <v>14</v>
      </c>
      <c r="M124" s="7" t="s">
        <v>14</v>
      </c>
      <c r="N124" s="7" t="s">
        <v>14</v>
      </c>
      <c r="O124" s="7" t="s">
        <v>14</v>
      </c>
      <c r="P124" s="6" t="s">
        <v>13</v>
      </c>
      <c r="Q124" s="7" t="s">
        <v>14</v>
      </c>
      <c r="R124" s="7" t="s">
        <v>14</v>
      </c>
      <c r="S124" s="7" t="s">
        <v>14</v>
      </c>
      <c r="T124" s="7" t="s">
        <v>14</v>
      </c>
      <c r="U124" s="7" t="s">
        <v>14</v>
      </c>
      <c r="V124" s="7" t="s">
        <v>14</v>
      </c>
      <c r="W124" s="6" t="s">
        <v>13</v>
      </c>
      <c r="X124" s="7" t="s">
        <v>14</v>
      </c>
      <c r="Y124" s="7" t="s">
        <v>14</v>
      </c>
      <c r="Z124" s="7" t="s">
        <v>14</v>
      </c>
      <c r="AA124" s="7" t="s">
        <v>14</v>
      </c>
      <c r="AB124" s="7" t="s">
        <v>14</v>
      </c>
      <c r="AC124" s="7" t="s">
        <v>14</v>
      </c>
      <c r="AD124" s="6" t="s">
        <v>13</v>
      </c>
      <c r="AE124" s="7" t="s">
        <v>14</v>
      </c>
      <c r="AF124" s="7" t="s">
        <v>14</v>
      </c>
      <c r="AG124" s="7" t="s">
        <v>14</v>
      </c>
      <c r="AH124" s="7" t="s">
        <v>14</v>
      </c>
      <c r="AI124" s="7" t="s">
        <v>14</v>
      </c>
      <c r="AJ124" s="7" t="s">
        <v>14</v>
      </c>
      <c r="AK124" s="6" t="s">
        <v>13</v>
      </c>
      <c r="AL124" s="3"/>
      <c r="AM124" s="3"/>
      <c r="AN124" s="3"/>
      <c r="AO124" s="3"/>
      <c r="AP124" s="3"/>
    </row>
    <row r="125" spans="1:42" ht="15" x14ac:dyDescent="0.2">
      <c r="A125" s="4">
        <v>124</v>
      </c>
      <c r="B125" s="5">
        <v>2036</v>
      </c>
      <c r="C125" s="5" t="s">
        <v>171</v>
      </c>
      <c r="D125" s="5" t="s">
        <v>83</v>
      </c>
      <c r="E125" s="5" t="s">
        <v>9</v>
      </c>
      <c r="F125" s="5" t="s">
        <v>107</v>
      </c>
      <c r="G125" s="25">
        <v>44412</v>
      </c>
      <c r="H125" s="6" t="s">
        <v>12</v>
      </c>
      <c r="I125" s="6" t="s">
        <v>13</v>
      </c>
      <c r="J125" s="7" t="s">
        <v>14</v>
      </c>
      <c r="K125" s="10">
        <v>0.34166666666666667</v>
      </c>
      <c r="L125" s="10">
        <v>0.37361111111111112</v>
      </c>
      <c r="M125" s="10">
        <v>0.375</v>
      </c>
      <c r="N125" s="10">
        <v>0.37569444444444444</v>
      </c>
      <c r="O125" s="10">
        <v>0.37986111111111109</v>
      </c>
      <c r="P125" s="6" t="s">
        <v>13</v>
      </c>
      <c r="Q125" s="10">
        <v>0.37569444444444444</v>
      </c>
      <c r="R125" s="10">
        <v>0.375</v>
      </c>
      <c r="S125" s="7" t="s">
        <v>14</v>
      </c>
      <c r="T125" s="10">
        <v>0.37638888888888888</v>
      </c>
      <c r="U125" s="10">
        <v>0.37638888888888888</v>
      </c>
      <c r="V125" s="7" t="s">
        <v>14</v>
      </c>
      <c r="W125" s="6" t="s">
        <v>13</v>
      </c>
      <c r="X125" s="10">
        <v>0.37638888888888888</v>
      </c>
      <c r="Y125" s="10">
        <v>0.37708333333333333</v>
      </c>
      <c r="Z125" s="10">
        <v>0.37986111111111109</v>
      </c>
      <c r="AA125" s="10">
        <v>0.35833333333333334</v>
      </c>
      <c r="AB125" s="7" t="s">
        <v>14</v>
      </c>
      <c r="AC125" s="10">
        <v>0.37638888888888888</v>
      </c>
      <c r="AD125" s="6" t="s">
        <v>13</v>
      </c>
      <c r="AE125" s="10">
        <v>0.3527777777777778</v>
      </c>
      <c r="AF125" s="10">
        <v>0.37638888888888888</v>
      </c>
      <c r="AG125" s="10">
        <v>0.33819444444444446</v>
      </c>
      <c r="AH125" s="10">
        <v>0.37361111111111112</v>
      </c>
      <c r="AI125" s="10">
        <v>0.37777777777777777</v>
      </c>
      <c r="AJ125" s="10">
        <v>0.38055555555555554</v>
      </c>
      <c r="AK125" s="6" t="s">
        <v>13</v>
      </c>
      <c r="AL125" s="3"/>
      <c r="AM125" s="3"/>
      <c r="AN125" s="3"/>
      <c r="AO125" s="3"/>
      <c r="AP125" s="3"/>
    </row>
    <row r="126" spans="1:42" ht="15" x14ac:dyDescent="0.2">
      <c r="A126" s="4">
        <v>125</v>
      </c>
      <c r="B126" s="5">
        <v>2039</v>
      </c>
      <c r="C126" s="5" t="s">
        <v>39</v>
      </c>
      <c r="D126" s="5" t="s">
        <v>80</v>
      </c>
      <c r="E126" s="5" t="s">
        <v>85</v>
      </c>
      <c r="F126" s="5" t="s">
        <v>125</v>
      </c>
      <c r="G126" s="8">
        <v>44944</v>
      </c>
      <c r="H126" s="6" t="s">
        <v>12</v>
      </c>
      <c r="I126" s="6" t="s">
        <v>13</v>
      </c>
      <c r="J126" s="9">
        <v>0.37777777777777777</v>
      </c>
      <c r="K126" s="10">
        <v>0.37847222222222221</v>
      </c>
      <c r="L126" s="7" t="s">
        <v>14</v>
      </c>
      <c r="M126" s="10">
        <v>0.37291666666666667</v>
      </c>
      <c r="N126" s="10">
        <v>0.2326388888888889</v>
      </c>
      <c r="O126" s="7" t="s">
        <v>14</v>
      </c>
      <c r="P126" s="6" t="s">
        <v>13</v>
      </c>
      <c r="Q126" s="10">
        <v>0.37638888888888888</v>
      </c>
      <c r="R126" s="10">
        <v>0.38263888888888886</v>
      </c>
      <c r="S126" s="10">
        <v>0.37777777777777777</v>
      </c>
      <c r="T126" s="10">
        <v>0.37569444444444444</v>
      </c>
      <c r="U126" s="7" t="s">
        <v>14</v>
      </c>
      <c r="V126" s="10">
        <v>0.27847222222222223</v>
      </c>
      <c r="W126" s="6" t="s">
        <v>13</v>
      </c>
      <c r="X126" s="10">
        <v>0.37638888888888888</v>
      </c>
      <c r="Y126" s="7" t="s">
        <v>14</v>
      </c>
      <c r="Z126" s="10">
        <v>0.35069444444444442</v>
      </c>
      <c r="AA126" s="10">
        <v>0.37777777777777777</v>
      </c>
      <c r="AB126" s="10">
        <v>0.37986111111111109</v>
      </c>
      <c r="AC126" s="10">
        <v>0.32500000000000001</v>
      </c>
      <c r="AD126" s="6" t="s">
        <v>13</v>
      </c>
      <c r="AE126" s="10">
        <v>0.37708333333333333</v>
      </c>
      <c r="AF126" s="10">
        <v>0.37361111111111112</v>
      </c>
      <c r="AG126" s="10">
        <v>0.36805555555555558</v>
      </c>
      <c r="AH126" s="10">
        <v>0.37638888888888888</v>
      </c>
      <c r="AI126" s="10">
        <v>0.40694444444444444</v>
      </c>
      <c r="AJ126" s="10">
        <v>0.2</v>
      </c>
      <c r="AK126" s="6" t="s">
        <v>13</v>
      </c>
      <c r="AL126" s="3"/>
      <c r="AM126" s="3"/>
      <c r="AN126" s="3"/>
      <c r="AO126" s="3"/>
      <c r="AP126" s="3"/>
    </row>
    <row r="127" spans="1:42" ht="15" x14ac:dyDescent="0.2">
      <c r="A127" s="4">
        <v>126</v>
      </c>
      <c r="B127" s="5">
        <v>2042</v>
      </c>
      <c r="C127" s="5" t="s">
        <v>172</v>
      </c>
      <c r="D127" s="5" t="s">
        <v>23</v>
      </c>
      <c r="E127" s="5" t="s">
        <v>24</v>
      </c>
      <c r="F127" s="5" t="s">
        <v>89</v>
      </c>
      <c r="G127" s="8">
        <v>44756</v>
      </c>
      <c r="H127" s="6" t="s">
        <v>12</v>
      </c>
      <c r="I127" s="6" t="s">
        <v>13</v>
      </c>
      <c r="J127" s="7" t="s">
        <v>14</v>
      </c>
      <c r="K127" s="7" t="s">
        <v>14</v>
      </c>
      <c r="L127" s="7" t="s">
        <v>14</v>
      </c>
      <c r="M127" s="7" t="s">
        <v>14</v>
      </c>
      <c r="N127" s="10">
        <v>0.37638888888888888</v>
      </c>
      <c r="O127" s="10">
        <v>0.37569444444444444</v>
      </c>
      <c r="P127" s="6" t="s">
        <v>13</v>
      </c>
      <c r="Q127" s="10">
        <v>0.37430555555555556</v>
      </c>
      <c r="R127" s="10">
        <v>0.37083333333333335</v>
      </c>
      <c r="S127" s="10">
        <v>0.37361111111111112</v>
      </c>
      <c r="T127" s="10">
        <v>0.37222222222222223</v>
      </c>
      <c r="U127" s="10">
        <v>0.37083333333333335</v>
      </c>
      <c r="V127" s="10">
        <v>0.37083333333333335</v>
      </c>
      <c r="W127" s="6" t="s">
        <v>13</v>
      </c>
      <c r="X127" s="10">
        <v>0.36458333333333331</v>
      </c>
      <c r="Y127" s="10">
        <v>0.35694444444444445</v>
      </c>
      <c r="Z127" s="7" t="s">
        <v>14</v>
      </c>
      <c r="AA127" s="10">
        <v>0.36666666666666664</v>
      </c>
      <c r="AB127" s="10">
        <v>0.36805555555555558</v>
      </c>
      <c r="AC127" s="7" t="s">
        <v>14</v>
      </c>
      <c r="AD127" s="6" t="s">
        <v>13</v>
      </c>
      <c r="AE127" s="10">
        <v>0.31944444444444442</v>
      </c>
      <c r="AF127" s="10">
        <v>0.36527777777777776</v>
      </c>
      <c r="AG127" s="7" t="s">
        <v>14</v>
      </c>
      <c r="AH127" s="10">
        <v>0.3659722222222222</v>
      </c>
      <c r="AI127" s="10">
        <v>0.375</v>
      </c>
      <c r="AJ127" s="10">
        <v>0.37847222222222221</v>
      </c>
      <c r="AK127" s="6" t="s">
        <v>13</v>
      </c>
      <c r="AL127" s="3"/>
      <c r="AM127" s="3"/>
      <c r="AN127" s="3"/>
      <c r="AO127" s="3"/>
      <c r="AP127" s="3"/>
    </row>
    <row r="128" spans="1:42" ht="15" x14ac:dyDescent="0.2">
      <c r="A128" s="4">
        <v>127</v>
      </c>
      <c r="B128" s="5">
        <v>2055</v>
      </c>
      <c r="C128" s="5" t="s">
        <v>173</v>
      </c>
      <c r="D128" s="5" t="s">
        <v>19</v>
      </c>
      <c r="E128" s="5" t="s">
        <v>28</v>
      </c>
      <c r="F128" s="5" t="s">
        <v>89</v>
      </c>
      <c r="G128" s="26">
        <v>45064</v>
      </c>
      <c r="H128" s="6" t="s">
        <v>12</v>
      </c>
      <c r="I128" s="6" t="s">
        <v>13</v>
      </c>
      <c r="J128" s="9">
        <v>0.33750000000000002</v>
      </c>
      <c r="K128" s="10">
        <v>0.33819444444444446</v>
      </c>
      <c r="L128" s="10">
        <v>0.14861111111111111</v>
      </c>
      <c r="M128" s="10">
        <v>0.37361111111111112</v>
      </c>
      <c r="N128" s="10">
        <v>0.37708333333333333</v>
      </c>
      <c r="O128" s="10">
        <v>0</v>
      </c>
      <c r="P128" s="6" t="s">
        <v>13</v>
      </c>
      <c r="Q128" s="10">
        <v>0.37291666666666667</v>
      </c>
      <c r="R128" s="10">
        <v>0.375</v>
      </c>
      <c r="S128" s="10">
        <v>0.37777777777777777</v>
      </c>
      <c r="T128" s="10">
        <v>0.37638888888888888</v>
      </c>
      <c r="U128" s="10">
        <v>0.375</v>
      </c>
      <c r="V128" s="10">
        <v>0.35555555555555557</v>
      </c>
      <c r="W128" s="6" t="s">
        <v>13</v>
      </c>
      <c r="X128" s="10">
        <v>0.37083333333333335</v>
      </c>
      <c r="Y128" s="10">
        <v>0.37638888888888888</v>
      </c>
      <c r="Z128" s="10">
        <v>0.37638888888888888</v>
      </c>
      <c r="AA128" s="10">
        <v>0.37361111111111112</v>
      </c>
      <c r="AB128" s="10">
        <v>0.375</v>
      </c>
      <c r="AC128" s="10">
        <v>0.37430555555555556</v>
      </c>
      <c r="AD128" s="6" t="s">
        <v>13</v>
      </c>
      <c r="AE128" s="10">
        <v>0.37638888888888888</v>
      </c>
      <c r="AF128" s="10">
        <v>0.37361111111111112</v>
      </c>
      <c r="AG128" s="10">
        <v>0.37708333333333333</v>
      </c>
      <c r="AH128" s="10">
        <v>0.37291666666666667</v>
      </c>
      <c r="AI128" s="10">
        <v>0.37291666666666667</v>
      </c>
      <c r="AJ128" s="7" t="s">
        <v>14</v>
      </c>
      <c r="AK128" s="6" t="s">
        <v>13</v>
      </c>
      <c r="AL128" s="3"/>
      <c r="AM128" s="3"/>
      <c r="AN128" s="3"/>
      <c r="AO128" s="3"/>
      <c r="AP128" s="3"/>
    </row>
    <row r="129" spans="1:42" ht="15" x14ac:dyDescent="0.2">
      <c r="A129" s="4">
        <v>128</v>
      </c>
      <c r="B129" s="5">
        <v>2059</v>
      </c>
      <c r="C129" s="5" t="s">
        <v>174</v>
      </c>
      <c r="D129" s="5" t="s">
        <v>83</v>
      </c>
      <c r="E129" s="5" t="s">
        <v>9</v>
      </c>
      <c r="F129" s="5" t="s">
        <v>89</v>
      </c>
      <c r="G129" s="8">
        <v>44763</v>
      </c>
      <c r="H129" s="6" t="s">
        <v>12</v>
      </c>
      <c r="I129" s="6" t="s">
        <v>13</v>
      </c>
      <c r="J129" s="9">
        <v>0.35833333333333334</v>
      </c>
      <c r="K129" s="10">
        <v>0.37708333333333333</v>
      </c>
      <c r="L129" s="10">
        <v>0.3923611111111111</v>
      </c>
      <c r="M129" s="10">
        <v>0.37430555555555556</v>
      </c>
      <c r="N129" s="7" t="s">
        <v>14</v>
      </c>
      <c r="O129" s="7" t="s">
        <v>14</v>
      </c>
      <c r="P129" s="6" t="s">
        <v>13</v>
      </c>
      <c r="Q129" s="10">
        <v>0.40347222222222223</v>
      </c>
      <c r="R129" s="10">
        <v>0.36388888888888887</v>
      </c>
      <c r="S129" s="10">
        <v>0.35694444444444445</v>
      </c>
      <c r="T129" s="10">
        <v>0.34236111111111112</v>
      </c>
      <c r="U129" s="10">
        <v>0.34305555555555556</v>
      </c>
      <c r="V129" s="10">
        <v>0.34444444444444444</v>
      </c>
      <c r="W129" s="6" t="s">
        <v>13</v>
      </c>
      <c r="X129" s="10">
        <v>0.37916666666666665</v>
      </c>
      <c r="Y129" s="10">
        <v>0.36458333333333331</v>
      </c>
      <c r="Z129" s="10">
        <v>0</v>
      </c>
      <c r="AA129" s="10">
        <v>0.39861111111111114</v>
      </c>
      <c r="AB129" s="10">
        <v>0.37222222222222223</v>
      </c>
      <c r="AC129" s="10">
        <v>0.34861111111111109</v>
      </c>
      <c r="AD129" s="6" t="s">
        <v>13</v>
      </c>
      <c r="AE129" s="10">
        <v>0.38263888888888886</v>
      </c>
      <c r="AF129" s="10">
        <v>0.36319444444444443</v>
      </c>
      <c r="AG129" s="10">
        <v>0.36319444444444443</v>
      </c>
      <c r="AH129" s="10">
        <v>0.41736111111111113</v>
      </c>
      <c r="AI129" s="10">
        <v>0.41805555555555557</v>
      </c>
      <c r="AJ129" s="10">
        <v>0.4</v>
      </c>
      <c r="AK129" s="6" t="s">
        <v>13</v>
      </c>
      <c r="AL129" s="3"/>
      <c r="AM129" s="3"/>
      <c r="AN129" s="3"/>
      <c r="AO129" s="3"/>
      <c r="AP129" s="3"/>
    </row>
    <row r="130" spans="1:42" ht="15" x14ac:dyDescent="0.2">
      <c r="A130" s="4">
        <v>129</v>
      </c>
      <c r="B130" s="5">
        <v>2063</v>
      </c>
      <c r="C130" s="5" t="s">
        <v>175</v>
      </c>
      <c r="D130" s="5" t="s">
        <v>88</v>
      </c>
      <c r="E130" s="5" t="s">
        <v>39</v>
      </c>
      <c r="F130" s="5" t="s">
        <v>89</v>
      </c>
      <c r="G130" s="25">
        <v>45078</v>
      </c>
      <c r="H130" s="6" t="s">
        <v>12</v>
      </c>
      <c r="I130" s="6" t="s">
        <v>13</v>
      </c>
      <c r="J130" s="9">
        <v>0.40694444444444444</v>
      </c>
      <c r="K130" s="10">
        <v>0.34097222222222223</v>
      </c>
      <c r="L130" s="10">
        <v>0.37847222222222221</v>
      </c>
      <c r="M130" s="10">
        <v>0.375</v>
      </c>
      <c r="N130" s="10">
        <v>0.37777777777777777</v>
      </c>
      <c r="O130" s="10">
        <v>0.37916666666666665</v>
      </c>
      <c r="P130" s="6" t="s">
        <v>13</v>
      </c>
      <c r="Q130" s="10">
        <v>0.37708333333333333</v>
      </c>
      <c r="R130" s="10">
        <v>0.37569444444444444</v>
      </c>
      <c r="S130" s="10">
        <v>0.37777777777777777</v>
      </c>
      <c r="T130" s="10">
        <v>0.37638888888888888</v>
      </c>
      <c r="U130" s="10">
        <v>0.46875</v>
      </c>
      <c r="V130" s="7" t="s">
        <v>14</v>
      </c>
      <c r="W130" s="6" t="s">
        <v>13</v>
      </c>
      <c r="X130" s="10">
        <v>0.37083333333333335</v>
      </c>
      <c r="Y130" s="10">
        <v>0.37638888888888888</v>
      </c>
      <c r="Z130" s="10">
        <v>0.37847222222222221</v>
      </c>
      <c r="AA130" s="10">
        <v>0.37638888888888888</v>
      </c>
      <c r="AB130" s="10">
        <v>0.37569444444444444</v>
      </c>
      <c r="AC130" s="7" t="s">
        <v>14</v>
      </c>
      <c r="AD130" s="6" t="s">
        <v>13</v>
      </c>
      <c r="AE130" s="10">
        <v>0.37638888888888888</v>
      </c>
      <c r="AF130" s="10">
        <v>0.37708333333333333</v>
      </c>
      <c r="AG130" s="10">
        <v>0.37708333333333333</v>
      </c>
      <c r="AH130" s="10">
        <v>0.37361111111111112</v>
      </c>
      <c r="AI130" s="10">
        <v>0.37638888888888888</v>
      </c>
      <c r="AJ130" s="10">
        <v>0.3125</v>
      </c>
      <c r="AK130" s="6" t="s">
        <v>13</v>
      </c>
      <c r="AL130" s="3"/>
      <c r="AM130" s="3"/>
      <c r="AN130" s="3"/>
      <c r="AO130" s="3"/>
      <c r="AP130" s="3"/>
    </row>
    <row r="131" spans="1:42" ht="15" x14ac:dyDescent="0.2">
      <c r="A131" s="4">
        <v>130</v>
      </c>
      <c r="B131" s="5">
        <v>2067</v>
      </c>
      <c r="C131" s="5" t="s">
        <v>137</v>
      </c>
      <c r="D131" s="5" t="s">
        <v>176</v>
      </c>
      <c r="E131" s="5" t="s">
        <v>99</v>
      </c>
      <c r="F131" s="5" t="s">
        <v>177</v>
      </c>
      <c r="G131" s="25">
        <v>45082</v>
      </c>
      <c r="H131" s="6" t="s">
        <v>12</v>
      </c>
      <c r="I131" s="6" t="s">
        <v>13</v>
      </c>
      <c r="J131" s="9">
        <v>0.34652777777777777</v>
      </c>
      <c r="K131" s="10">
        <v>0.35</v>
      </c>
      <c r="L131" s="10">
        <v>0.3611111111111111</v>
      </c>
      <c r="M131" s="10">
        <v>0.35833333333333334</v>
      </c>
      <c r="N131" s="10">
        <v>0.32013888888888886</v>
      </c>
      <c r="O131" s="7" t="s">
        <v>14</v>
      </c>
      <c r="P131" s="6" t="s">
        <v>13</v>
      </c>
      <c r="Q131" s="7" t="s">
        <v>14</v>
      </c>
      <c r="R131" s="10">
        <v>0.38263888888888886</v>
      </c>
      <c r="S131" s="10">
        <v>0.37638888888888888</v>
      </c>
      <c r="T131" s="10">
        <v>0.375</v>
      </c>
      <c r="U131" s="10">
        <v>0.34791666666666665</v>
      </c>
      <c r="V131" s="7" t="s">
        <v>14</v>
      </c>
      <c r="W131" s="6" t="s">
        <v>13</v>
      </c>
      <c r="X131" s="10">
        <v>0.3034722222222222</v>
      </c>
      <c r="Y131" s="10">
        <v>0</v>
      </c>
      <c r="Z131" s="7" t="s">
        <v>14</v>
      </c>
      <c r="AA131" s="7" t="s">
        <v>14</v>
      </c>
      <c r="AB131" s="7" t="s">
        <v>14</v>
      </c>
      <c r="AC131" s="7" t="s">
        <v>14</v>
      </c>
      <c r="AD131" s="6" t="s">
        <v>13</v>
      </c>
      <c r="AE131" s="7" t="s">
        <v>14</v>
      </c>
      <c r="AF131" s="10">
        <v>0.34861111111111109</v>
      </c>
      <c r="AG131" s="10">
        <v>0.34861111111111109</v>
      </c>
      <c r="AH131" s="10">
        <v>0.23055555555555557</v>
      </c>
      <c r="AI131" s="10">
        <v>0.34305555555555556</v>
      </c>
      <c r="AJ131" s="7" t="s">
        <v>14</v>
      </c>
      <c r="AK131" s="6" t="s">
        <v>13</v>
      </c>
      <c r="AL131" s="3"/>
      <c r="AM131" s="3"/>
      <c r="AN131" s="3"/>
      <c r="AO131" s="3"/>
      <c r="AP131" s="3"/>
    </row>
    <row r="132" spans="1:42" ht="15" x14ac:dyDescent="0.2">
      <c r="A132" s="4">
        <v>131</v>
      </c>
      <c r="B132" s="5">
        <v>2072</v>
      </c>
      <c r="C132" s="5" t="s">
        <v>178</v>
      </c>
      <c r="D132" s="5" t="s">
        <v>19</v>
      </c>
      <c r="E132" s="5" t="s">
        <v>39</v>
      </c>
      <c r="F132" s="5" t="s">
        <v>107</v>
      </c>
      <c r="G132" s="5" t="s">
        <v>179</v>
      </c>
      <c r="H132" s="6" t="s">
        <v>12</v>
      </c>
      <c r="I132" s="6" t="s">
        <v>13</v>
      </c>
      <c r="J132" s="7" t="s">
        <v>14</v>
      </c>
      <c r="K132" s="7" t="s">
        <v>14</v>
      </c>
      <c r="L132" s="7" t="s">
        <v>14</v>
      </c>
      <c r="M132" s="10">
        <v>0.37222222222222223</v>
      </c>
      <c r="N132" s="10">
        <v>0.375</v>
      </c>
      <c r="O132" s="10">
        <v>0.35902777777777778</v>
      </c>
      <c r="P132" s="6" t="s">
        <v>13</v>
      </c>
      <c r="Q132" s="10">
        <v>0.37430555555555556</v>
      </c>
      <c r="R132" s="10">
        <v>0.37430555555555556</v>
      </c>
      <c r="S132" s="10">
        <v>0.37569444444444444</v>
      </c>
      <c r="T132" s="10">
        <v>0.37430555555555556</v>
      </c>
      <c r="U132" s="10">
        <v>0.37916666666666665</v>
      </c>
      <c r="V132" s="7" t="s">
        <v>14</v>
      </c>
      <c r="W132" s="6" t="s">
        <v>13</v>
      </c>
      <c r="X132" s="10">
        <v>0.375</v>
      </c>
      <c r="Y132" s="10">
        <v>0.375</v>
      </c>
      <c r="Z132" s="10">
        <v>0.37708333333333333</v>
      </c>
      <c r="AA132" s="10">
        <v>0.37430555555555556</v>
      </c>
      <c r="AB132" s="10">
        <v>0.37638888888888888</v>
      </c>
      <c r="AC132" s="10">
        <v>0.37777777777777777</v>
      </c>
      <c r="AD132" s="6" t="s">
        <v>13</v>
      </c>
      <c r="AE132" s="10">
        <v>0.37638888888888888</v>
      </c>
      <c r="AF132" s="10">
        <v>0.37847222222222221</v>
      </c>
      <c r="AG132" s="10">
        <v>0.37361111111111112</v>
      </c>
      <c r="AH132" s="10">
        <v>0.37430555555555556</v>
      </c>
      <c r="AI132" s="10">
        <v>0.37708333333333333</v>
      </c>
      <c r="AJ132" s="10">
        <v>0.37569444444444444</v>
      </c>
      <c r="AK132" s="6" t="s">
        <v>13</v>
      </c>
      <c r="AL132" s="3"/>
      <c r="AM132" s="3"/>
      <c r="AN132" s="3"/>
      <c r="AO132" s="3"/>
      <c r="AP132" s="3"/>
    </row>
    <row r="133" spans="1:42" ht="15" x14ac:dyDescent="0.2">
      <c r="A133" s="4">
        <v>132</v>
      </c>
      <c r="B133" s="5">
        <v>2081</v>
      </c>
      <c r="C133" s="5" t="s">
        <v>180</v>
      </c>
      <c r="D133" s="5" t="s">
        <v>23</v>
      </c>
      <c r="E133" s="5" t="s">
        <v>28</v>
      </c>
      <c r="F133" s="5" t="s">
        <v>89</v>
      </c>
      <c r="G133" s="8">
        <v>45120</v>
      </c>
      <c r="H133" s="6" t="s">
        <v>12</v>
      </c>
      <c r="I133" s="6" t="s">
        <v>13</v>
      </c>
      <c r="J133" s="9">
        <v>0.37291666666666667</v>
      </c>
      <c r="K133" s="7" t="s">
        <v>14</v>
      </c>
      <c r="L133" s="7" t="s">
        <v>14</v>
      </c>
      <c r="M133" s="7" t="s">
        <v>14</v>
      </c>
      <c r="N133" s="7" t="s">
        <v>14</v>
      </c>
      <c r="O133" s="7" t="s">
        <v>14</v>
      </c>
      <c r="P133" s="6" t="s">
        <v>13</v>
      </c>
      <c r="Q133" s="7" t="s">
        <v>14</v>
      </c>
      <c r="R133" s="7" t="s">
        <v>14</v>
      </c>
      <c r="S133" s="7" t="s">
        <v>14</v>
      </c>
      <c r="T133" s="7" t="s">
        <v>14</v>
      </c>
      <c r="U133" s="7" t="s">
        <v>14</v>
      </c>
      <c r="V133" s="7" t="s">
        <v>14</v>
      </c>
      <c r="W133" s="6" t="s">
        <v>13</v>
      </c>
      <c r="X133" s="7" t="s">
        <v>14</v>
      </c>
      <c r="Y133" s="7" t="s">
        <v>14</v>
      </c>
      <c r="Z133" s="7" t="s">
        <v>14</v>
      </c>
      <c r="AA133" s="7" t="s">
        <v>14</v>
      </c>
      <c r="AB133" s="7" t="s">
        <v>14</v>
      </c>
      <c r="AC133" s="7" t="s">
        <v>14</v>
      </c>
      <c r="AD133" s="6" t="s">
        <v>13</v>
      </c>
      <c r="AE133" s="7" t="s">
        <v>14</v>
      </c>
      <c r="AF133" s="7" t="s">
        <v>14</v>
      </c>
      <c r="AG133" s="7" t="s">
        <v>14</v>
      </c>
      <c r="AH133" s="7" t="s">
        <v>14</v>
      </c>
      <c r="AI133" s="7" t="s">
        <v>14</v>
      </c>
      <c r="AJ133" s="7" t="s">
        <v>14</v>
      </c>
      <c r="AK133" s="6" t="s">
        <v>13</v>
      </c>
      <c r="AL133" s="3"/>
      <c r="AM133" s="3"/>
      <c r="AN133" s="3"/>
      <c r="AO133" s="3"/>
      <c r="AP133" s="3"/>
    </row>
    <row r="134" spans="1:42" ht="15" x14ac:dyDescent="0.2">
      <c r="A134" s="4">
        <v>133</v>
      </c>
      <c r="B134" s="5">
        <v>2082</v>
      </c>
      <c r="C134" s="5" t="s">
        <v>181</v>
      </c>
      <c r="D134" s="5" t="s">
        <v>19</v>
      </c>
      <c r="E134" s="5" t="s">
        <v>20</v>
      </c>
      <c r="F134" s="5" t="s">
        <v>107</v>
      </c>
      <c r="G134" s="8">
        <v>45121</v>
      </c>
      <c r="H134" s="6" t="s">
        <v>12</v>
      </c>
      <c r="I134" s="6" t="s">
        <v>13</v>
      </c>
      <c r="J134" s="9">
        <v>0.37708333333333333</v>
      </c>
      <c r="K134" s="10">
        <v>0.38333333333333336</v>
      </c>
      <c r="L134" s="10">
        <v>0.37708333333333333</v>
      </c>
      <c r="M134" s="10">
        <v>0.37013888888888891</v>
      </c>
      <c r="N134" s="10">
        <v>0.37916666666666665</v>
      </c>
      <c r="O134" s="7" t="s">
        <v>14</v>
      </c>
      <c r="P134" s="6" t="s">
        <v>13</v>
      </c>
      <c r="Q134" s="10">
        <v>0.37777777777777777</v>
      </c>
      <c r="R134" s="10">
        <v>0.375</v>
      </c>
      <c r="S134" s="10">
        <v>0.38194444444444442</v>
      </c>
      <c r="T134" s="10">
        <v>0.37361111111111112</v>
      </c>
      <c r="U134" s="10">
        <v>0.35347222222222224</v>
      </c>
      <c r="V134" s="7" t="s">
        <v>14</v>
      </c>
      <c r="W134" s="6" t="s">
        <v>13</v>
      </c>
      <c r="X134" s="7" t="s">
        <v>14</v>
      </c>
      <c r="Y134" s="7" t="s">
        <v>14</v>
      </c>
      <c r="Z134" s="7" t="s">
        <v>14</v>
      </c>
      <c r="AA134" s="7" t="s">
        <v>14</v>
      </c>
      <c r="AB134" s="7" t="s">
        <v>14</v>
      </c>
      <c r="AC134" s="7" t="s">
        <v>14</v>
      </c>
      <c r="AD134" s="6" t="s">
        <v>13</v>
      </c>
      <c r="AE134" s="7" t="s">
        <v>14</v>
      </c>
      <c r="AF134" s="7" t="s">
        <v>14</v>
      </c>
      <c r="AG134" s="7" t="s">
        <v>14</v>
      </c>
      <c r="AH134" s="7" t="s">
        <v>14</v>
      </c>
      <c r="AI134" s="7" t="s">
        <v>14</v>
      </c>
      <c r="AJ134" s="7" t="s">
        <v>14</v>
      </c>
      <c r="AK134" s="6" t="s">
        <v>13</v>
      </c>
      <c r="AL134" s="3"/>
      <c r="AM134" s="3"/>
      <c r="AN134" s="3"/>
      <c r="AO134" s="3"/>
      <c r="AP134" s="3"/>
    </row>
    <row r="135" spans="1:42" ht="15" x14ac:dyDescent="0.2">
      <c r="A135" s="4">
        <v>134</v>
      </c>
      <c r="B135" s="5">
        <v>2083</v>
      </c>
      <c r="C135" s="5" t="s">
        <v>182</v>
      </c>
      <c r="D135" s="5" t="s">
        <v>8</v>
      </c>
      <c r="E135" s="5" t="s">
        <v>9</v>
      </c>
      <c r="F135" s="5" t="s">
        <v>107</v>
      </c>
      <c r="G135" s="8">
        <v>45124</v>
      </c>
      <c r="H135" s="6" t="s">
        <v>12</v>
      </c>
      <c r="I135" s="6" t="s">
        <v>13</v>
      </c>
      <c r="J135" s="9">
        <v>0.3659722222222222</v>
      </c>
      <c r="K135" s="10">
        <v>0.37013888888888891</v>
      </c>
      <c r="L135" s="10">
        <v>0.37638888888888888</v>
      </c>
      <c r="M135" s="10">
        <v>0.36944444444444446</v>
      </c>
      <c r="N135" s="10">
        <v>0.30138888888888887</v>
      </c>
      <c r="O135" s="7" t="s">
        <v>14</v>
      </c>
      <c r="P135" s="6" t="s">
        <v>13</v>
      </c>
      <c r="Q135" s="10">
        <v>0.36805555555555558</v>
      </c>
      <c r="R135" s="10">
        <v>0.38194444444444442</v>
      </c>
      <c r="S135" s="7" t="s">
        <v>14</v>
      </c>
      <c r="T135" s="10">
        <v>0.36736111111111114</v>
      </c>
      <c r="U135" s="10">
        <v>0.36180555555555555</v>
      </c>
      <c r="V135" s="7" t="s">
        <v>14</v>
      </c>
      <c r="W135" s="6" t="s">
        <v>13</v>
      </c>
      <c r="X135" s="7" t="s">
        <v>14</v>
      </c>
      <c r="Y135" s="10">
        <v>0.36319444444444443</v>
      </c>
      <c r="Z135" s="10">
        <v>0.36875000000000002</v>
      </c>
      <c r="AA135" s="10">
        <v>0.3611111111111111</v>
      </c>
      <c r="AB135" s="10">
        <v>0.37013888888888891</v>
      </c>
      <c r="AC135" s="10">
        <v>0.37083333333333335</v>
      </c>
      <c r="AD135" s="6" t="s">
        <v>13</v>
      </c>
      <c r="AE135" s="10">
        <v>0.36944444444444446</v>
      </c>
      <c r="AF135" s="10">
        <v>0.3840277777777778</v>
      </c>
      <c r="AG135" s="10">
        <v>0.37986111111111109</v>
      </c>
      <c r="AH135" s="10">
        <v>0.4</v>
      </c>
      <c r="AI135" s="10">
        <v>0.3659722222222222</v>
      </c>
      <c r="AJ135" s="10">
        <v>0.36458333333333331</v>
      </c>
      <c r="AK135" s="6" t="s">
        <v>13</v>
      </c>
      <c r="AL135" s="3"/>
      <c r="AM135" s="3"/>
      <c r="AN135" s="3"/>
      <c r="AO135" s="3"/>
      <c r="AP135" s="3"/>
    </row>
    <row r="136" spans="1:42" ht="15" x14ac:dyDescent="0.2">
      <c r="A136" s="4">
        <v>135</v>
      </c>
      <c r="B136" s="5">
        <v>2084</v>
      </c>
      <c r="C136" s="5" t="s">
        <v>183</v>
      </c>
      <c r="D136" s="5" t="s">
        <v>19</v>
      </c>
      <c r="E136" s="5" t="s">
        <v>24</v>
      </c>
      <c r="F136" s="5" t="s">
        <v>107</v>
      </c>
      <c r="G136" s="8">
        <v>45124</v>
      </c>
      <c r="H136" s="6" t="s">
        <v>12</v>
      </c>
      <c r="I136" s="6" t="s">
        <v>13</v>
      </c>
      <c r="J136" s="9">
        <v>0.33888888888888891</v>
      </c>
      <c r="K136" s="10">
        <v>0.4</v>
      </c>
      <c r="L136" s="7" t="s">
        <v>14</v>
      </c>
      <c r="M136" s="10">
        <v>0.37152777777777779</v>
      </c>
      <c r="N136" s="10">
        <v>0.37708333333333333</v>
      </c>
      <c r="O136" s="10">
        <v>0.34375</v>
      </c>
      <c r="P136" s="6" t="s">
        <v>13</v>
      </c>
      <c r="Q136" s="10">
        <v>0.37291666666666667</v>
      </c>
      <c r="R136" s="10">
        <v>0.37083333333333335</v>
      </c>
      <c r="S136" s="10">
        <v>0.37569444444444444</v>
      </c>
      <c r="T136" s="10">
        <v>0.37361111111111112</v>
      </c>
      <c r="U136" s="10">
        <v>0.37152777777777779</v>
      </c>
      <c r="V136" s="7" t="s">
        <v>14</v>
      </c>
      <c r="W136" s="6" t="s">
        <v>13</v>
      </c>
      <c r="X136" s="10">
        <v>0.18472222222222223</v>
      </c>
      <c r="Y136" s="10">
        <v>0.37291666666666667</v>
      </c>
      <c r="Z136" s="10">
        <v>0.37222222222222223</v>
      </c>
      <c r="AA136" s="10">
        <v>0.37222222222222223</v>
      </c>
      <c r="AB136" s="10">
        <v>0.37708333333333333</v>
      </c>
      <c r="AC136" s="10">
        <v>0.22361111111111112</v>
      </c>
      <c r="AD136" s="6" t="s">
        <v>13</v>
      </c>
      <c r="AE136" s="7" t="s">
        <v>14</v>
      </c>
      <c r="AF136" s="10">
        <v>0.375</v>
      </c>
      <c r="AG136" s="10">
        <v>0.37152777777777779</v>
      </c>
      <c r="AH136" s="10">
        <v>0.37152777777777779</v>
      </c>
      <c r="AI136" s="10">
        <v>0.37361111111111112</v>
      </c>
      <c r="AJ136" s="10">
        <v>0.35138888888888886</v>
      </c>
      <c r="AK136" s="6" t="s">
        <v>13</v>
      </c>
      <c r="AL136" s="3"/>
      <c r="AM136" s="3"/>
      <c r="AN136" s="3"/>
      <c r="AO136" s="3"/>
      <c r="AP136" s="3"/>
    </row>
    <row r="137" spans="1:42" ht="15" x14ac:dyDescent="0.2">
      <c r="A137" s="4">
        <v>136</v>
      </c>
      <c r="B137" s="5">
        <v>2086</v>
      </c>
      <c r="C137" s="5" t="s">
        <v>184</v>
      </c>
      <c r="D137" s="5" t="s">
        <v>88</v>
      </c>
      <c r="E137" s="5" t="s">
        <v>39</v>
      </c>
      <c r="F137" s="5" t="s">
        <v>89</v>
      </c>
      <c r="G137" s="8">
        <v>45126</v>
      </c>
      <c r="H137" s="6" t="s">
        <v>12</v>
      </c>
      <c r="I137" s="6" t="s">
        <v>13</v>
      </c>
      <c r="J137" s="9">
        <v>0.40069444444444446</v>
      </c>
      <c r="K137" s="10">
        <v>0.40138888888888891</v>
      </c>
      <c r="L137" s="10">
        <v>0.37916666666666665</v>
      </c>
      <c r="M137" s="10">
        <v>0.33958333333333335</v>
      </c>
      <c r="N137" s="7" t="s">
        <v>14</v>
      </c>
      <c r="O137" s="7" t="s">
        <v>14</v>
      </c>
      <c r="P137" s="6" t="s">
        <v>13</v>
      </c>
      <c r="Q137" s="10">
        <v>0.32291666666666669</v>
      </c>
      <c r="R137" s="10">
        <v>0.36249999999999999</v>
      </c>
      <c r="S137" s="10">
        <v>0.37430555555555556</v>
      </c>
      <c r="T137" s="10">
        <v>0.37430555555555556</v>
      </c>
      <c r="U137" s="10">
        <v>0.375</v>
      </c>
      <c r="V137" s="10">
        <v>0.33333333333333331</v>
      </c>
      <c r="W137" s="6" t="s">
        <v>13</v>
      </c>
      <c r="X137" s="10">
        <v>0.37152777777777779</v>
      </c>
      <c r="Y137" s="7" t="s">
        <v>14</v>
      </c>
      <c r="Z137" s="10">
        <v>0.37638888888888888</v>
      </c>
      <c r="AA137" s="10">
        <v>0.37361111111111112</v>
      </c>
      <c r="AB137" s="10">
        <v>0.375</v>
      </c>
      <c r="AC137" s="10">
        <v>0.34097222222222223</v>
      </c>
      <c r="AD137" s="6" t="s">
        <v>13</v>
      </c>
      <c r="AE137" s="10">
        <v>0.37708333333333333</v>
      </c>
      <c r="AF137" s="10">
        <v>0.37222222222222223</v>
      </c>
      <c r="AG137" s="10">
        <v>0.37361111111111112</v>
      </c>
      <c r="AH137" s="10">
        <v>0.37777777777777777</v>
      </c>
      <c r="AI137" s="10">
        <v>0.37916666666666665</v>
      </c>
      <c r="AJ137" s="10">
        <v>0.37916666666666665</v>
      </c>
      <c r="AK137" s="6" t="s">
        <v>13</v>
      </c>
      <c r="AL137" s="3"/>
      <c r="AM137" s="3"/>
      <c r="AN137" s="3"/>
      <c r="AO137" s="3"/>
      <c r="AP137" s="3"/>
    </row>
    <row r="138" spans="1:42" ht="15" x14ac:dyDescent="0.2">
      <c r="A138" s="4">
        <v>137</v>
      </c>
      <c r="B138" s="5">
        <v>2102</v>
      </c>
      <c r="C138" s="5" t="s">
        <v>185</v>
      </c>
      <c r="D138" s="5" t="s">
        <v>88</v>
      </c>
      <c r="E138" s="5" t="s">
        <v>109</v>
      </c>
      <c r="F138" s="5" t="s">
        <v>107</v>
      </c>
      <c r="G138" s="25">
        <v>45143</v>
      </c>
      <c r="H138" s="6" t="s">
        <v>12</v>
      </c>
      <c r="I138" s="6" t="s">
        <v>13</v>
      </c>
      <c r="J138" s="9">
        <v>0.34652777777777777</v>
      </c>
      <c r="K138" s="10">
        <v>0.40833333333333333</v>
      </c>
      <c r="L138" s="10">
        <v>0.37638888888888888</v>
      </c>
      <c r="M138" s="10">
        <v>0.38819444444444445</v>
      </c>
      <c r="N138" s="10">
        <v>0.39930555555555558</v>
      </c>
      <c r="O138" s="10">
        <v>0.39652777777777776</v>
      </c>
      <c r="P138" s="6" t="s">
        <v>13</v>
      </c>
      <c r="Q138" s="10">
        <v>0.37430555555555556</v>
      </c>
      <c r="R138" s="10">
        <v>0.38472222222222224</v>
      </c>
      <c r="S138" s="10">
        <v>0.38055555555555554</v>
      </c>
      <c r="T138" s="10">
        <v>0.3840277777777778</v>
      </c>
      <c r="U138" s="10">
        <v>0.35416666666666669</v>
      </c>
      <c r="V138" s="10">
        <v>0.32708333333333334</v>
      </c>
      <c r="W138" s="6" t="s">
        <v>13</v>
      </c>
      <c r="X138" s="10">
        <v>0.34930555555555554</v>
      </c>
      <c r="Y138" s="10">
        <v>0.3923611111111111</v>
      </c>
      <c r="Z138" s="10">
        <v>0.41319444444444442</v>
      </c>
      <c r="AA138" s="7" t="s">
        <v>14</v>
      </c>
      <c r="AB138" s="7" t="s">
        <v>14</v>
      </c>
      <c r="AC138" s="7" t="s">
        <v>14</v>
      </c>
      <c r="AD138" s="6" t="s">
        <v>13</v>
      </c>
      <c r="AE138" s="7" t="s">
        <v>14</v>
      </c>
      <c r="AF138" s="7" t="s">
        <v>14</v>
      </c>
      <c r="AG138" s="7" t="s">
        <v>14</v>
      </c>
      <c r="AH138" s="10">
        <v>0.39166666666666666</v>
      </c>
      <c r="AI138" s="10">
        <v>0.38819444444444445</v>
      </c>
      <c r="AJ138" s="10">
        <v>0.42291666666666666</v>
      </c>
      <c r="AK138" s="6" t="s">
        <v>13</v>
      </c>
      <c r="AL138" s="3"/>
      <c r="AM138" s="3"/>
      <c r="AN138" s="3"/>
      <c r="AO138" s="3"/>
      <c r="AP138" s="3"/>
    </row>
    <row r="139" spans="1:42" ht="15" x14ac:dyDescent="0.2">
      <c r="A139" s="4">
        <v>138</v>
      </c>
      <c r="B139" s="5">
        <v>2109</v>
      </c>
      <c r="C139" s="5" t="s">
        <v>186</v>
      </c>
      <c r="D139" s="5" t="s">
        <v>44</v>
      </c>
      <c r="E139" s="5" t="s">
        <v>45</v>
      </c>
      <c r="F139" s="5" t="s">
        <v>107</v>
      </c>
      <c r="G139" s="25">
        <v>45147</v>
      </c>
      <c r="H139" s="6" t="s">
        <v>12</v>
      </c>
      <c r="I139" s="6" t="s">
        <v>13</v>
      </c>
      <c r="J139" s="7" t="s">
        <v>14</v>
      </c>
      <c r="K139" s="7" t="s">
        <v>14</v>
      </c>
      <c r="L139" s="10">
        <v>0.37638888888888888</v>
      </c>
      <c r="M139" s="10">
        <v>0.37430555555555556</v>
      </c>
      <c r="N139" s="10">
        <v>0.35416666666666669</v>
      </c>
      <c r="O139" s="10">
        <v>0.37569444444444444</v>
      </c>
      <c r="P139" s="6" t="s">
        <v>13</v>
      </c>
      <c r="Q139" s="10">
        <v>0.375</v>
      </c>
      <c r="R139" s="10">
        <v>0.36875000000000002</v>
      </c>
      <c r="S139" s="10">
        <v>0.37430555555555556</v>
      </c>
      <c r="T139" s="10">
        <v>0.35694444444444445</v>
      </c>
      <c r="U139" s="10">
        <v>0.34166666666666667</v>
      </c>
      <c r="V139" s="10">
        <v>0.36875000000000002</v>
      </c>
      <c r="W139" s="6" t="s">
        <v>13</v>
      </c>
      <c r="X139" s="10">
        <v>0.37291666666666667</v>
      </c>
      <c r="Y139" s="10">
        <v>0.39652777777777776</v>
      </c>
      <c r="Z139" s="10">
        <v>0.37847222222222221</v>
      </c>
      <c r="AA139" s="10">
        <v>0.37638888888888888</v>
      </c>
      <c r="AB139" s="10">
        <v>0.32916666666666666</v>
      </c>
      <c r="AC139" s="7" t="s">
        <v>14</v>
      </c>
      <c r="AD139" s="6" t="s">
        <v>13</v>
      </c>
      <c r="AE139" s="10">
        <v>0.37361111111111112</v>
      </c>
      <c r="AF139" s="10">
        <v>0.18611111111111112</v>
      </c>
      <c r="AG139" s="7" t="s">
        <v>14</v>
      </c>
      <c r="AH139" s="10">
        <v>0.36875000000000002</v>
      </c>
      <c r="AI139" s="10">
        <v>0.37430555555555556</v>
      </c>
      <c r="AJ139" s="10">
        <v>0.34305555555555556</v>
      </c>
      <c r="AK139" s="6" t="s">
        <v>13</v>
      </c>
      <c r="AL139" s="3"/>
      <c r="AM139" s="3"/>
      <c r="AN139" s="3"/>
      <c r="AO139" s="3"/>
      <c r="AP139" s="3"/>
    </row>
    <row r="140" spans="1:42" ht="15" x14ac:dyDescent="0.2">
      <c r="A140" s="4">
        <v>139</v>
      </c>
      <c r="B140" s="5">
        <v>2115</v>
      </c>
      <c r="C140" s="5" t="s">
        <v>175</v>
      </c>
      <c r="D140" s="5" t="s">
        <v>92</v>
      </c>
      <c r="E140" s="5" t="s">
        <v>24</v>
      </c>
      <c r="F140" s="5" t="s">
        <v>107</v>
      </c>
      <c r="G140" s="8">
        <v>45163</v>
      </c>
      <c r="H140" s="6" t="s">
        <v>12</v>
      </c>
      <c r="I140" s="6" t="s">
        <v>13</v>
      </c>
      <c r="J140" s="7" t="s">
        <v>14</v>
      </c>
      <c r="K140" s="10">
        <v>0.34305555555555556</v>
      </c>
      <c r="L140" s="10">
        <v>0.33888888888888891</v>
      </c>
      <c r="M140" s="10">
        <v>0.35208333333333336</v>
      </c>
      <c r="N140" s="7" t="s">
        <v>14</v>
      </c>
      <c r="O140" s="7" t="s">
        <v>14</v>
      </c>
      <c r="P140" s="6" t="s">
        <v>13</v>
      </c>
      <c r="Q140" s="10">
        <v>0.32777777777777778</v>
      </c>
      <c r="R140" s="10">
        <v>0.35625000000000001</v>
      </c>
      <c r="S140" s="10">
        <v>0.37430555555555556</v>
      </c>
      <c r="T140" s="10">
        <v>0.20208333333333334</v>
      </c>
      <c r="U140" s="7" t="s">
        <v>14</v>
      </c>
      <c r="V140" s="7" t="s">
        <v>14</v>
      </c>
      <c r="W140" s="6" t="s">
        <v>13</v>
      </c>
      <c r="X140" s="10">
        <v>0.30902777777777779</v>
      </c>
      <c r="Y140" s="10">
        <v>0.36875000000000002</v>
      </c>
      <c r="Z140" s="10">
        <v>0.34444444444444444</v>
      </c>
      <c r="AA140" s="10">
        <v>0.37708333333333333</v>
      </c>
      <c r="AB140" s="10">
        <v>0.34513888888888888</v>
      </c>
      <c r="AC140" s="7" t="s">
        <v>14</v>
      </c>
      <c r="AD140" s="6" t="s">
        <v>13</v>
      </c>
      <c r="AE140" s="7" t="s">
        <v>14</v>
      </c>
      <c r="AF140" s="7" t="s">
        <v>14</v>
      </c>
      <c r="AG140" s="7" t="s">
        <v>14</v>
      </c>
      <c r="AH140" s="7" t="s">
        <v>14</v>
      </c>
      <c r="AI140" s="10">
        <v>0.33194444444444443</v>
      </c>
      <c r="AJ140" s="7" t="s">
        <v>14</v>
      </c>
      <c r="AK140" s="6" t="s">
        <v>13</v>
      </c>
      <c r="AL140" s="3"/>
      <c r="AM140" s="3"/>
      <c r="AN140" s="3"/>
      <c r="AO140" s="3"/>
      <c r="AP140" s="3"/>
    </row>
    <row r="141" spans="1:42" ht="15" x14ac:dyDescent="0.2">
      <c r="A141" s="4">
        <v>140</v>
      </c>
      <c r="B141" s="5">
        <v>2118</v>
      </c>
      <c r="C141" s="5" t="s">
        <v>187</v>
      </c>
      <c r="D141" s="5" t="s">
        <v>23</v>
      </c>
      <c r="E141" s="5" t="s">
        <v>39</v>
      </c>
      <c r="F141" s="5" t="s">
        <v>89</v>
      </c>
      <c r="G141" s="8">
        <v>45037</v>
      </c>
      <c r="H141" s="6" t="s">
        <v>12</v>
      </c>
      <c r="I141" s="6" t="s">
        <v>13</v>
      </c>
      <c r="J141" s="9">
        <v>0.38055555555555554</v>
      </c>
      <c r="K141" s="10">
        <v>0.38263888888888886</v>
      </c>
      <c r="L141" s="10">
        <v>0.34375</v>
      </c>
      <c r="M141" s="10">
        <v>0.39097222222222222</v>
      </c>
      <c r="N141" s="10">
        <v>0.33888888888888891</v>
      </c>
      <c r="O141" s="7" t="s">
        <v>14</v>
      </c>
      <c r="P141" s="6" t="s">
        <v>13</v>
      </c>
      <c r="Q141" s="10">
        <v>0.37777777777777777</v>
      </c>
      <c r="R141" s="10">
        <v>0.37013888888888891</v>
      </c>
      <c r="S141" s="10">
        <v>0.38263888888888886</v>
      </c>
      <c r="T141" s="10">
        <v>0.37638888888888888</v>
      </c>
      <c r="U141" s="10">
        <v>0.44236111111111109</v>
      </c>
      <c r="V141" s="10">
        <v>0.36180555555555555</v>
      </c>
      <c r="W141" s="6" t="s">
        <v>13</v>
      </c>
      <c r="X141" s="10">
        <v>0.375</v>
      </c>
      <c r="Y141" s="10">
        <v>0.37847222222222221</v>
      </c>
      <c r="Z141" s="10">
        <v>0.38611111111111113</v>
      </c>
      <c r="AA141" s="10">
        <v>0.42916666666666664</v>
      </c>
      <c r="AB141" s="10">
        <v>0.38124999999999998</v>
      </c>
      <c r="AC141" s="10">
        <v>0.38055555555555554</v>
      </c>
      <c r="AD141" s="6" t="s">
        <v>13</v>
      </c>
      <c r="AE141" s="10">
        <v>0.36249999999999999</v>
      </c>
      <c r="AF141" s="10">
        <v>0.37708333333333333</v>
      </c>
      <c r="AG141" s="10">
        <v>0.38333333333333336</v>
      </c>
      <c r="AH141" s="10">
        <v>0.37847222222222221</v>
      </c>
      <c r="AI141" s="10">
        <v>0.38333333333333336</v>
      </c>
      <c r="AJ141" s="10">
        <v>0.41180555555555554</v>
      </c>
      <c r="AK141" s="6" t="s">
        <v>13</v>
      </c>
      <c r="AL141" s="3"/>
      <c r="AM141" s="3"/>
      <c r="AN141" s="3"/>
      <c r="AO141" s="3"/>
      <c r="AP141" s="3"/>
    </row>
    <row r="142" spans="1:42" ht="15" x14ac:dyDescent="0.2">
      <c r="A142" s="4">
        <v>141</v>
      </c>
      <c r="B142" s="5">
        <v>2134</v>
      </c>
      <c r="C142" s="5" t="s">
        <v>188</v>
      </c>
      <c r="D142" s="5" t="s">
        <v>80</v>
      </c>
      <c r="E142" s="5" t="s">
        <v>39</v>
      </c>
      <c r="F142" s="5" t="s">
        <v>89</v>
      </c>
      <c r="G142" s="25">
        <v>45203</v>
      </c>
      <c r="H142" s="6" t="s">
        <v>12</v>
      </c>
      <c r="I142" s="6" t="s">
        <v>13</v>
      </c>
      <c r="J142" s="7" t="s">
        <v>14</v>
      </c>
      <c r="K142" s="7" t="s">
        <v>14</v>
      </c>
      <c r="L142" s="7" t="s">
        <v>14</v>
      </c>
      <c r="M142" s="7" t="s">
        <v>14</v>
      </c>
      <c r="N142" s="7" t="s">
        <v>14</v>
      </c>
      <c r="O142" s="7" t="s">
        <v>14</v>
      </c>
      <c r="P142" s="6" t="s">
        <v>13</v>
      </c>
      <c r="Q142" s="7" t="s">
        <v>14</v>
      </c>
      <c r="R142" s="7" t="s">
        <v>14</v>
      </c>
      <c r="S142" s="7" t="s">
        <v>14</v>
      </c>
      <c r="T142" s="7" t="s">
        <v>14</v>
      </c>
      <c r="U142" s="7" t="s">
        <v>14</v>
      </c>
      <c r="V142" s="7" t="s">
        <v>14</v>
      </c>
      <c r="W142" s="6" t="s">
        <v>13</v>
      </c>
      <c r="X142" s="7" t="s">
        <v>14</v>
      </c>
      <c r="Y142" s="7" t="s">
        <v>14</v>
      </c>
      <c r="Z142" s="7" t="s">
        <v>14</v>
      </c>
      <c r="AA142" s="7" t="s">
        <v>14</v>
      </c>
      <c r="AB142" s="7" t="s">
        <v>14</v>
      </c>
      <c r="AC142" s="7" t="s">
        <v>14</v>
      </c>
      <c r="AD142" s="6" t="s">
        <v>13</v>
      </c>
      <c r="AE142" s="7" t="s">
        <v>14</v>
      </c>
      <c r="AF142" s="7" t="s">
        <v>14</v>
      </c>
      <c r="AG142" s="7" t="s">
        <v>14</v>
      </c>
      <c r="AH142" s="7" t="s">
        <v>14</v>
      </c>
      <c r="AI142" s="7" t="s">
        <v>14</v>
      </c>
      <c r="AJ142" s="7" t="s">
        <v>14</v>
      </c>
      <c r="AK142" s="6" t="s">
        <v>13</v>
      </c>
      <c r="AL142" s="3"/>
      <c r="AM142" s="3"/>
      <c r="AN142" s="3"/>
      <c r="AO142" s="3"/>
      <c r="AP142" s="3"/>
    </row>
    <row r="143" spans="1:42" ht="15" x14ac:dyDescent="0.2">
      <c r="A143" s="4">
        <v>142</v>
      </c>
      <c r="B143" s="5">
        <v>2136</v>
      </c>
      <c r="C143" s="5" t="s">
        <v>189</v>
      </c>
      <c r="D143" s="5" t="s">
        <v>92</v>
      </c>
      <c r="E143" s="5" t="s">
        <v>28</v>
      </c>
      <c r="F143" s="5" t="s">
        <v>107</v>
      </c>
      <c r="G143" s="8">
        <v>45209</v>
      </c>
      <c r="H143" s="10">
        <v>3.472222222222222E-3</v>
      </c>
      <c r="I143" s="6" t="s">
        <v>13</v>
      </c>
      <c r="J143" s="9">
        <v>0.40555555555555556</v>
      </c>
      <c r="K143" s="10">
        <v>0.43819444444444444</v>
      </c>
      <c r="L143" s="10">
        <v>0.38819444444444445</v>
      </c>
      <c r="M143" s="10">
        <v>0.39791666666666664</v>
      </c>
      <c r="N143" s="10">
        <v>0.39166666666666666</v>
      </c>
      <c r="O143" s="10">
        <v>0.35416666666666669</v>
      </c>
      <c r="P143" s="6" t="s">
        <v>13</v>
      </c>
      <c r="Q143" s="10">
        <v>0.4</v>
      </c>
      <c r="R143" s="10">
        <v>0.39027777777777778</v>
      </c>
      <c r="S143" s="10">
        <v>0.37986111111111109</v>
      </c>
      <c r="T143" s="10">
        <v>0.37986111111111109</v>
      </c>
      <c r="U143" s="7" t="s">
        <v>14</v>
      </c>
      <c r="V143" s="7" t="s">
        <v>14</v>
      </c>
      <c r="W143" s="6" t="s">
        <v>13</v>
      </c>
      <c r="X143" s="7" t="s">
        <v>14</v>
      </c>
      <c r="Y143" s="7" t="s">
        <v>14</v>
      </c>
      <c r="Z143" s="7" t="s">
        <v>14</v>
      </c>
      <c r="AA143" s="7" t="s">
        <v>14</v>
      </c>
      <c r="AB143" s="7" t="s">
        <v>14</v>
      </c>
      <c r="AC143" s="7" t="s">
        <v>14</v>
      </c>
      <c r="AD143" s="6" t="s">
        <v>13</v>
      </c>
      <c r="AE143" s="7" t="s">
        <v>14</v>
      </c>
      <c r="AF143" s="7" t="s">
        <v>14</v>
      </c>
      <c r="AG143" s="7" t="s">
        <v>14</v>
      </c>
      <c r="AH143" s="7" t="s">
        <v>14</v>
      </c>
      <c r="AI143" s="7" t="s">
        <v>14</v>
      </c>
      <c r="AJ143" s="7" t="s">
        <v>14</v>
      </c>
      <c r="AK143" s="6" t="s">
        <v>13</v>
      </c>
      <c r="AL143" s="3"/>
      <c r="AM143" s="3"/>
      <c r="AN143" s="3"/>
      <c r="AO143" s="3"/>
      <c r="AP143" s="3"/>
    </row>
    <row r="144" spans="1:42" ht="15" x14ac:dyDescent="0.2">
      <c r="A144" s="4">
        <v>143</v>
      </c>
      <c r="B144" s="5">
        <v>2137</v>
      </c>
      <c r="C144" s="5" t="s">
        <v>190</v>
      </c>
      <c r="D144" s="5" t="s">
        <v>44</v>
      </c>
      <c r="E144" s="5" t="s">
        <v>24</v>
      </c>
      <c r="F144" s="5" t="s">
        <v>107</v>
      </c>
      <c r="G144" s="8">
        <v>45210</v>
      </c>
      <c r="H144" s="6" t="s">
        <v>12</v>
      </c>
      <c r="I144" s="6" t="s">
        <v>13</v>
      </c>
      <c r="J144" s="9">
        <v>0.40347222222222223</v>
      </c>
      <c r="K144" s="10">
        <v>0.40277777777777779</v>
      </c>
      <c r="L144" s="10">
        <v>0.37638888888888888</v>
      </c>
      <c r="M144" s="10">
        <v>0.37361111111111112</v>
      </c>
      <c r="N144" s="10">
        <v>0.375</v>
      </c>
      <c r="O144" s="7" t="s">
        <v>14</v>
      </c>
      <c r="P144" s="6" t="s">
        <v>13</v>
      </c>
      <c r="Q144" s="10">
        <v>0.37430555555555556</v>
      </c>
      <c r="R144" s="10">
        <v>0.37222222222222223</v>
      </c>
      <c r="S144" s="10">
        <v>0.37638888888888888</v>
      </c>
      <c r="T144" s="10">
        <v>0.37708333333333333</v>
      </c>
      <c r="U144" s="10">
        <v>0.375</v>
      </c>
      <c r="V144" s="10">
        <v>0.375</v>
      </c>
      <c r="W144" s="6" t="s">
        <v>13</v>
      </c>
      <c r="X144" s="10">
        <v>0.37083333333333335</v>
      </c>
      <c r="Y144" s="10">
        <v>0.35</v>
      </c>
      <c r="Z144" s="10">
        <v>0.37291666666666667</v>
      </c>
      <c r="AA144" s="10">
        <v>0.37361111111111112</v>
      </c>
      <c r="AB144" s="10">
        <v>0.37638888888888888</v>
      </c>
      <c r="AC144" s="10">
        <v>0.23749999999999999</v>
      </c>
      <c r="AD144" s="6" t="s">
        <v>13</v>
      </c>
      <c r="AE144" s="10">
        <v>0.37291666666666667</v>
      </c>
      <c r="AF144" s="10">
        <v>0.375</v>
      </c>
      <c r="AG144" s="10">
        <v>0.375</v>
      </c>
      <c r="AH144" s="10">
        <v>0.37291666666666667</v>
      </c>
      <c r="AI144" s="10">
        <v>0.37222222222222223</v>
      </c>
      <c r="AJ144" s="10">
        <v>0.37916666666666665</v>
      </c>
      <c r="AK144" s="6" t="s">
        <v>13</v>
      </c>
      <c r="AL144" s="3"/>
      <c r="AM144" s="3"/>
      <c r="AN144" s="3"/>
      <c r="AO144" s="3"/>
      <c r="AP144" s="3"/>
    </row>
    <row r="145" spans="1:42" ht="15" x14ac:dyDescent="0.2">
      <c r="A145" s="4">
        <v>144</v>
      </c>
      <c r="B145" s="5">
        <v>2138</v>
      </c>
      <c r="C145" s="5" t="s">
        <v>191</v>
      </c>
      <c r="D145" s="5" t="s">
        <v>44</v>
      </c>
      <c r="E145" s="5" t="s">
        <v>39</v>
      </c>
      <c r="F145" s="5" t="s">
        <v>107</v>
      </c>
      <c r="G145" s="8">
        <v>45210</v>
      </c>
      <c r="H145" s="6" t="s">
        <v>12</v>
      </c>
      <c r="I145" s="6" t="s">
        <v>13</v>
      </c>
      <c r="J145" s="9">
        <v>0.37847222222222221</v>
      </c>
      <c r="K145" s="10">
        <v>0.37430555555555556</v>
      </c>
      <c r="L145" s="10">
        <v>0.37430555555555556</v>
      </c>
      <c r="M145" s="10">
        <v>0.36875000000000002</v>
      </c>
      <c r="N145" s="10">
        <v>0.37986111111111109</v>
      </c>
      <c r="O145" s="7" t="s">
        <v>14</v>
      </c>
      <c r="P145" s="6" t="s">
        <v>13</v>
      </c>
      <c r="Q145" s="10">
        <v>0.36944444444444446</v>
      </c>
      <c r="R145" s="10">
        <v>0.36666666666666664</v>
      </c>
      <c r="S145" s="10">
        <v>0.37638888888888888</v>
      </c>
      <c r="T145" s="10">
        <v>0.38194444444444442</v>
      </c>
      <c r="U145" s="10">
        <v>0.37708333333333333</v>
      </c>
      <c r="V145" s="10">
        <v>0.30555555555555558</v>
      </c>
      <c r="W145" s="6" t="s">
        <v>13</v>
      </c>
      <c r="X145" s="10">
        <v>0.37222222222222223</v>
      </c>
      <c r="Y145" s="10">
        <v>0.37152777777777779</v>
      </c>
      <c r="Z145" s="10">
        <v>0.36249999999999999</v>
      </c>
      <c r="AA145" s="10">
        <v>0.39374999999999999</v>
      </c>
      <c r="AB145" s="10">
        <v>0.38680555555555557</v>
      </c>
      <c r="AC145" s="7" t="s">
        <v>14</v>
      </c>
      <c r="AD145" s="6" t="s">
        <v>13</v>
      </c>
      <c r="AE145" s="7" t="s">
        <v>14</v>
      </c>
      <c r="AF145" s="7" t="s">
        <v>14</v>
      </c>
      <c r="AG145" s="7" t="s">
        <v>14</v>
      </c>
      <c r="AH145" s="7" t="s">
        <v>14</v>
      </c>
      <c r="AI145" s="7" t="s">
        <v>14</v>
      </c>
      <c r="AJ145" s="7" t="s">
        <v>14</v>
      </c>
      <c r="AK145" s="6" t="s">
        <v>13</v>
      </c>
      <c r="AL145" s="3"/>
      <c r="AM145" s="3"/>
      <c r="AN145" s="3"/>
      <c r="AO145" s="3"/>
      <c r="AP145" s="3"/>
    </row>
    <row r="146" spans="1:42" ht="15" x14ac:dyDescent="0.2">
      <c r="A146" s="4">
        <v>145</v>
      </c>
      <c r="B146" s="5">
        <v>2139</v>
      </c>
      <c r="C146" s="5" t="s">
        <v>192</v>
      </c>
      <c r="D146" s="5" t="s">
        <v>44</v>
      </c>
      <c r="E146" s="5" t="s">
        <v>20</v>
      </c>
      <c r="F146" s="5" t="s">
        <v>107</v>
      </c>
      <c r="G146" s="8">
        <v>45210</v>
      </c>
      <c r="H146" s="6" t="s">
        <v>12</v>
      </c>
      <c r="I146" s="6" t="s">
        <v>13</v>
      </c>
      <c r="J146" s="9">
        <v>0.37152777777777779</v>
      </c>
      <c r="K146" s="10">
        <v>0.37430555555555556</v>
      </c>
      <c r="L146" s="10">
        <v>0.37777777777777777</v>
      </c>
      <c r="M146" s="10">
        <v>0.37569444444444444</v>
      </c>
      <c r="N146" s="10">
        <v>0.36805555555555558</v>
      </c>
      <c r="O146" s="10">
        <v>0.37013888888888891</v>
      </c>
      <c r="P146" s="6" t="s">
        <v>13</v>
      </c>
      <c r="Q146" s="10">
        <v>0.38541666666666669</v>
      </c>
      <c r="R146" s="10">
        <v>0.38819444444444445</v>
      </c>
      <c r="S146" s="10">
        <v>0.39027777777777778</v>
      </c>
      <c r="T146" s="10">
        <v>0.375</v>
      </c>
      <c r="U146" s="10">
        <v>0.43472222222222223</v>
      </c>
      <c r="V146" s="7" t="s">
        <v>14</v>
      </c>
      <c r="W146" s="6" t="s">
        <v>13</v>
      </c>
      <c r="X146" s="10">
        <v>0.38472222222222224</v>
      </c>
      <c r="Y146" s="10">
        <v>0.3840277777777778</v>
      </c>
      <c r="Z146" s="10">
        <v>0.39791666666666664</v>
      </c>
      <c r="AA146" s="10">
        <v>0.39166666666666666</v>
      </c>
      <c r="AB146" s="10">
        <v>0.37847222222222221</v>
      </c>
      <c r="AC146" s="10">
        <v>0.36388888888888887</v>
      </c>
      <c r="AD146" s="6" t="s">
        <v>13</v>
      </c>
      <c r="AE146" s="10">
        <v>0.38611111111111113</v>
      </c>
      <c r="AF146" s="10">
        <v>0.38055555555555554</v>
      </c>
      <c r="AG146" s="10">
        <v>0.3840277777777778</v>
      </c>
      <c r="AH146" s="10">
        <v>0.37708333333333333</v>
      </c>
      <c r="AI146" s="10">
        <v>0.17083333333333334</v>
      </c>
      <c r="AJ146" s="7" t="s">
        <v>14</v>
      </c>
      <c r="AK146" s="6" t="s">
        <v>13</v>
      </c>
      <c r="AL146" s="3"/>
      <c r="AM146" s="3"/>
      <c r="AN146" s="3"/>
      <c r="AO146" s="3"/>
      <c r="AP146" s="3"/>
    </row>
    <row r="147" spans="1:42" ht="15" x14ac:dyDescent="0.2">
      <c r="A147" s="4">
        <v>146</v>
      </c>
      <c r="B147" s="5">
        <v>2146</v>
      </c>
      <c r="C147" s="5" t="s">
        <v>193</v>
      </c>
      <c r="D147" s="5" t="s">
        <v>92</v>
      </c>
      <c r="E147" s="5" t="s">
        <v>39</v>
      </c>
      <c r="F147" s="5" t="s">
        <v>107</v>
      </c>
      <c r="G147" s="8">
        <v>45215</v>
      </c>
      <c r="H147" s="6" t="s">
        <v>12</v>
      </c>
      <c r="I147" s="6" t="s">
        <v>13</v>
      </c>
      <c r="J147" s="7" t="s">
        <v>14</v>
      </c>
      <c r="K147" s="7" t="s">
        <v>14</v>
      </c>
      <c r="L147" s="7" t="s">
        <v>14</v>
      </c>
      <c r="M147" s="7" t="s">
        <v>14</v>
      </c>
      <c r="N147" s="7" t="s">
        <v>14</v>
      </c>
      <c r="O147" s="7" t="s">
        <v>14</v>
      </c>
      <c r="P147" s="6" t="s">
        <v>13</v>
      </c>
      <c r="Q147" s="7" t="s">
        <v>14</v>
      </c>
      <c r="R147" s="7" t="s">
        <v>14</v>
      </c>
      <c r="S147" s="7" t="s">
        <v>14</v>
      </c>
      <c r="T147" s="7" t="s">
        <v>14</v>
      </c>
      <c r="U147" s="7" t="s">
        <v>14</v>
      </c>
      <c r="V147" s="7" t="s">
        <v>14</v>
      </c>
      <c r="W147" s="6" t="s">
        <v>13</v>
      </c>
      <c r="X147" s="10">
        <v>0.37777777777777777</v>
      </c>
      <c r="Y147" s="10">
        <v>0.37638888888888888</v>
      </c>
      <c r="Z147" s="10">
        <v>0.37847222222222221</v>
      </c>
      <c r="AA147" s="10">
        <v>0.38055555555555554</v>
      </c>
      <c r="AB147" s="10">
        <v>0.37638888888888888</v>
      </c>
      <c r="AC147" s="10">
        <v>0.37569444444444444</v>
      </c>
      <c r="AD147" s="6" t="s">
        <v>13</v>
      </c>
      <c r="AE147" s="7" t="s">
        <v>14</v>
      </c>
      <c r="AF147" s="10">
        <v>0.375</v>
      </c>
      <c r="AG147" s="10">
        <v>0.37569444444444444</v>
      </c>
      <c r="AH147" s="10">
        <v>0.38263888888888886</v>
      </c>
      <c r="AI147" s="10">
        <v>0.3888888888888889</v>
      </c>
      <c r="AJ147" s="10">
        <v>0.39166666666666666</v>
      </c>
      <c r="AK147" s="6" t="s">
        <v>13</v>
      </c>
      <c r="AL147" s="3"/>
      <c r="AM147" s="3"/>
      <c r="AN147" s="3"/>
      <c r="AO147" s="3"/>
      <c r="AP147" s="3"/>
    </row>
    <row r="148" spans="1:42" ht="15" x14ac:dyDescent="0.2">
      <c r="A148" s="4">
        <v>147</v>
      </c>
      <c r="B148" s="5">
        <v>2147</v>
      </c>
      <c r="C148" s="5" t="s">
        <v>194</v>
      </c>
      <c r="D148" s="5" t="s">
        <v>88</v>
      </c>
      <c r="E148" s="5" t="s">
        <v>39</v>
      </c>
      <c r="F148" s="5" t="s">
        <v>107</v>
      </c>
      <c r="G148" s="8">
        <v>45215</v>
      </c>
      <c r="H148" s="6" t="s">
        <v>12</v>
      </c>
      <c r="I148" s="6" t="s">
        <v>13</v>
      </c>
      <c r="J148" s="7" t="s">
        <v>14</v>
      </c>
      <c r="K148" s="7" t="s">
        <v>14</v>
      </c>
      <c r="L148" s="7" t="s">
        <v>14</v>
      </c>
      <c r="M148" s="7" t="s">
        <v>14</v>
      </c>
      <c r="N148" s="7" t="s">
        <v>14</v>
      </c>
      <c r="O148" s="7" t="s">
        <v>14</v>
      </c>
      <c r="P148" s="6" t="s">
        <v>13</v>
      </c>
      <c r="Q148" s="10">
        <v>0.40902777777777777</v>
      </c>
      <c r="R148" s="10">
        <v>0.44027777777777777</v>
      </c>
      <c r="S148" s="10">
        <v>0.40625</v>
      </c>
      <c r="T148" s="10">
        <v>0.38680555555555557</v>
      </c>
      <c r="U148" s="10">
        <v>2.6388888888888889E-2</v>
      </c>
      <c r="V148" s="10">
        <v>0.36041666666666666</v>
      </c>
      <c r="W148" s="10">
        <v>0.17222222222222222</v>
      </c>
      <c r="X148" s="10">
        <v>0.43611111111111112</v>
      </c>
      <c r="Y148" s="10">
        <v>0.46805555555555556</v>
      </c>
      <c r="Z148" s="10">
        <v>0.42152777777777778</v>
      </c>
      <c r="AA148" s="10">
        <v>0.44722222222222224</v>
      </c>
      <c r="AB148" s="10">
        <v>0</v>
      </c>
      <c r="AC148" s="7" t="s">
        <v>14</v>
      </c>
      <c r="AD148" s="6" t="s">
        <v>13</v>
      </c>
      <c r="AE148" s="10">
        <v>0.42152777777777778</v>
      </c>
      <c r="AF148" s="10">
        <v>0.4284722222222222</v>
      </c>
      <c r="AG148" s="10">
        <v>0.45902777777777776</v>
      </c>
      <c r="AH148" s="10">
        <v>0.40555555555555556</v>
      </c>
      <c r="AI148" s="10">
        <v>7.7083333333333337E-2</v>
      </c>
      <c r="AJ148" s="7" t="s">
        <v>14</v>
      </c>
      <c r="AK148" s="6" t="s">
        <v>13</v>
      </c>
      <c r="AL148" s="3"/>
      <c r="AM148" s="3"/>
      <c r="AN148" s="3"/>
      <c r="AO148" s="3"/>
      <c r="AP148" s="3"/>
    </row>
    <row r="149" spans="1:42" ht="15" x14ac:dyDescent="0.25">
      <c r="A149" s="4">
        <v>148</v>
      </c>
      <c r="B149" s="32">
        <v>2148</v>
      </c>
      <c r="C149" s="32" t="s">
        <v>376</v>
      </c>
      <c r="D149" s="32" t="s">
        <v>88</v>
      </c>
      <c r="E149" s="32" t="s">
        <v>20</v>
      </c>
      <c r="F149" s="32" t="s">
        <v>107</v>
      </c>
      <c r="G149" s="33">
        <v>45215</v>
      </c>
      <c r="H149" s="22">
        <v>0.34444444444444444</v>
      </c>
      <c r="I149" s="22">
        <v>0</v>
      </c>
      <c r="J149" s="22">
        <v>0.39791666666666664</v>
      </c>
      <c r="K149" s="22">
        <v>0.40138888888888891</v>
      </c>
      <c r="L149" s="22">
        <v>0.34236111111111112</v>
      </c>
      <c r="M149" s="22">
        <v>0.32847222222222222</v>
      </c>
      <c r="N149" s="22">
        <v>0.34861111111111109</v>
      </c>
      <c r="O149" s="22">
        <v>0.31388888888888888</v>
      </c>
      <c r="P149" s="6" t="s">
        <v>13</v>
      </c>
      <c r="Q149" s="22">
        <v>0.37222222222222223</v>
      </c>
      <c r="R149" s="22">
        <v>0.36180555555555555</v>
      </c>
      <c r="S149" s="22">
        <v>0</v>
      </c>
      <c r="T149" s="7" t="s">
        <v>14</v>
      </c>
      <c r="U149" s="7" t="s">
        <v>14</v>
      </c>
      <c r="V149" s="22">
        <v>0.37638888888888888</v>
      </c>
      <c r="W149" s="6" t="s">
        <v>13</v>
      </c>
      <c r="X149" s="22">
        <v>0.3347222222222222</v>
      </c>
      <c r="Y149" s="22">
        <v>0.33750000000000002</v>
      </c>
      <c r="Z149" s="22">
        <v>0.2048611111111111</v>
      </c>
      <c r="AA149" s="22">
        <v>0.35486111111111113</v>
      </c>
      <c r="AB149" s="22">
        <v>0.34444444444444444</v>
      </c>
      <c r="AC149" s="22">
        <v>0.37013888888888891</v>
      </c>
      <c r="AD149" s="6" t="s">
        <v>13</v>
      </c>
      <c r="AE149" s="22">
        <v>0.37152777777777779</v>
      </c>
      <c r="AF149" s="22">
        <v>0.34375</v>
      </c>
      <c r="AG149" s="22">
        <v>0.37708333333333333</v>
      </c>
      <c r="AH149" s="22">
        <v>0.37083333333333335</v>
      </c>
      <c r="AI149" s="22">
        <v>0.37083333333333335</v>
      </c>
      <c r="AJ149" s="22">
        <v>0.33124999999999999</v>
      </c>
      <c r="AK149" s="6" t="s">
        <v>13</v>
      </c>
      <c r="AL149" s="34"/>
      <c r="AM149" s="3"/>
      <c r="AN149" s="3"/>
      <c r="AO149" s="3"/>
      <c r="AP149" s="3"/>
    </row>
    <row r="150" spans="1:42" ht="15" x14ac:dyDescent="0.2">
      <c r="A150" s="4">
        <v>149</v>
      </c>
      <c r="B150" s="5">
        <v>2151</v>
      </c>
      <c r="C150" s="5" t="s">
        <v>195</v>
      </c>
      <c r="D150" s="5" t="s">
        <v>77</v>
      </c>
      <c r="E150" s="5" t="s">
        <v>130</v>
      </c>
      <c r="F150" s="5" t="s">
        <v>196</v>
      </c>
      <c r="G150" s="5" t="s">
        <v>197</v>
      </c>
      <c r="H150" s="6" t="s">
        <v>12</v>
      </c>
      <c r="I150" s="6" t="s">
        <v>13</v>
      </c>
      <c r="J150" s="9">
        <v>0.33958333333333335</v>
      </c>
      <c r="K150" s="10">
        <v>0.31388888888888888</v>
      </c>
      <c r="L150" s="10">
        <v>0.36875000000000002</v>
      </c>
      <c r="M150" s="10">
        <v>0.35069444444444442</v>
      </c>
      <c r="N150" s="10">
        <v>0.32708333333333334</v>
      </c>
      <c r="O150" s="7" t="s">
        <v>14</v>
      </c>
      <c r="P150" s="6" t="s">
        <v>13</v>
      </c>
      <c r="Q150" s="10">
        <v>0.36388888888888887</v>
      </c>
      <c r="R150" s="10">
        <v>0.37708333333333333</v>
      </c>
      <c r="S150" s="10">
        <v>0.37569444444444444</v>
      </c>
      <c r="T150" s="10">
        <v>0.39166666666666666</v>
      </c>
      <c r="U150" s="10">
        <v>0.43333333333333335</v>
      </c>
      <c r="V150" s="7" t="s">
        <v>14</v>
      </c>
      <c r="W150" s="6" t="s">
        <v>13</v>
      </c>
      <c r="X150" s="10">
        <v>0.36944444444444446</v>
      </c>
      <c r="Y150" s="10">
        <v>0.375</v>
      </c>
      <c r="Z150" s="10">
        <v>0.36388888888888887</v>
      </c>
      <c r="AA150" s="10">
        <v>0.30694444444444446</v>
      </c>
      <c r="AB150" s="10">
        <v>0.34444444444444444</v>
      </c>
      <c r="AC150" s="7" t="s">
        <v>14</v>
      </c>
      <c r="AD150" s="6" t="s">
        <v>13</v>
      </c>
      <c r="AE150" s="10">
        <v>0.34513888888888888</v>
      </c>
      <c r="AF150" s="10">
        <v>0.33541666666666664</v>
      </c>
      <c r="AG150" s="10">
        <v>0.32708333333333334</v>
      </c>
      <c r="AH150" s="10">
        <v>0.33124999999999999</v>
      </c>
      <c r="AI150" s="10">
        <v>0.37291666666666667</v>
      </c>
      <c r="AJ150" s="10">
        <v>0.31666666666666665</v>
      </c>
      <c r="AK150" s="6" t="s">
        <v>13</v>
      </c>
      <c r="AL150" s="3"/>
      <c r="AM150" s="3"/>
      <c r="AN150" s="3"/>
      <c r="AO150" s="3"/>
      <c r="AP150" s="3"/>
    </row>
    <row r="151" spans="1:42" ht="15" x14ac:dyDescent="0.2">
      <c r="A151" s="4">
        <v>150</v>
      </c>
      <c r="B151" s="5">
        <v>2154</v>
      </c>
      <c r="C151" s="5" t="s">
        <v>198</v>
      </c>
      <c r="D151" s="5" t="s">
        <v>8</v>
      </c>
      <c r="E151" s="5" t="s">
        <v>9</v>
      </c>
      <c r="F151" s="5" t="s">
        <v>107</v>
      </c>
      <c r="G151" s="26">
        <v>45065</v>
      </c>
      <c r="H151" s="6" t="s">
        <v>12</v>
      </c>
      <c r="I151" s="6" t="s">
        <v>13</v>
      </c>
      <c r="J151" s="9">
        <v>0.38124999999999998</v>
      </c>
      <c r="K151" s="7" t="s">
        <v>14</v>
      </c>
      <c r="L151" s="10">
        <v>0.3888888888888889</v>
      </c>
      <c r="M151" s="10">
        <v>0.37291666666666667</v>
      </c>
      <c r="N151" s="10">
        <v>0.35694444444444445</v>
      </c>
      <c r="O151" s="10">
        <v>0.35555555555555557</v>
      </c>
      <c r="P151" s="6" t="s">
        <v>13</v>
      </c>
      <c r="Q151" s="10">
        <v>0.18611111111111112</v>
      </c>
      <c r="R151" s="10">
        <v>0.37013888888888891</v>
      </c>
      <c r="S151" s="10">
        <v>0.3840277777777778</v>
      </c>
      <c r="T151" s="10">
        <v>0.38263888888888886</v>
      </c>
      <c r="U151" s="10">
        <v>0.47430555555555554</v>
      </c>
      <c r="V151" s="7" t="s">
        <v>14</v>
      </c>
      <c r="W151" s="6" t="s">
        <v>13</v>
      </c>
      <c r="X151" s="7" t="s">
        <v>14</v>
      </c>
      <c r="Y151" s="7" t="s">
        <v>14</v>
      </c>
      <c r="Z151" s="7" t="s">
        <v>14</v>
      </c>
      <c r="AA151" s="7" t="s">
        <v>14</v>
      </c>
      <c r="AB151" s="7" t="s">
        <v>14</v>
      </c>
      <c r="AC151" s="7" t="s">
        <v>14</v>
      </c>
      <c r="AD151" s="6" t="s">
        <v>13</v>
      </c>
      <c r="AE151" s="7" t="s">
        <v>14</v>
      </c>
      <c r="AF151" s="7" t="s">
        <v>14</v>
      </c>
      <c r="AG151" s="7" t="s">
        <v>14</v>
      </c>
      <c r="AH151" s="7" t="s">
        <v>14</v>
      </c>
      <c r="AI151" s="7" t="s">
        <v>14</v>
      </c>
      <c r="AJ151" s="7" t="s">
        <v>14</v>
      </c>
      <c r="AK151" s="6" t="s">
        <v>13</v>
      </c>
      <c r="AL151" s="3"/>
      <c r="AM151" s="3"/>
      <c r="AN151" s="3"/>
      <c r="AO151" s="3"/>
      <c r="AP151" s="3"/>
    </row>
    <row r="152" spans="1:42" ht="15" x14ac:dyDescent="0.2">
      <c r="A152" s="4">
        <v>151</v>
      </c>
      <c r="B152" s="5">
        <v>2155</v>
      </c>
      <c r="C152" s="5" t="s">
        <v>199</v>
      </c>
      <c r="D152" s="5" t="s">
        <v>19</v>
      </c>
      <c r="E152" s="5" t="s">
        <v>20</v>
      </c>
      <c r="F152" s="5" t="s">
        <v>107</v>
      </c>
      <c r="G152" s="8">
        <v>45124</v>
      </c>
      <c r="H152" s="6" t="s">
        <v>12</v>
      </c>
      <c r="I152" s="6" t="s">
        <v>13</v>
      </c>
      <c r="J152" s="7" t="s">
        <v>14</v>
      </c>
      <c r="K152" s="7" t="s">
        <v>14</v>
      </c>
      <c r="L152" s="7" t="s">
        <v>14</v>
      </c>
      <c r="M152" s="7" t="s">
        <v>14</v>
      </c>
      <c r="N152" s="7" t="s">
        <v>14</v>
      </c>
      <c r="O152" s="7" t="s">
        <v>14</v>
      </c>
      <c r="P152" s="6" t="s">
        <v>13</v>
      </c>
      <c r="Q152" s="7" t="s">
        <v>14</v>
      </c>
      <c r="R152" s="7" t="s">
        <v>14</v>
      </c>
      <c r="S152" s="7" t="s">
        <v>14</v>
      </c>
      <c r="T152" s="7" t="s">
        <v>14</v>
      </c>
      <c r="U152" s="7" t="s">
        <v>14</v>
      </c>
      <c r="V152" s="7" t="s">
        <v>14</v>
      </c>
      <c r="W152" s="6" t="s">
        <v>13</v>
      </c>
      <c r="X152" s="7" t="s">
        <v>14</v>
      </c>
      <c r="Y152" s="7" t="s">
        <v>14</v>
      </c>
      <c r="Z152" s="7" t="s">
        <v>14</v>
      </c>
      <c r="AA152" s="7" t="s">
        <v>14</v>
      </c>
      <c r="AB152" s="7" t="s">
        <v>14</v>
      </c>
      <c r="AC152" s="7" t="s">
        <v>14</v>
      </c>
      <c r="AD152" s="6" t="s">
        <v>13</v>
      </c>
      <c r="AE152" s="7" t="s">
        <v>14</v>
      </c>
      <c r="AF152" s="7" t="s">
        <v>14</v>
      </c>
      <c r="AG152" s="7" t="s">
        <v>14</v>
      </c>
      <c r="AH152" s="7" t="s">
        <v>14</v>
      </c>
      <c r="AI152" s="7" t="s">
        <v>14</v>
      </c>
      <c r="AJ152" s="7" t="s">
        <v>14</v>
      </c>
      <c r="AK152" s="6" t="s">
        <v>13</v>
      </c>
      <c r="AL152" s="3"/>
      <c r="AM152" s="3"/>
      <c r="AN152" s="3"/>
      <c r="AO152" s="3"/>
      <c r="AP152" s="3"/>
    </row>
    <row r="153" spans="1:42" ht="15" x14ac:dyDescent="0.2">
      <c r="A153" s="4">
        <v>152</v>
      </c>
      <c r="B153" s="5">
        <v>2156</v>
      </c>
      <c r="C153" s="5" t="s">
        <v>200</v>
      </c>
      <c r="D153" s="5" t="s">
        <v>8</v>
      </c>
      <c r="E153" s="5" t="s">
        <v>9</v>
      </c>
      <c r="F153" s="5" t="s">
        <v>107</v>
      </c>
      <c r="G153" s="25">
        <v>45140</v>
      </c>
      <c r="H153" s="6" t="s">
        <v>12</v>
      </c>
      <c r="I153" s="6" t="s">
        <v>13</v>
      </c>
      <c r="J153" s="9">
        <v>0.4</v>
      </c>
      <c r="K153" s="10">
        <v>0.37638888888888888</v>
      </c>
      <c r="L153" s="10">
        <v>0.3923611111111111</v>
      </c>
      <c r="M153" s="10">
        <v>0.39444444444444443</v>
      </c>
      <c r="N153" s="10">
        <v>0.3263888888888889</v>
      </c>
      <c r="O153" s="7" t="s">
        <v>14</v>
      </c>
      <c r="P153" s="6" t="s">
        <v>13</v>
      </c>
      <c r="Q153" s="10">
        <v>0.40347222222222223</v>
      </c>
      <c r="R153" s="10">
        <v>0.35555555555555557</v>
      </c>
      <c r="S153" s="10">
        <v>0.36041666666666666</v>
      </c>
      <c r="T153" s="10">
        <v>0.34236111111111112</v>
      </c>
      <c r="U153" s="10">
        <v>0.34444444444444444</v>
      </c>
      <c r="V153" s="10">
        <v>0.34583333333333333</v>
      </c>
      <c r="W153" s="6" t="s">
        <v>13</v>
      </c>
      <c r="X153" s="10">
        <v>0.37847222222222221</v>
      </c>
      <c r="Y153" s="10">
        <v>0.36388888888888887</v>
      </c>
      <c r="Z153" s="10">
        <v>0.36041666666666666</v>
      </c>
      <c r="AA153" s="10">
        <v>0.40208333333333335</v>
      </c>
      <c r="AB153" s="10">
        <v>0.37291666666666667</v>
      </c>
      <c r="AC153" s="10">
        <v>0.35069444444444442</v>
      </c>
      <c r="AD153" s="6" t="s">
        <v>13</v>
      </c>
      <c r="AE153" s="10">
        <v>0.39027777777777778</v>
      </c>
      <c r="AF153" s="10">
        <v>0.38541666666666669</v>
      </c>
      <c r="AG153" s="10">
        <v>0.40416666666666667</v>
      </c>
      <c r="AH153" s="10">
        <v>0.41666666666666669</v>
      </c>
      <c r="AI153" s="10">
        <v>0.39791666666666664</v>
      </c>
      <c r="AJ153" s="10">
        <v>0.43611111111111112</v>
      </c>
      <c r="AK153" s="6" t="s">
        <v>13</v>
      </c>
      <c r="AL153" s="3"/>
      <c r="AM153" s="3"/>
      <c r="AN153" s="3"/>
      <c r="AO153" s="3"/>
      <c r="AP153" s="3"/>
    </row>
    <row r="154" spans="1:42" ht="15" x14ac:dyDescent="0.2">
      <c r="A154" s="4">
        <v>153</v>
      </c>
      <c r="B154" s="5">
        <v>2157</v>
      </c>
      <c r="C154" s="5" t="s">
        <v>201</v>
      </c>
      <c r="D154" s="5" t="s">
        <v>8</v>
      </c>
      <c r="E154" s="5" t="s">
        <v>9</v>
      </c>
      <c r="F154" s="5" t="s">
        <v>107</v>
      </c>
      <c r="G154" s="25">
        <v>45145</v>
      </c>
      <c r="H154" s="6" t="s">
        <v>12</v>
      </c>
      <c r="I154" s="6" t="s">
        <v>13</v>
      </c>
      <c r="J154" s="7" t="s">
        <v>14</v>
      </c>
      <c r="K154" s="7" t="s">
        <v>14</v>
      </c>
      <c r="L154" s="7" t="s">
        <v>14</v>
      </c>
      <c r="M154" s="10">
        <v>0.37430555555555556</v>
      </c>
      <c r="N154" s="10">
        <v>0.3263888888888889</v>
      </c>
      <c r="O154" s="10">
        <v>0.36944444444444446</v>
      </c>
      <c r="P154" s="6" t="s">
        <v>13</v>
      </c>
      <c r="Q154" s="10">
        <v>0.40347222222222223</v>
      </c>
      <c r="R154" s="10">
        <v>0.35555555555555557</v>
      </c>
      <c r="S154" s="10">
        <v>0.36041666666666666</v>
      </c>
      <c r="T154" s="10">
        <v>0.34236111111111112</v>
      </c>
      <c r="U154" s="10">
        <v>0.34375</v>
      </c>
      <c r="V154" s="7" t="s">
        <v>14</v>
      </c>
      <c r="W154" s="6" t="s">
        <v>13</v>
      </c>
      <c r="X154" s="10">
        <v>0.37916666666666665</v>
      </c>
      <c r="Y154" s="10">
        <v>0.36388888888888887</v>
      </c>
      <c r="Z154" s="10">
        <v>0.36041666666666666</v>
      </c>
      <c r="AA154" s="10">
        <v>0.39791666666666664</v>
      </c>
      <c r="AB154" s="10">
        <v>0.37222222222222223</v>
      </c>
      <c r="AC154" s="10">
        <v>0.35069444444444442</v>
      </c>
      <c r="AD154" s="6" t="s">
        <v>13</v>
      </c>
      <c r="AE154" s="10">
        <v>0.39027777777777778</v>
      </c>
      <c r="AF154" s="10">
        <v>0.36319444444444443</v>
      </c>
      <c r="AG154" s="10">
        <v>0.40347222222222223</v>
      </c>
      <c r="AH154" s="10">
        <v>0.41666666666666669</v>
      </c>
      <c r="AI154" s="10">
        <v>0.39791666666666664</v>
      </c>
      <c r="AJ154" s="10">
        <v>0.43680555555555556</v>
      </c>
      <c r="AK154" s="6" t="s">
        <v>13</v>
      </c>
      <c r="AL154" s="3"/>
      <c r="AM154" s="3"/>
      <c r="AN154" s="3"/>
      <c r="AO154" s="3"/>
      <c r="AP154" s="3"/>
    </row>
    <row r="155" spans="1:42" ht="15" x14ac:dyDescent="0.2">
      <c r="A155" s="4">
        <v>154</v>
      </c>
      <c r="B155" s="5">
        <v>2159</v>
      </c>
      <c r="C155" s="5" t="s">
        <v>202</v>
      </c>
      <c r="D155" s="5" t="s">
        <v>23</v>
      </c>
      <c r="E155" s="5" t="s">
        <v>24</v>
      </c>
      <c r="F155" s="5" t="s">
        <v>107</v>
      </c>
      <c r="G155" s="8">
        <v>45154</v>
      </c>
      <c r="H155" s="6" t="s">
        <v>12</v>
      </c>
      <c r="I155" s="6" t="s">
        <v>13</v>
      </c>
      <c r="J155" s="7" t="s">
        <v>14</v>
      </c>
      <c r="K155" s="7" t="s">
        <v>14</v>
      </c>
      <c r="L155" s="7" t="s">
        <v>14</v>
      </c>
      <c r="M155" s="7" t="s">
        <v>14</v>
      </c>
      <c r="N155" s="10">
        <v>0.35069444444444442</v>
      </c>
      <c r="O155" s="10">
        <v>0.36319444444444443</v>
      </c>
      <c r="P155" s="6" t="s">
        <v>13</v>
      </c>
      <c r="Q155" s="10">
        <v>0.37152777777777779</v>
      </c>
      <c r="R155" s="10">
        <v>0.35972222222222222</v>
      </c>
      <c r="S155" s="10">
        <v>0.35347222222222224</v>
      </c>
      <c r="T155" s="10">
        <v>0.35902777777777778</v>
      </c>
      <c r="U155" s="10">
        <v>0.36041666666666666</v>
      </c>
      <c r="V155" s="10">
        <v>0.34930555555555554</v>
      </c>
      <c r="W155" s="6" t="s">
        <v>13</v>
      </c>
      <c r="X155" s="10">
        <v>0.3527777777777778</v>
      </c>
      <c r="Y155" s="10">
        <v>0.35694444444444445</v>
      </c>
      <c r="Z155" s="10">
        <v>0.35902777777777778</v>
      </c>
      <c r="AA155" s="10">
        <v>0.36041666666666666</v>
      </c>
      <c r="AB155" s="10">
        <v>0.36388888888888887</v>
      </c>
      <c r="AC155" s="7" t="s">
        <v>14</v>
      </c>
      <c r="AD155" s="6" t="s">
        <v>13</v>
      </c>
      <c r="AE155" s="10">
        <v>0.32361111111111113</v>
      </c>
      <c r="AF155" s="10">
        <v>0.35833333333333334</v>
      </c>
      <c r="AG155" s="10">
        <v>0.3659722222222222</v>
      </c>
      <c r="AH155" s="10">
        <v>0.36180555555555555</v>
      </c>
      <c r="AI155" s="10">
        <v>0.36249999999999999</v>
      </c>
      <c r="AJ155" s="10">
        <v>0.36527777777777776</v>
      </c>
      <c r="AK155" s="6" t="s">
        <v>13</v>
      </c>
      <c r="AL155" s="3"/>
      <c r="AM155" s="3"/>
      <c r="AN155" s="3"/>
      <c r="AO155" s="3"/>
      <c r="AP155" s="3"/>
    </row>
    <row r="156" spans="1:42" ht="15" x14ac:dyDescent="0.2">
      <c r="A156" s="4">
        <v>155</v>
      </c>
      <c r="B156" s="5">
        <v>2163</v>
      </c>
      <c r="C156" s="5" t="s">
        <v>203</v>
      </c>
      <c r="D156" s="5" t="s">
        <v>88</v>
      </c>
      <c r="E156" s="5" t="s">
        <v>20</v>
      </c>
      <c r="F156" s="5" t="s">
        <v>107</v>
      </c>
      <c r="G156" s="8">
        <v>45251</v>
      </c>
      <c r="H156" s="6" t="s">
        <v>12</v>
      </c>
      <c r="I156" s="6" t="s">
        <v>13</v>
      </c>
      <c r="J156" s="7" t="s">
        <v>14</v>
      </c>
      <c r="K156" s="7" t="s">
        <v>14</v>
      </c>
      <c r="L156" s="10">
        <v>0.38541666666666669</v>
      </c>
      <c r="M156" s="7" t="s">
        <v>14</v>
      </c>
      <c r="N156" s="10">
        <v>0.24791666666666667</v>
      </c>
      <c r="O156" s="7" t="s">
        <v>14</v>
      </c>
      <c r="P156" s="6" t="s">
        <v>13</v>
      </c>
      <c r="Q156" s="7" t="s">
        <v>14</v>
      </c>
      <c r="R156" s="7" t="s">
        <v>14</v>
      </c>
      <c r="S156" s="10">
        <v>0.37569444444444444</v>
      </c>
      <c r="T156" s="7" t="s">
        <v>14</v>
      </c>
      <c r="U156" s="10">
        <v>0.40555555555555556</v>
      </c>
      <c r="V156" s="10">
        <v>0.38333333333333336</v>
      </c>
      <c r="W156" s="6" t="s">
        <v>13</v>
      </c>
      <c r="X156" s="10">
        <v>0.38750000000000001</v>
      </c>
      <c r="Y156" s="10">
        <v>0.375</v>
      </c>
      <c r="Z156" s="10">
        <v>0.36319444444444443</v>
      </c>
      <c r="AA156" s="10">
        <v>0.39374999999999999</v>
      </c>
      <c r="AB156" s="10">
        <v>0.37361111111111112</v>
      </c>
      <c r="AC156" s="10">
        <v>0.37291666666666667</v>
      </c>
      <c r="AD156" s="6" t="s">
        <v>13</v>
      </c>
      <c r="AE156" s="10">
        <v>0.37847222222222221</v>
      </c>
      <c r="AF156" s="10">
        <v>0.3659722222222222</v>
      </c>
      <c r="AG156" s="10">
        <v>0.36041666666666666</v>
      </c>
      <c r="AH156" s="10">
        <v>0.39166666666666666</v>
      </c>
      <c r="AI156" s="10">
        <v>0.37708333333333333</v>
      </c>
      <c r="AJ156" s="10">
        <v>0.38819444444444445</v>
      </c>
      <c r="AK156" s="6" t="s">
        <v>13</v>
      </c>
      <c r="AL156" s="3"/>
      <c r="AM156" s="3"/>
      <c r="AN156" s="3"/>
      <c r="AO156" s="3"/>
      <c r="AP156" s="3"/>
    </row>
    <row r="157" spans="1:42" ht="15" x14ac:dyDescent="0.2">
      <c r="A157" s="4">
        <v>156</v>
      </c>
      <c r="B157" s="5">
        <v>2164</v>
      </c>
      <c r="C157" s="5" t="s">
        <v>204</v>
      </c>
      <c r="D157" s="5" t="s">
        <v>92</v>
      </c>
      <c r="E157" s="5" t="s">
        <v>109</v>
      </c>
      <c r="F157" s="5" t="s">
        <v>107</v>
      </c>
      <c r="G157" s="8">
        <v>45251</v>
      </c>
      <c r="H157" s="6" t="s">
        <v>12</v>
      </c>
      <c r="I157" s="6" t="s">
        <v>13</v>
      </c>
      <c r="J157" s="9">
        <v>0.32430555555555557</v>
      </c>
      <c r="K157" s="10">
        <v>0.35972222222222222</v>
      </c>
      <c r="L157" s="7" t="s">
        <v>14</v>
      </c>
      <c r="M157" s="10">
        <v>0.29930555555555555</v>
      </c>
      <c r="N157" s="10">
        <v>0</v>
      </c>
      <c r="O157" s="7" t="s">
        <v>14</v>
      </c>
      <c r="P157" s="6" t="s">
        <v>13</v>
      </c>
      <c r="Q157" s="7" t="s">
        <v>14</v>
      </c>
      <c r="R157" s="7" t="s">
        <v>14</v>
      </c>
      <c r="S157" s="7" t="s">
        <v>14</v>
      </c>
      <c r="T157" s="7" t="s">
        <v>14</v>
      </c>
      <c r="U157" s="7" t="s">
        <v>14</v>
      </c>
      <c r="V157" s="7" t="s">
        <v>14</v>
      </c>
      <c r="W157" s="6" t="s">
        <v>13</v>
      </c>
      <c r="X157" s="7" t="s">
        <v>14</v>
      </c>
      <c r="Y157" s="7" t="s">
        <v>14</v>
      </c>
      <c r="Z157" s="7" t="s">
        <v>14</v>
      </c>
      <c r="AA157" s="7" t="s">
        <v>14</v>
      </c>
      <c r="AB157" s="7" t="s">
        <v>14</v>
      </c>
      <c r="AC157" s="7" t="s">
        <v>14</v>
      </c>
      <c r="AD157" s="6" t="s">
        <v>13</v>
      </c>
      <c r="AE157" s="7" t="s">
        <v>14</v>
      </c>
      <c r="AF157" s="7" t="s">
        <v>14</v>
      </c>
      <c r="AG157" s="7" t="s">
        <v>14</v>
      </c>
      <c r="AH157" s="7" t="s">
        <v>14</v>
      </c>
      <c r="AI157" s="7" t="s">
        <v>14</v>
      </c>
      <c r="AJ157" s="7" t="s">
        <v>14</v>
      </c>
      <c r="AK157" s="6" t="s">
        <v>13</v>
      </c>
      <c r="AL157" s="3"/>
      <c r="AM157" s="3"/>
      <c r="AN157" s="3"/>
      <c r="AO157" s="3"/>
      <c r="AP157" s="3"/>
    </row>
    <row r="158" spans="1:42" ht="15" x14ac:dyDescent="0.2">
      <c r="A158" s="4">
        <v>157</v>
      </c>
      <c r="B158" s="5">
        <v>2165</v>
      </c>
      <c r="C158" s="5" t="s">
        <v>205</v>
      </c>
      <c r="D158" s="5" t="s">
        <v>77</v>
      </c>
      <c r="E158" s="5" t="s">
        <v>130</v>
      </c>
      <c r="F158" s="5" t="s">
        <v>107</v>
      </c>
      <c r="G158" s="8">
        <v>45251</v>
      </c>
      <c r="H158" s="6" t="s">
        <v>12</v>
      </c>
      <c r="I158" s="6" t="s">
        <v>13</v>
      </c>
      <c r="J158" s="9">
        <v>0.37986111111111109</v>
      </c>
      <c r="K158" s="10">
        <v>0.37916666666666665</v>
      </c>
      <c r="L158" s="7" t="s">
        <v>14</v>
      </c>
      <c r="M158" s="7" t="s">
        <v>14</v>
      </c>
      <c r="N158" s="10">
        <v>0.36736111111111114</v>
      </c>
      <c r="O158" s="10">
        <v>0.36527777777777776</v>
      </c>
      <c r="P158" s="6" t="s">
        <v>13</v>
      </c>
      <c r="Q158" s="10">
        <v>0.30486111111111114</v>
      </c>
      <c r="R158" s="10">
        <v>0.37638888888888888</v>
      </c>
      <c r="S158" s="10">
        <v>0.37569444444444444</v>
      </c>
      <c r="T158" s="10">
        <v>0.38750000000000001</v>
      </c>
      <c r="U158" s="10">
        <v>0.37152777777777779</v>
      </c>
      <c r="V158" s="7" t="s">
        <v>14</v>
      </c>
      <c r="W158" s="6" t="s">
        <v>13</v>
      </c>
      <c r="X158" s="10">
        <v>0.37638888888888888</v>
      </c>
      <c r="Y158" s="10">
        <v>0.36249999999999999</v>
      </c>
      <c r="Z158" s="10">
        <v>0.37361111111111112</v>
      </c>
      <c r="AA158" s="10">
        <v>0.37986111111111109</v>
      </c>
      <c r="AB158" s="10">
        <v>0.39652777777777776</v>
      </c>
      <c r="AC158" s="7" t="s">
        <v>14</v>
      </c>
      <c r="AD158" s="6" t="s">
        <v>13</v>
      </c>
      <c r="AE158" s="10">
        <v>0.37013888888888891</v>
      </c>
      <c r="AF158" s="10">
        <v>0.375</v>
      </c>
      <c r="AG158" s="10">
        <v>0.37638888888888888</v>
      </c>
      <c r="AH158" s="10">
        <v>0.37013888888888891</v>
      </c>
      <c r="AI158" s="10">
        <v>0.37847222222222221</v>
      </c>
      <c r="AJ158" s="10">
        <v>0.37152777777777779</v>
      </c>
      <c r="AK158" s="6" t="s">
        <v>13</v>
      </c>
      <c r="AL158" s="3"/>
      <c r="AM158" s="3"/>
      <c r="AN158" s="3"/>
      <c r="AO158" s="3"/>
      <c r="AP158" s="3"/>
    </row>
    <row r="159" spans="1:42" ht="15" x14ac:dyDescent="0.2">
      <c r="A159" s="4">
        <v>158</v>
      </c>
      <c r="B159" s="5">
        <v>2174</v>
      </c>
      <c r="C159" s="5" t="s">
        <v>206</v>
      </c>
      <c r="D159" s="5" t="s">
        <v>92</v>
      </c>
      <c r="E159" s="5" t="s">
        <v>109</v>
      </c>
      <c r="F159" s="5" t="s">
        <v>107</v>
      </c>
      <c r="G159" s="8">
        <v>45267</v>
      </c>
      <c r="H159" s="10">
        <v>6.9444444444444447E-4</v>
      </c>
      <c r="I159" s="6" t="s">
        <v>13</v>
      </c>
      <c r="J159" s="9">
        <v>0.37916666666666665</v>
      </c>
      <c r="K159" s="10">
        <v>0.37638888888888888</v>
      </c>
      <c r="L159" s="10">
        <v>0.37638888888888888</v>
      </c>
      <c r="M159" s="10">
        <v>0.375</v>
      </c>
      <c r="N159" s="10">
        <v>0.39930555555555558</v>
      </c>
      <c r="O159" s="7" t="s">
        <v>14</v>
      </c>
      <c r="P159" s="6" t="s">
        <v>13</v>
      </c>
      <c r="Q159" s="7" t="s">
        <v>14</v>
      </c>
      <c r="R159" s="7" t="s">
        <v>14</v>
      </c>
      <c r="S159" s="7" t="s">
        <v>14</v>
      </c>
      <c r="T159" s="7" t="s">
        <v>14</v>
      </c>
      <c r="U159" s="7" t="s">
        <v>14</v>
      </c>
      <c r="V159" s="7" t="s">
        <v>14</v>
      </c>
      <c r="W159" s="6" t="s">
        <v>13</v>
      </c>
      <c r="X159" s="7" t="s">
        <v>14</v>
      </c>
      <c r="Y159" s="7" t="s">
        <v>14</v>
      </c>
      <c r="Z159" s="7" t="s">
        <v>14</v>
      </c>
      <c r="AA159" s="7" t="s">
        <v>14</v>
      </c>
      <c r="AB159" s="10">
        <v>0.38055555555555554</v>
      </c>
      <c r="AC159" s="7" t="s">
        <v>14</v>
      </c>
      <c r="AD159" s="6" t="s">
        <v>13</v>
      </c>
      <c r="AE159" s="7" t="s">
        <v>14</v>
      </c>
      <c r="AF159" s="7" t="s">
        <v>14</v>
      </c>
      <c r="AG159" s="7" t="s">
        <v>14</v>
      </c>
      <c r="AH159" s="7" t="s">
        <v>14</v>
      </c>
      <c r="AI159" s="7" t="s">
        <v>14</v>
      </c>
      <c r="AJ159" s="7" t="s">
        <v>14</v>
      </c>
      <c r="AK159" s="6" t="s">
        <v>13</v>
      </c>
      <c r="AL159" s="3"/>
      <c r="AM159" s="3"/>
      <c r="AN159" s="3"/>
      <c r="AO159" s="3"/>
      <c r="AP159" s="3"/>
    </row>
    <row r="160" spans="1:42" ht="15" x14ac:dyDescent="0.2">
      <c r="A160" s="4">
        <v>159</v>
      </c>
      <c r="B160" s="5">
        <v>2175</v>
      </c>
      <c r="C160" s="5" t="s">
        <v>207</v>
      </c>
      <c r="D160" s="5" t="s">
        <v>23</v>
      </c>
      <c r="E160" s="5" t="s">
        <v>45</v>
      </c>
      <c r="F160" s="5" t="s">
        <v>107</v>
      </c>
      <c r="G160" s="8">
        <v>45272</v>
      </c>
      <c r="H160" s="6" t="s">
        <v>12</v>
      </c>
      <c r="I160" s="6" t="s">
        <v>13</v>
      </c>
      <c r="J160" s="9">
        <v>0</v>
      </c>
      <c r="K160" s="10">
        <v>0.37083333333333335</v>
      </c>
      <c r="L160" s="10">
        <v>0.40902777777777777</v>
      </c>
      <c r="M160" s="10">
        <v>0.36041666666666666</v>
      </c>
      <c r="N160" s="10">
        <v>0.3298611111111111</v>
      </c>
      <c r="O160" s="10">
        <v>6.9444444444444447E-4</v>
      </c>
      <c r="P160" s="6" t="s">
        <v>13</v>
      </c>
      <c r="Q160" s="10">
        <v>0.35694444444444445</v>
      </c>
      <c r="R160" s="10">
        <v>0.35347222222222224</v>
      </c>
      <c r="S160" s="7" t="s">
        <v>14</v>
      </c>
      <c r="T160" s="7" t="s">
        <v>14</v>
      </c>
      <c r="U160" s="7" t="s">
        <v>14</v>
      </c>
      <c r="V160" s="7" t="s">
        <v>14</v>
      </c>
      <c r="W160" s="6" t="s">
        <v>13</v>
      </c>
      <c r="X160" s="7" t="s">
        <v>14</v>
      </c>
      <c r="Y160" s="7" t="s">
        <v>14</v>
      </c>
      <c r="Z160" s="7" t="s">
        <v>14</v>
      </c>
      <c r="AA160" s="7" t="s">
        <v>14</v>
      </c>
      <c r="AB160" s="10">
        <v>0</v>
      </c>
      <c r="AC160" s="10">
        <v>0.36875000000000002</v>
      </c>
      <c r="AD160" s="6" t="s">
        <v>13</v>
      </c>
      <c r="AE160" s="10">
        <v>0.37777777777777777</v>
      </c>
      <c r="AF160" s="10">
        <v>0</v>
      </c>
      <c r="AG160" s="10">
        <v>0.36319444444444443</v>
      </c>
      <c r="AH160" s="10">
        <v>0</v>
      </c>
      <c r="AI160" s="10">
        <v>0.37847222222222221</v>
      </c>
      <c r="AJ160" s="10">
        <v>0.35833333333333334</v>
      </c>
      <c r="AK160" s="6" t="s">
        <v>13</v>
      </c>
      <c r="AL160" s="3"/>
      <c r="AM160" s="3"/>
      <c r="AN160" s="3"/>
      <c r="AO160" s="3"/>
      <c r="AP160" s="3"/>
    </row>
    <row r="161" spans="1:42" ht="15" x14ac:dyDescent="0.2">
      <c r="A161" s="4">
        <v>160</v>
      </c>
      <c r="B161" s="5">
        <v>2184</v>
      </c>
      <c r="C161" s="5" t="s">
        <v>208</v>
      </c>
      <c r="D161" s="5" t="s">
        <v>19</v>
      </c>
      <c r="E161" s="5" t="s">
        <v>39</v>
      </c>
      <c r="F161" s="5" t="s">
        <v>89</v>
      </c>
      <c r="G161" s="8">
        <v>45293</v>
      </c>
      <c r="H161" s="6" t="s">
        <v>12</v>
      </c>
      <c r="I161" s="6" t="s">
        <v>13</v>
      </c>
      <c r="J161" s="9">
        <v>0.40208333333333335</v>
      </c>
      <c r="K161" s="10">
        <v>0.34305555555555556</v>
      </c>
      <c r="L161" s="10">
        <v>0.38263888888888886</v>
      </c>
      <c r="M161" s="10">
        <v>0.37569444444444444</v>
      </c>
      <c r="N161" s="10">
        <v>0.37152777777777779</v>
      </c>
      <c r="O161" s="10">
        <v>0.37986111111111109</v>
      </c>
      <c r="P161" s="6" t="s">
        <v>13</v>
      </c>
      <c r="Q161" s="10">
        <v>0.37708333333333333</v>
      </c>
      <c r="R161" s="10">
        <v>0.23819444444444443</v>
      </c>
      <c r="S161" s="10">
        <v>0.43125000000000002</v>
      </c>
      <c r="T161" s="10">
        <v>0.34166666666666667</v>
      </c>
      <c r="U161" s="10">
        <v>0.46250000000000002</v>
      </c>
      <c r="V161" s="10">
        <v>0.38055555555555554</v>
      </c>
      <c r="W161" s="6" t="s">
        <v>13</v>
      </c>
      <c r="X161" s="10">
        <v>0.37708333333333333</v>
      </c>
      <c r="Y161" s="10">
        <v>0.47152777777777777</v>
      </c>
      <c r="Z161" s="10">
        <v>0.38055555555555554</v>
      </c>
      <c r="AA161" s="10">
        <v>0.49583333333333335</v>
      </c>
      <c r="AB161" s="10">
        <v>0.32430555555555557</v>
      </c>
      <c r="AC161" s="10">
        <v>0.37986111111111109</v>
      </c>
      <c r="AD161" s="6" t="s">
        <v>13</v>
      </c>
      <c r="AE161" s="10">
        <v>0.37916666666666665</v>
      </c>
      <c r="AF161" s="10">
        <v>0.37777777777777777</v>
      </c>
      <c r="AG161" s="10">
        <v>0.37847222222222221</v>
      </c>
      <c r="AH161" s="10">
        <v>0.46527777777777779</v>
      </c>
      <c r="AI161" s="10">
        <v>0.47083333333333333</v>
      </c>
      <c r="AJ161" s="7" t="s">
        <v>14</v>
      </c>
      <c r="AK161" s="6" t="s">
        <v>13</v>
      </c>
      <c r="AL161" s="3"/>
      <c r="AM161" s="3"/>
      <c r="AN161" s="3"/>
      <c r="AO161" s="3"/>
      <c r="AP161" s="3"/>
    </row>
    <row r="162" spans="1:42" ht="15" x14ac:dyDescent="0.2">
      <c r="A162" s="4">
        <v>161</v>
      </c>
      <c r="B162" s="5">
        <v>2186</v>
      </c>
      <c r="C162" s="5" t="s">
        <v>209</v>
      </c>
      <c r="D162" s="5" t="s">
        <v>80</v>
      </c>
      <c r="E162" s="5" t="s">
        <v>109</v>
      </c>
      <c r="F162" s="5" t="s">
        <v>125</v>
      </c>
      <c r="G162" s="8">
        <v>45293</v>
      </c>
      <c r="H162" s="6" t="s">
        <v>12</v>
      </c>
      <c r="I162" s="6" t="s">
        <v>13</v>
      </c>
      <c r="J162" s="7" t="s">
        <v>14</v>
      </c>
      <c r="K162" s="7" t="s">
        <v>14</v>
      </c>
      <c r="L162" s="7" t="s">
        <v>14</v>
      </c>
      <c r="M162" s="7" t="s">
        <v>14</v>
      </c>
      <c r="N162" s="7" t="s">
        <v>14</v>
      </c>
      <c r="O162" s="7" t="s">
        <v>14</v>
      </c>
      <c r="P162" s="6" t="s">
        <v>13</v>
      </c>
      <c r="Q162" s="7" t="s">
        <v>14</v>
      </c>
      <c r="R162" s="7" t="s">
        <v>14</v>
      </c>
      <c r="S162" s="7" t="s">
        <v>14</v>
      </c>
      <c r="T162" s="7" t="s">
        <v>14</v>
      </c>
      <c r="U162" s="7" t="s">
        <v>14</v>
      </c>
      <c r="V162" s="7" t="s">
        <v>14</v>
      </c>
      <c r="W162" s="6" t="s">
        <v>13</v>
      </c>
      <c r="X162" s="7" t="s">
        <v>14</v>
      </c>
      <c r="Y162" s="7" t="s">
        <v>14</v>
      </c>
      <c r="Z162" s="7" t="s">
        <v>14</v>
      </c>
      <c r="AA162" s="7" t="s">
        <v>14</v>
      </c>
      <c r="AB162" s="7" t="s">
        <v>14</v>
      </c>
      <c r="AC162" s="7" t="s">
        <v>14</v>
      </c>
      <c r="AD162" s="6" t="s">
        <v>13</v>
      </c>
      <c r="AE162" s="7" t="s">
        <v>14</v>
      </c>
      <c r="AF162" s="7" t="s">
        <v>14</v>
      </c>
      <c r="AG162" s="7" t="s">
        <v>14</v>
      </c>
      <c r="AH162" s="7" t="s">
        <v>14</v>
      </c>
      <c r="AI162" s="7" t="s">
        <v>14</v>
      </c>
      <c r="AJ162" s="7" t="s">
        <v>14</v>
      </c>
      <c r="AK162" s="6" t="s">
        <v>13</v>
      </c>
      <c r="AL162" s="3"/>
      <c r="AM162" s="3"/>
      <c r="AN162" s="3"/>
      <c r="AO162" s="3"/>
      <c r="AP162" s="3"/>
    </row>
    <row r="163" spans="1:42" ht="15" x14ac:dyDescent="0.2">
      <c r="A163" s="4">
        <v>162</v>
      </c>
      <c r="B163" s="5">
        <v>2198</v>
      </c>
      <c r="C163" s="5" t="s">
        <v>40</v>
      </c>
      <c r="D163" s="5" t="s">
        <v>136</v>
      </c>
      <c r="E163" s="5" t="s">
        <v>137</v>
      </c>
      <c r="F163" s="5" t="s">
        <v>107</v>
      </c>
      <c r="G163" s="8">
        <v>45369</v>
      </c>
      <c r="H163" s="6" t="s">
        <v>12</v>
      </c>
      <c r="I163" s="6" t="s">
        <v>13</v>
      </c>
      <c r="J163" s="7" t="s">
        <v>14</v>
      </c>
      <c r="K163" s="10">
        <v>0.37013888888888891</v>
      </c>
      <c r="L163" s="10">
        <v>0.37222222222222223</v>
      </c>
      <c r="M163" s="10">
        <v>0.35416666666666669</v>
      </c>
      <c r="N163" s="10">
        <v>0.36249999999999999</v>
      </c>
      <c r="O163" s="10">
        <v>0.375</v>
      </c>
      <c r="P163" s="6" t="s">
        <v>13</v>
      </c>
      <c r="Q163" s="10">
        <v>0.375</v>
      </c>
      <c r="R163" s="10">
        <v>0.37430555555555556</v>
      </c>
      <c r="S163" s="7" t="s">
        <v>14</v>
      </c>
      <c r="T163" s="10">
        <v>0.36805555555555558</v>
      </c>
      <c r="U163" s="10">
        <v>0.37291666666666667</v>
      </c>
      <c r="V163" s="10">
        <v>0.2013888888888889</v>
      </c>
      <c r="W163" s="6" t="s">
        <v>13</v>
      </c>
      <c r="X163" s="10">
        <v>0.31527777777777777</v>
      </c>
      <c r="Y163" s="10">
        <v>0.35625000000000001</v>
      </c>
      <c r="Z163" s="7" t="s">
        <v>14</v>
      </c>
      <c r="AA163" s="10">
        <v>0.35416666666666669</v>
      </c>
      <c r="AB163" s="10">
        <v>0.37013888888888891</v>
      </c>
      <c r="AC163" s="10">
        <v>0.33819444444444446</v>
      </c>
      <c r="AD163" s="6" t="s">
        <v>13</v>
      </c>
      <c r="AE163" s="10">
        <v>0.37708333333333333</v>
      </c>
      <c r="AF163" s="10">
        <v>0.37361111111111112</v>
      </c>
      <c r="AG163" s="7" t="s">
        <v>14</v>
      </c>
      <c r="AH163" s="10">
        <v>0.20624999999999999</v>
      </c>
      <c r="AI163" s="10">
        <v>0.3659722222222222</v>
      </c>
      <c r="AJ163" s="7" t="s">
        <v>14</v>
      </c>
      <c r="AK163" s="6" t="s">
        <v>13</v>
      </c>
      <c r="AL163" s="3"/>
      <c r="AM163" s="3"/>
      <c r="AN163" s="3"/>
      <c r="AO163" s="3"/>
      <c r="AP163" s="3"/>
    </row>
    <row r="164" spans="1:42" ht="15" x14ac:dyDescent="0.2">
      <c r="A164" s="4">
        <v>163</v>
      </c>
      <c r="B164" s="5">
        <v>2203</v>
      </c>
      <c r="C164" s="5" t="s">
        <v>210</v>
      </c>
      <c r="D164" s="5" t="s">
        <v>83</v>
      </c>
      <c r="E164" s="5" t="s">
        <v>109</v>
      </c>
      <c r="F164" s="5" t="s">
        <v>107</v>
      </c>
      <c r="G164" s="8">
        <v>45127</v>
      </c>
      <c r="H164" s="6" t="s">
        <v>12</v>
      </c>
      <c r="I164" s="6" t="s">
        <v>13</v>
      </c>
      <c r="J164" s="9">
        <v>0.37638888888888888</v>
      </c>
      <c r="K164" s="10">
        <v>0</v>
      </c>
      <c r="L164" s="10">
        <v>0.38541666666666669</v>
      </c>
      <c r="M164" s="10">
        <v>0.37569444444444444</v>
      </c>
      <c r="N164" s="10">
        <v>0.36805555555555558</v>
      </c>
      <c r="O164" s="7" t="s">
        <v>14</v>
      </c>
      <c r="P164" s="6" t="s">
        <v>13</v>
      </c>
      <c r="Q164" s="10">
        <v>0.37569444444444444</v>
      </c>
      <c r="R164" s="10">
        <v>0.38333333333333336</v>
      </c>
      <c r="S164" s="10">
        <v>0.37430555555555556</v>
      </c>
      <c r="T164" s="10">
        <v>6.9444444444444447E-4</v>
      </c>
      <c r="U164" s="10">
        <v>0.38333333333333336</v>
      </c>
      <c r="V164" s="7" t="s">
        <v>14</v>
      </c>
      <c r="W164" s="6" t="s">
        <v>13</v>
      </c>
      <c r="X164" s="10">
        <v>0.16458333333333333</v>
      </c>
      <c r="Y164" s="10">
        <v>0.36736111111111114</v>
      </c>
      <c r="Z164" s="10">
        <v>0.38680555555555557</v>
      </c>
      <c r="AA164" s="10">
        <v>0</v>
      </c>
      <c r="AB164" s="10">
        <v>0.17777777777777778</v>
      </c>
      <c r="AC164" s="7" t="s">
        <v>14</v>
      </c>
      <c r="AD164" s="6" t="s">
        <v>13</v>
      </c>
      <c r="AE164" s="10">
        <v>0.3923611111111111</v>
      </c>
      <c r="AF164" s="7" t="s">
        <v>14</v>
      </c>
      <c r="AG164" s="7" t="s">
        <v>14</v>
      </c>
      <c r="AH164" s="7" t="s">
        <v>14</v>
      </c>
      <c r="AI164" s="7" t="s">
        <v>14</v>
      </c>
      <c r="AJ164" s="7" t="s">
        <v>14</v>
      </c>
      <c r="AK164" s="6" t="s">
        <v>13</v>
      </c>
      <c r="AL164" s="3"/>
      <c r="AM164" s="3"/>
      <c r="AN164" s="3"/>
      <c r="AO164" s="3"/>
      <c r="AP164" s="3"/>
    </row>
    <row r="165" spans="1:42" ht="15" x14ac:dyDescent="0.2">
      <c r="A165" s="4">
        <v>164</v>
      </c>
      <c r="B165" s="5">
        <v>2205</v>
      </c>
      <c r="C165" s="5" t="s">
        <v>211</v>
      </c>
      <c r="D165" s="5" t="s">
        <v>92</v>
      </c>
      <c r="E165" s="5" t="s">
        <v>20</v>
      </c>
      <c r="F165" s="5" t="s">
        <v>89</v>
      </c>
      <c r="G165" s="8">
        <v>45390</v>
      </c>
      <c r="H165" s="6" t="s">
        <v>12</v>
      </c>
      <c r="I165" s="6" t="s">
        <v>13</v>
      </c>
      <c r="J165" s="7" t="s">
        <v>14</v>
      </c>
      <c r="K165" s="7" t="s">
        <v>14</v>
      </c>
      <c r="L165" s="7" t="s">
        <v>14</v>
      </c>
      <c r="M165" s="7" t="s">
        <v>14</v>
      </c>
      <c r="N165" s="7" t="s">
        <v>14</v>
      </c>
      <c r="O165" s="7" t="s">
        <v>14</v>
      </c>
      <c r="P165" s="6" t="s">
        <v>13</v>
      </c>
      <c r="Q165" s="7" t="s">
        <v>14</v>
      </c>
      <c r="R165" s="7" t="s">
        <v>14</v>
      </c>
      <c r="S165" s="7" t="s">
        <v>14</v>
      </c>
      <c r="T165" s="7" t="s">
        <v>14</v>
      </c>
      <c r="U165" s="7" t="s">
        <v>14</v>
      </c>
      <c r="V165" s="7" t="s">
        <v>14</v>
      </c>
      <c r="W165" s="6" t="s">
        <v>13</v>
      </c>
      <c r="X165" s="7" t="s">
        <v>14</v>
      </c>
      <c r="Y165" s="7" t="s">
        <v>14</v>
      </c>
      <c r="Z165" s="7" t="s">
        <v>14</v>
      </c>
      <c r="AA165" s="7" t="s">
        <v>14</v>
      </c>
      <c r="AB165" s="7" t="s">
        <v>14</v>
      </c>
      <c r="AC165" s="7" t="s">
        <v>14</v>
      </c>
      <c r="AD165" s="6" t="s">
        <v>13</v>
      </c>
      <c r="AE165" s="7" t="s">
        <v>14</v>
      </c>
      <c r="AF165" s="7" t="s">
        <v>14</v>
      </c>
      <c r="AG165" s="7" t="s">
        <v>14</v>
      </c>
      <c r="AH165" s="7" t="s">
        <v>14</v>
      </c>
      <c r="AI165" s="7" t="s">
        <v>14</v>
      </c>
      <c r="AJ165" s="7" t="s">
        <v>14</v>
      </c>
      <c r="AK165" s="6" t="s">
        <v>13</v>
      </c>
      <c r="AL165" s="3"/>
      <c r="AM165" s="3"/>
      <c r="AN165" s="3"/>
      <c r="AO165" s="3"/>
      <c r="AP165" s="3"/>
    </row>
    <row r="166" spans="1:42" ht="15" x14ac:dyDescent="0.2">
      <c r="A166" s="4">
        <v>165</v>
      </c>
      <c r="B166" s="5">
        <v>2206</v>
      </c>
      <c r="C166" s="5" t="s">
        <v>212</v>
      </c>
      <c r="D166" s="5" t="s">
        <v>23</v>
      </c>
      <c r="E166" s="5" t="s">
        <v>28</v>
      </c>
      <c r="F166" s="5" t="s">
        <v>107</v>
      </c>
      <c r="G166" s="8">
        <v>45391</v>
      </c>
      <c r="H166" s="6" t="s">
        <v>12</v>
      </c>
      <c r="I166" s="6" t="s">
        <v>13</v>
      </c>
      <c r="J166" s="7" t="s">
        <v>14</v>
      </c>
      <c r="K166" s="7" t="s">
        <v>14</v>
      </c>
      <c r="L166" s="7" t="s">
        <v>14</v>
      </c>
      <c r="M166" s="7" t="s">
        <v>14</v>
      </c>
      <c r="N166" s="7" t="s">
        <v>14</v>
      </c>
      <c r="O166" s="7" t="s">
        <v>14</v>
      </c>
      <c r="P166" s="6" t="s">
        <v>13</v>
      </c>
      <c r="Q166" s="7" t="s">
        <v>14</v>
      </c>
      <c r="R166" s="7" t="s">
        <v>14</v>
      </c>
      <c r="S166" s="7" t="s">
        <v>14</v>
      </c>
      <c r="T166" s="7" t="s">
        <v>14</v>
      </c>
      <c r="U166" s="7" t="s">
        <v>14</v>
      </c>
      <c r="V166" s="7" t="s">
        <v>14</v>
      </c>
      <c r="W166" s="6" t="s">
        <v>13</v>
      </c>
      <c r="X166" s="7" t="s">
        <v>14</v>
      </c>
      <c r="Y166" s="7" t="s">
        <v>14</v>
      </c>
      <c r="Z166" s="7" t="s">
        <v>14</v>
      </c>
      <c r="AA166" s="7" t="s">
        <v>14</v>
      </c>
      <c r="AB166" s="7" t="s">
        <v>14</v>
      </c>
      <c r="AC166" s="7" t="s">
        <v>14</v>
      </c>
      <c r="AD166" s="6" t="s">
        <v>13</v>
      </c>
      <c r="AE166" s="7" t="s">
        <v>14</v>
      </c>
      <c r="AF166" s="7" t="s">
        <v>14</v>
      </c>
      <c r="AG166" s="7" t="s">
        <v>14</v>
      </c>
      <c r="AH166" s="7" t="s">
        <v>14</v>
      </c>
      <c r="AI166" s="7" t="s">
        <v>14</v>
      </c>
      <c r="AJ166" s="7" t="s">
        <v>14</v>
      </c>
      <c r="AK166" s="6" t="s">
        <v>13</v>
      </c>
      <c r="AL166" s="3"/>
      <c r="AM166" s="3"/>
      <c r="AN166" s="3"/>
      <c r="AO166" s="3"/>
      <c r="AP166" s="3"/>
    </row>
    <row r="167" spans="1:42" ht="15" x14ac:dyDescent="0.2">
      <c r="A167" s="4">
        <v>166</v>
      </c>
      <c r="B167" s="5">
        <v>2210</v>
      </c>
      <c r="C167" s="5" t="s">
        <v>213</v>
      </c>
      <c r="D167" s="5" t="s">
        <v>92</v>
      </c>
      <c r="E167" s="5" t="s">
        <v>109</v>
      </c>
      <c r="F167" s="5" t="s">
        <v>107</v>
      </c>
      <c r="G167" s="8">
        <v>45398</v>
      </c>
      <c r="H167" s="6" t="s">
        <v>12</v>
      </c>
      <c r="I167" s="6" t="s">
        <v>13</v>
      </c>
      <c r="J167" s="7" t="s">
        <v>14</v>
      </c>
      <c r="K167" s="10">
        <v>0.31180555555555556</v>
      </c>
      <c r="L167" s="10">
        <v>0.36875000000000002</v>
      </c>
      <c r="M167" s="10">
        <v>0.35416666666666669</v>
      </c>
      <c r="N167" s="10">
        <v>0.38194444444444442</v>
      </c>
      <c r="O167" s="10">
        <v>0.33888888888888891</v>
      </c>
      <c r="P167" s="6" t="s">
        <v>13</v>
      </c>
      <c r="Q167" s="10">
        <v>0.37986111111111109</v>
      </c>
      <c r="R167" s="10">
        <v>0.3659722222222222</v>
      </c>
      <c r="S167" s="10">
        <v>0</v>
      </c>
      <c r="T167" s="10">
        <v>0.37569444444444444</v>
      </c>
      <c r="U167" s="10">
        <v>0.375</v>
      </c>
      <c r="V167" s="7" t="s">
        <v>14</v>
      </c>
      <c r="W167" s="6" t="s">
        <v>13</v>
      </c>
      <c r="X167" s="10">
        <v>0.37569444444444444</v>
      </c>
      <c r="Y167" s="10">
        <v>0.37638888888888888</v>
      </c>
      <c r="Z167" s="10">
        <v>0.37777777777777777</v>
      </c>
      <c r="AA167" s="10">
        <v>0.37708333333333333</v>
      </c>
      <c r="AB167" s="10">
        <v>0.29583333333333334</v>
      </c>
      <c r="AC167" s="7" t="s">
        <v>14</v>
      </c>
      <c r="AD167" s="6" t="s">
        <v>13</v>
      </c>
      <c r="AE167" s="10">
        <v>0.35902777777777778</v>
      </c>
      <c r="AF167" s="10">
        <v>0.35902777777777778</v>
      </c>
      <c r="AG167" s="10">
        <v>0.37916666666666665</v>
      </c>
      <c r="AH167" s="10">
        <v>0.37361111111111112</v>
      </c>
      <c r="AI167" s="10">
        <v>0.35625000000000001</v>
      </c>
      <c r="AJ167" s="10">
        <v>0.37916666666666665</v>
      </c>
      <c r="AK167" s="6" t="s">
        <v>13</v>
      </c>
      <c r="AL167" s="3"/>
      <c r="AM167" s="3"/>
      <c r="AN167" s="3"/>
      <c r="AO167" s="3"/>
      <c r="AP167" s="3"/>
    </row>
    <row r="168" spans="1:42" ht="15" x14ac:dyDescent="0.2">
      <c r="A168" s="4">
        <v>167</v>
      </c>
      <c r="B168" s="5">
        <v>2213</v>
      </c>
      <c r="C168" s="5" t="s">
        <v>214</v>
      </c>
      <c r="D168" s="5" t="s">
        <v>19</v>
      </c>
      <c r="E168" s="5" t="s">
        <v>20</v>
      </c>
      <c r="F168" s="5" t="s">
        <v>107</v>
      </c>
      <c r="G168" s="8">
        <v>45183</v>
      </c>
      <c r="H168" s="6" t="s">
        <v>12</v>
      </c>
      <c r="I168" s="6" t="s">
        <v>13</v>
      </c>
      <c r="J168" s="9">
        <v>0.37986111111111109</v>
      </c>
      <c r="K168" s="10">
        <v>0.36875000000000002</v>
      </c>
      <c r="L168" s="10">
        <v>0.36666666666666664</v>
      </c>
      <c r="M168" s="10">
        <v>0.37638888888888888</v>
      </c>
      <c r="N168" s="7" t="s">
        <v>14</v>
      </c>
      <c r="O168" s="7" t="s">
        <v>14</v>
      </c>
      <c r="P168" s="6" t="s">
        <v>13</v>
      </c>
      <c r="Q168" s="10">
        <v>0.33541666666666664</v>
      </c>
      <c r="R168" s="10">
        <v>0.375</v>
      </c>
      <c r="S168" s="10">
        <v>0.37916666666666665</v>
      </c>
      <c r="T168" s="10">
        <v>0.37916666666666665</v>
      </c>
      <c r="U168" s="10">
        <v>0.37222222222222223</v>
      </c>
      <c r="V168" s="10">
        <v>0.37847222222222221</v>
      </c>
      <c r="W168" s="6" t="s">
        <v>13</v>
      </c>
      <c r="X168" s="10">
        <v>0.37847222222222221</v>
      </c>
      <c r="Y168" s="10">
        <v>0.37569444444444444</v>
      </c>
      <c r="Z168" s="10">
        <v>0.37777777777777777</v>
      </c>
      <c r="AA168" s="10">
        <v>0.37916666666666665</v>
      </c>
      <c r="AB168" s="10">
        <v>0.39097222222222222</v>
      </c>
      <c r="AC168" s="10">
        <v>2.361111111111111E-2</v>
      </c>
      <c r="AD168" s="6" t="s">
        <v>13</v>
      </c>
      <c r="AE168" s="7" t="s">
        <v>14</v>
      </c>
      <c r="AF168" s="7" t="s">
        <v>14</v>
      </c>
      <c r="AG168" s="7" t="s">
        <v>14</v>
      </c>
      <c r="AH168" s="7" t="s">
        <v>14</v>
      </c>
      <c r="AI168" s="7" t="s">
        <v>14</v>
      </c>
      <c r="AJ168" s="7" t="s">
        <v>14</v>
      </c>
      <c r="AK168" s="6" t="s">
        <v>13</v>
      </c>
      <c r="AL168" s="3"/>
      <c r="AM168" s="3"/>
      <c r="AN168" s="3"/>
      <c r="AO168" s="3"/>
      <c r="AP168" s="3"/>
    </row>
    <row r="169" spans="1:42" ht="15" x14ac:dyDescent="0.2">
      <c r="A169" s="4">
        <v>168</v>
      </c>
      <c r="B169" s="5">
        <v>2219</v>
      </c>
      <c r="C169" s="5" t="s">
        <v>215</v>
      </c>
      <c r="D169" s="5" t="s">
        <v>92</v>
      </c>
      <c r="E169" s="5" t="s">
        <v>39</v>
      </c>
      <c r="F169" s="5" t="s">
        <v>107</v>
      </c>
      <c r="G169" s="8">
        <v>45378</v>
      </c>
      <c r="H169" s="6" t="s">
        <v>12</v>
      </c>
      <c r="I169" s="6" t="s">
        <v>13</v>
      </c>
      <c r="J169" s="9">
        <v>0.38680555555555557</v>
      </c>
      <c r="K169" s="10">
        <v>0.39444444444444443</v>
      </c>
      <c r="L169" s="10">
        <v>0.37638888888888888</v>
      </c>
      <c r="M169" s="7" t="s">
        <v>14</v>
      </c>
      <c r="N169" s="10">
        <v>0.37569444444444444</v>
      </c>
      <c r="O169" s="7" t="s">
        <v>14</v>
      </c>
      <c r="P169" s="6" t="s">
        <v>13</v>
      </c>
      <c r="Q169" s="10">
        <v>0.36319444444444443</v>
      </c>
      <c r="R169" s="10">
        <v>0.37638888888888888</v>
      </c>
      <c r="S169" s="10">
        <v>0.37569444444444444</v>
      </c>
      <c r="T169" s="10">
        <v>0.37291666666666667</v>
      </c>
      <c r="U169" s="10">
        <v>0.38958333333333334</v>
      </c>
      <c r="V169" s="10">
        <v>0.34305555555555556</v>
      </c>
      <c r="W169" s="6" t="s">
        <v>13</v>
      </c>
      <c r="X169" s="10">
        <v>0.37361111111111112</v>
      </c>
      <c r="Y169" s="10">
        <v>0.37986111111111109</v>
      </c>
      <c r="Z169" s="10">
        <v>0.37569444444444444</v>
      </c>
      <c r="AA169" s="10">
        <v>0.37638888888888888</v>
      </c>
      <c r="AB169" s="10">
        <v>0.37222222222222223</v>
      </c>
      <c r="AC169" s="10">
        <v>0.37638888888888888</v>
      </c>
      <c r="AD169" s="6" t="s">
        <v>13</v>
      </c>
      <c r="AE169" s="10">
        <v>0.35833333333333334</v>
      </c>
      <c r="AF169" s="10">
        <v>0.37569444444444444</v>
      </c>
      <c r="AG169" s="10">
        <v>0.37152777777777779</v>
      </c>
      <c r="AH169" s="10">
        <v>0.2326388888888889</v>
      </c>
      <c r="AI169" s="10">
        <v>0.37638888888888888</v>
      </c>
      <c r="AJ169" s="10">
        <v>0.41041666666666665</v>
      </c>
      <c r="AK169" s="6" t="s">
        <v>13</v>
      </c>
      <c r="AL169" s="3"/>
      <c r="AM169" s="3"/>
      <c r="AN169" s="3"/>
      <c r="AO169" s="3"/>
      <c r="AP169" s="3"/>
    </row>
    <row r="170" spans="1:42" ht="15" x14ac:dyDescent="0.2">
      <c r="A170" s="4">
        <v>169</v>
      </c>
      <c r="B170" s="5">
        <v>2220</v>
      </c>
      <c r="C170" s="5" t="s">
        <v>216</v>
      </c>
      <c r="D170" s="5" t="s">
        <v>92</v>
      </c>
      <c r="E170" s="5" t="s">
        <v>39</v>
      </c>
      <c r="F170" s="5" t="s">
        <v>107</v>
      </c>
      <c r="G170" s="8">
        <v>45378</v>
      </c>
      <c r="H170" s="6" t="s">
        <v>12</v>
      </c>
      <c r="I170" s="6" t="s">
        <v>13</v>
      </c>
      <c r="J170" s="7" t="s">
        <v>14</v>
      </c>
      <c r="K170" s="7" t="s">
        <v>14</v>
      </c>
      <c r="L170" s="7" t="s">
        <v>14</v>
      </c>
      <c r="M170" s="7" t="s">
        <v>14</v>
      </c>
      <c r="N170" s="7" t="s">
        <v>14</v>
      </c>
      <c r="O170" s="7" t="s">
        <v>14</v>
      </c>
      <c r="P170" s="6" t="s">
        <v>13</v>
      </c>
      <c r="Q170" s="7" t="s">
        <v>14</v>
      </c>
      <c r="R170" s="7" t="s">
        <v>14</v>
      </c>
      <c r="S170" s="7" t="s">
        <v>14</v>
      </c>
      <c r="T170" s="7" t="s">
        <v>14</v>
      </c>
      <c r="U170" s="7" t="s">
        <v>14</v>
      </c>
      <c r="V170" s="7" t="s">
        <v>14</v>
      </c>
      <c r="W170" s="6" t="s">
        <v>13</v>
      </c>
      <c r="X170" s="7" t="s">
        <v>14</v>
      </c>
      <c r="Y170" s="7" t="s">
        <v>14</v>
      </c>
      <c r="Z170" s="7" t="s">
        <v>14</v>
      </c>
      <c r="AA170" s="7" t="s">
        <v>14</v>
      </c>
      <c r="AB170" s="7" t="s">
        <v>14</v>
      </c>
      <c r="AC170" s="7" t="s">
        <v>14</v>
      </c>
      <c r="AD170" s="6" t="s">
        <v>13</v>
      </c>
      <c r="AE170" s="7" t="s">
        <v>14</v>
      </c>
      <c r="AF170" s="7" t="s">
        <v>14</v>
      </c>
      <c r="AG170" s="7" t="s">
        <v>14</v>
      </c>
      <c r="AH170" s="7" t="s">
        <v>14</v>
      </c>
      <c r="AI170" s="7" t="s">
        <v>14</v>
      </c>
      <c r="AJ170" s="7" t="s">
        <v>14</v>
      </c>
      <c r="AK170" s="6" t="s">
        <v>13</v>
      </c>
      <c r="AL170" s="3"/>
      <c r="AM170" s="3"/>
      <c r="AN170" s="3"/>
      <c r="AO170" s="3"/>
      <c r="AP170" s="3"/>
    </row>
    <row r="171" spans="1:42" ht="15" x14ac:dyDescent="0.2">
      <c r="A171" s="4">
        <v>170</v>
      </c>
      <c r="B171" s="5">
        <v>2222</v>
      </c>
      <c r="C171" s="5" t="s">
        <v>217</v>
      </c>
      <c r="D171" s="5" t="s">
        <v>44</v>
      </c>
      <c r="E171" s="5" t="s">
        <v>45</v>
      </c>
      <c r="F171" s="5" t="s">
        <v>107</v>
      </c>
      <c r="G171" s="8">
        <v>45187</v>
      </c>
      <c r="H171" s="6" t="s">
        <v>12</v>
      </c>
      <c r="I171" s="6" t="s">
        <v>13</v>
      </c>
      <c r="J171" s="9">
        <v>0.38680555555555557</v>
      </c>
      <c r="K171" s="10">
        <v>0.38611111111111113</v>
      </c>
      <c r="L171" s="10">
        <v>0.37083333333333335</v>
      </c>
      <c r="M171" s="10">
        <v>0.34861111111111109</v>
      </c>
      <c r="N171" s="10">
        <v>0.32222222222222224</v>
      </c>
      <c r="O171" s="10">
        <v>0.34861111111111109</v>
      </c>
      <c r="P171" s="6" t="s">
        <v>13</v>
      </c>
      <c r="Q171" s="10">
        <v>0.36944444444444446</v>
      </c>
      <c r="R171" s="10">
        <v>0.38750000000000001</v>
      </c>
      <c r="S171" s="10">
        <v>0.3347222222222222</v>
      </c>
      <c r="T171" s="10">
        <v>0.36875000000000002</v>
      </c>
      <c r="U171" s="10">
        <v>0.38958333333333334</v>
      </c>
      <c r="V171" s="10">
        <v>0.36249999999999999</v>
      </c>
      <c r="W171" s="6" t="s">
        <v>13</v>
      </c>
      <c r="X171" s="10">
        <v>0.33541666666666664</v>
      </c>
      <c r="Y171" s="10">
        <v>0.36805555555555558</v>
      </c>
      <c r="Z171" s="10">
        <v>0.33611111111111114</v>
      </c>
      <c r="AA171" s="10">
        <v>0.4201388888888889</v>
      </c>
      <c r="AB171" s="10">
        <v>0.29583333333333334</v>
      </c>
      <c r="AC171" s="7" t="s">
        <v>14</v>
      </c>
      <c r="AD171" s="6" t="s">
        <v>13</v>
      </c>
      <c r="AE171" s="10">
        <v>0.36388888888888887</v>
      </c>
      <c r="AF171" s="10">
        <v>0.34027777777777779</v>
      </c>
      <c r="AG171" s="10">
        <v>0.3923611111111111</v>
      </c>
      <c r="AH171" s="10">
        <v>0.37847222222222221</v>
      </c>
      <c r="AI171" s="10">
        <v>0.38263888888888886</v>
      </c>
      <c r="AJ171" s="10">
        <v>0.34722222222222221</v>
      </c>
      <c r="AK171" s="6" t="s">
        <v>13</v>
      </c>
      <c r="AL171" s="3"/>
      <c r="AM171" s="3"/>
      <c r="AN171" s="3"/>
      <c r="AO171" s="3"/>
      <c r="AP171" s="3"/>
    </row>
    <row r="172" spans="1:42" ht="15" x14ac:dyDescent="0.2">
      <c r="A172" s="4">
        <v>171</v>
      </c>
      <c r="B172" s="5">
        <v>2225</v>
      </c>
      <c r="C172" s="5" t="s">
        <v>218</v>
      </c>
      <c r="D172" s="5" t="s">
        <v>19</v>
      </c>
      <c r="E172" s="5" t="s">
        <v>9</v>
      </c>
      <c r="F172" s="5" t="s">
        <v>107</v>
      </c>
      <c r="G172" s="26">
        <v>45420</v>
      </c>
      <c r="H172" s="6" t="s">
        <v>12</v>
      </c>
      <c r="I172" s="6" t="s">
        <v>13</v>
      </c>
      <c r="J172" s="7" t="s">
        <v>14</v>
      </c>
      <c r="K172" s="7" t="s">
        <v>14</v>
      </c>
      <c r="L172" s="10">
        <v>6.9444444444444447E-4</v>
      </c>
      <c r="M172" s="10">
        <v>0.37569444444444444</v>
      </c>
      <c r="N172" s="10">
        <v>0.36527777777777776</v>
      </c>
      <c r="O172" s="10">
        <v>0.35902777777777778</v>
      </c>
      <c r="P172" s="6" t="s">
        <v>13</v>
      </c>
      <c r="Q172" s="10">
        <v>0.37847222222222221</v>
      </c>
      <c r="R172" s="10">
        <v>0.37569444444444444</v>
      </c>
      <c r="S172" s="10">
        <v>0.37638888888888888</v>
      </c>
      <c r="T172" s="10">
        <v>0.375</v>
      </c>
      <c r="U172" s="7" t="s">
        <v>14</v>
      </c>
      <c r="V172" s="10">
        <v>0.3576388888888889</v>
      </c>
      <c r="W172" s="6" t="s">
        <v>13</v>
      </c>
      <c r="X172" s="10">
        <v>0.36875000000000002</v>
      </c>
      <c r="Y172" s="10">
        <v>0.375</v>
      </c>
      <c r="Z172" s="10">
        <v>0.37777777777777777</v>
      </c>
      <c r="AA172" s="10">
        <v>0.36875000000000002</v>
      </c>
      <c r="AB172" s="10">
        <v>0.37638888888888888</v>
      </c>
      <c r="AC172" s="7" t="s">
        <v>14</v>
      </c>
      <c r="AD172" s="6" t="s">
        <v>13</v>
      </c>
      <c r="AE172" s="10">
        <v>0</v>
      </c>
      <c r="AF172" s="10">
        <v>0.37638888888888888</v>
      </c>
      <c r="AG172" s="10">
        <v>0.37569444444444444</v>
      </c>
      <c r="AH172" s="10">
        <v>0.36944444444444446</v>
      </c>
      <c r="AI172" s="10">
        <v>0.37430555555555556</v>
      </c>
      <c r="AJ172" s="10">
        <v>0.37569444444444444</v>
      </c>
      <c r="AK172" s="6" t="s">
        <v>13</v>
      </c>
      <c r="AL172" s="3"/>
      <c r="AM172" s="3"/>
      <c r="AN172" s="3"/>
      <c r="AO172" s="3"/>
      <c r="AP172" s="3"/>
    </row>
    <row r="173" spans="1:42" ht="15" x14ac:dyDescent="0.2">
      <c r="A173" s="4">
        <v>172</v>
      </c>
      <c r="B173" s="5">
        <v>2226</v>
      </c>
      <c r="C173" s="5" t="s">
        <v>219</v>
      </c>
      <c r="D173" s="5" t="s">
        <v>92</v>
      </c>
      <c r="E173" s="5" t="s">
        <v>39</v>
      </c>
      <c r="F173" s="5" t="s">
        <v>89</v>
      </c>
      <c r="G173" s="26">
        <v>45420</v>
      </c>
      <c r="H173" s="6" t="s">
        <v>12</v>
      </c>
      <c r="I173" s="6" t="s">
        <v>13</v>
      </c>
      <c r="J173" s="9">
        <v>0.37847222222222221</v>
      </c>
      <c r="K173" s="10">
        <v>0.38194444444444442</v>
      </c>
      <c r="L173" s="10">
        <v>0.37986111111111109</v>
      </c>
      <c r="M173" s="10">
        <v>0.37986111111111109</v>
      </c>
      <c r="N173" s="10">
        <v>0.38263888888888886</v>
      </c>
      <c r="O173" s="7" t="s">
        <v>14</v>
      </c>
      <c r="P173" s="6" t="s">
        <v>13</v>
      </c>
      <c r="Q173" s="10">
        <v>0.37847222222222221</v>
      </c>
      <c r="R173" s="10">
        <v>0.37638888888888888</v>
      </c>
      <c r="S173" s="10">
        <v>0.37569444444444444</v>
      </c>
      <c r="T173" s="7" t="s">
        <v>14</v>
      </c>
      <c r="U173" s="10">
        <v>0.37916666666666665</v>
      </c>
      <c r="V173" s="10">
        <v>0.37430555555555556</v>
      </c>
      <c r="W173" s="6" t="s">
        <v>13</v>
      </c>
      <c r="X173" s="10">
        <v>0.38750000000000001</v>
      </c>
      <c r="Y173" s="10">
        <v>0.38472222222222224</v>
      </c>
      <c r="Z173" s="10">
        <v>0.39166666666666666</v>
      </c>
      <c r="AA173" s="10">
        <v>0.375</v>
      </c>
      <c r="AB173" s="10">
        <v>0.37638888888888888</v>
      </c>
      <c r="AC173" s="10">
        <v>0.38958333333333334</v>
      </c>
      <c r="AD173" s="6" t="s">
        <v>13</v>
      </c>
      <c r="AE173" s="10">
        <v>0.38194444444444442</v>
      </c>
      <c r="AF173" s="10">
        <v>0.37638888888888888</v>
      </c>
      <c r="AG173" s="10">
        <v>0.37986111111111109</v>
      </c>
      <c r="AH173" s="10">
        <v>0.37777777777777777</v>
      </c>
      <c r="AI173" s="10">
        <v>0.39513888888888887</v>
      </c>
      <c r="AJ173" s="10">
        <v>0.41319444444444442</v>
      </c>
      <c r="AK173" s="6" t="s">
        <v>13</v>
      </c>
      <c r="AL173" s="3"/>
      <c r="AM173" s="3"/>
      <c r="AN173" s="3"/>
      <c r="AO173" s="3"/>
      <c r="AP173" s="3"/>
    </row>
    <row r="174" spans="1:42" ht="15" x14ac:dyDescent="0.2">
      <c r="A174" s="4">
        <v>173</v>
      </c>
      <c r="B174" s="5">
        <v>2227</v>
      </c>
      <c r="C174" s="5" t="s">
        <v>220</v>
      </c>
      <c r="D174" s="5" t="s">
        <v>77</v>
      </c>
      <c r="E174" s="5" t="s">
        <v>130</v>
      </c>
      <c r="F174" s="5" t="s">
        <v>221</v>
      </c>
      <c r="G174" s="11">
        <v>45296</v>
      </c>
      <c r="H174" s="6" t="s">
        <v>12</v>
      </c>
      <c r="I174" s="6" t="s">
        <v>13</v>
      </c>
      <c r="J174" s="9">
        <v>0.3576388888888889</v>
      </c>
      <c r="K174" s="10">
        <v>0.32291666666666669</v>
      </c>
      <c r="L174" s="10">
        <v>0.37986111111111109</v>
      </c>
      <c r="M174" s="7" t="s">
        <v>14</v>
      </c>
      <c r="N174" s="7" t="s">
        <v>14</v>
      </c>
      <c r="O174" s="10">
        <v>0.33958333333333335</v>
      </c>
      <c r="P174" s="6" t="s">
        <v>13</v>
      </c>
      <c r="Q174" s="10">
        <v>0.37291666666666667</v>
      </c>
      <c r="R174" s="10">
        <v>0.37916666666666665</v>
      </c>
      <c r="S174" s="10">
        <v>0.39166666666666666</v>
      </c>
      <c r="T174" s="10">
        <v>0.32708333333333334</v>
      </c>
      <c r="U174" s="10">
        <v>0.4826388888888889</v>
      </c>
      <c r="V174" s="7" t="s">
        <v>14</v>
      </c>
      <c r="W174" s="6" t="s">
        <v>13</v>
      </c>
      <c r="X174" s="10">
        <v>0.34583333333333333</v>
      </c>
      <c r="Y174" s="10">
        <v>0.34375</v>
      </c>
      <c r="Z174" s="10">
        <v>0.375</v>
      </c>
      <c r="AA174" s="10">
        <v>0.3527777777777778</v>
      </c>
      <c r="AB174" s="10">
        <v>0.3298611111111111</v>
      </c>
      <c r="AC174" s="10">
        <v>0.34027777777777779</v>
      </c>
      <c r="AD174" s="6" t="s">
        <v>13</v>
      </c>
      <c r="AE174" s="10">
        <v>0.31736111111111109</v>
      </c>
      <c r="AF174" s="10">
        <v>0.36805555555555558</v>
      </c>
      <c r="AG174" s="10">
        <v>0.36527777777777776</v>
      </c>
      <c r="AH174" s="10">
        <v>0.34583333333333333</v>
      </c>
      <c r="AI174" s="10">
        <v>0.36458333333333331</v>
      </c>
      <c r="AJ174" s="10">
        <v>0.35555555555555557</v>
      </c>
      <c r="AK174" s="6" t="s">
        <v>13</v>
      </c>
      <c r="AL174" s="3"/>
      <c r="AM174" s="3"/>
      <c r="AN174" s="3"/>
      <c r="AO174" s="3"/>
      <c r="AP174" s="3"/>
    </row>
    <row r="175" spans="1:42" ht="15" x14ac:dyDescent="0.2">
      <c r="A175" s="4">
        <v>174</v>
      </c>
      <c r="B175" s="5">
        <v>2228</v>
      </c>
      <c r="C175" s="5" t="s">
        <v>222</v>
      </c>
      <c r="D175" s="5" t="s">
        <v>88</v>
      </c>
      <c r="E175" s="5" t="s">
        <v>45</v>
      </c>
      <c r="F175" s="5" t="s">
        <v>107</v>
      </c>
      <c r="G175" s="25">
        <v>45202</v>
      </c>
      <c r="H175" s="6" t="s">
        <v>12</v>
      </c>
      <c r="I175" s="6" t="s">
        <v>13</v>
      </c>
      <c r="J175" s="7" t="s">
        <v>14</v>
      </c>
      <c r="K175" s="7" t="s">
        <v>14</v>
      </c>
      <c r="L175" s="7" t="s">
        <v>14</v>
      </c>
      <c r="M175" s="7" t="s">
        <v>14</v>
      </c>
      <c r="N175" s="10">
        <v>0.3840277777777778</v>
      </c>
      <c r="O175" s="10">
        <v>0.35069444444444442</v>
      </c>
      <c r="P175" s="6" t="s">
        <v>13</v>
      </c>
      <c r="Q175" s="10">
        <v>0.38055555555555554</v>
      </c>
      <c r="R175" s="10">
        <v>0.37291666666666667</v>
      </c>
      <c r="S175" s="10">
        <v>0.38333333333333336</v>
      </c>
      <c r="T175" s="10">
        <v>0.38472222222222224</v>
      </c>
      <c r="U175" s="10">
        <v>0.39166666666666666</v>
      </c>
      <c r="V175" s="10">
        <v>0.37430555555555556</v>
      </c>
      <c r="W175" s="6" t="s">
        <v>13</v>
      </c>
      <c r="X175" s="10">
        <v>0.3840277777777778</v>
      </c>
      <c r="Y175" s="10">
        <v>0.3888888888888889</v>
      </c>
      <c r="Z175" s="10">
        <v>0.40138888888888891</v>
      </c>
      <c r="AA175" s="10">
        <v>0.41875000000000001</v>
      </c>
      <c r="AB175" s="10">
        <v>0.38611111111111113</v>
      </c>
      <c r="AC175" s="10">
        <v>0.33819444444444446</v>
      </c>
      <c r="AD175" s="6" t="s">
        <v>13</v>
      </c>
      <c r="AE175" s="10">
        <v>0.05</v>
      </c>
      <c r="AF175" s="10">
        <v>0.3215277777777778</v>
      </c>
      <c r="AG175" s="10">
        <v>0.40625</v>
      </c>
      <c r="AH175" s="10">
        <v>0.34097222222222223</v>
      </c>
      <c r="AI175" s="10">
        <v>0</v>
      </c>
      <c r="AJ175" s="10">
        <v>0.33333333333333331</v>
      </c>
      <c r="AK175" s="6" t="s">
        <v>13</v>
      </c>
      <c r="AL175" s="3"/>
      <c r="AM175" s="3"/>
      <c r="AN175" s="3"/>
      <c r="AO175" s="3"/>
      <c r="AP175" s="3"/>
    </row>
    <row r="176" spans="1:42" ht="15" x14ac:dyDescent="0.2">
      <c r="A176" s="4">
        <v>175</v>
      </c>
      <c r="B176" s="5">
        <v>2229</v>
      </c>
      <c r="C176" s="5" t="s">
        <v>223</v>
      </c>
      <c r="D176" s="5" t="s">
        <v>88</v>
      </c>
      <c r="E176" s="5" t="s">
        <v>39</v>
      </c>
      <c r="F176" s="5" t="s">
        <v>107</v>
      </c>
      <c r="G176" s="25">
        <v>45390</v>
      </c>
      <c r="H176" s="6" t="s">
        <v>12</v>
      </c>
      <c r="I176" s="6" t="s">
        <v>13</v>
      </c>
      <c r="J176" s="9">
        <v>0.40763888888888888</v>
      </c>
      <c r="K176" s="10">
        <v>0.3840277777777778</v>
      </c>
      <c r="L176" s="10">
        <v>0.4</v>
      </c>
      <c r="M176" s="10">
        <v>0.38819444444444445</v>
      </c>
      <c r="N176" s="10">
        <v>0.34305555555555556</v>
      </c>
      <c r="O176" s="10">
        <v>0.375</v>
      </c>
      <c r="P176" s="6" t="s">
        <v>13</v>
      </c>
      <c r="Q176" s="10">
        <v>0.41249999999999998</v>
      </c>
      <c r="R176" s="10">
        <v>0.38472222222222224</v>
      </c>
      <c r="S176" s="10">
        <v>0.40347222222222223</v>
      </c>
      <c r="T176" s="10">
        <v>0.3972222222222222</v>
      </c>
      <c r="U176" s="10">
        <v>0.39930555555555558</v>
      </c>
      <c r="V176" s="7" t="s">
        <v>14</v>
      </c>
      <c r="W176" s="6" t="s">
        <v>13</v>
      </c>
      <c r="X176" s="10">
        <v>0.41597222222222224</v>
      </c>
      <c r="Y176" s="10">
        <v>0.43888888888888888</v>
      </c>
      <c r="Z176" s="10">
        <v>0.39513888888888887</v>
      </c>
      <c r="AA176" s="10">
        <v>0.43333333333333335</v>
      </c>
      <c r="AB176" s="10">
        <v>0.4375</v>
      </c>
      <c r="AC176" s="10">
        <v>0.3972222222222222</v>
      </c>
      <c r="AD176" s="6" t="s">
        <v>13</v>
      </c>
      <c r="AE176" s="10">
        <v>0.37638888888888888</v>
      </c>
      <c r="AF176" s="10">
        <v>0.41111111111111109</v>
      </c>
      <c r="AG176" s="10">
        <v>0.42291666666666666</v>
      </c>
      <c r="AH176" s="10">
        <v>0.41111111111111109</v>
      </c>
      <c r="AI176" s="10">
        <v>0.3527777777777778</v>
      </c>
      <c r="AJ176" s="10">
        <v>0.27083333333333331</v>
      </c>
      <c r="AK176" s="6" t="s">
        <v>13</v>
      </c>
      <c r="AL176" s="3"/>
      <c r="AM176" s="3"/>
      <c r="AN176" s="3"/>
      <c r="AO176" s="3"/>
      <c r="AP176" s="3"/>
    </row>
    <row r="177" spans="1:42" ht="15" x14ac:dyDescent="0.2">
      <c r="A177" s="4">
        <v>176</v>
      </c>
      <c r="B177" s="5">
        <v>2230</v>
      </c>
      <c r="C177" s="5" t="s">
        <v>224</v>
      </c>
      <c r="D177" s="5" t="s">
        <v>92</v>
      </c>
      <c r="E177" s="5" t="s">
        <v>20</v>
      </c>
      <c r="F177" s="5" t="s">
        <v>107</v>
      </c>
      <c r="G177" s="26">
        <v>45425</v>
      </c>
      <c r="H177" s="6" t="s">
        <v>12</v>
      </c>
      <c r="I177" s="6" t="s">
        <v>13</v>
      </c>
      <c r="J177" s="9">
        <v>0.3840277777777778</v>
      </c>
      <c r="K177" s="10">
        <v>0.38263888888888886</v>
      </c>
      <c r="L177" s="10">
        <v>0.38680555555555557</v>
      </c>
      <c r="M177" s="10">
        <v>0.37569444444444444</v>
      </c>
      <c r="N177" s="10">
        <v>0.37222222222222223</v>
      </c>
      <c r="O177" s="10">
        <v>0.37569444444444444</v>
      </c>
      <c r="P177" s="6" t="s">
        <v>13</v>
      </c>
      <c r="Q177" s="10">
        <v>0.38263888888888886</v>
      </c>
      <c r="R177" s="10">
        <v>0.39027777777777778</v>
      </c>
      <c r="S177" s="10">
        <v>0.3888888888888889</v>
      </c>
      <c r="T177" s="10">
        <v>0.36527777777777776</v>
      </c>
      <c r="U177" s="10">
        <v>0.39513888888888887</v>
      </c>
      <c r="V177" s="10">
        <v>0.35625000000000001</v>
      </c>
      <c r="W177" s="6" t="s">
        <v>13</v>
      </c>
      <c r="X177" s="10">
        <v>0</v>
      </c>
      <c r="Y177" s="10">
        <v>0.36875000000000002</v>
      </c>
      <c r="Z177" s="10">
        <v>0.37152777777777779</v>
      </c>
      <c r="AA177" s="10">
        <v>0.36458333333333331</v>
      </c>
      <c r="AB177" s="10">
        <v>0.38680555555555557</v>
      </c>
      <c r="AC177" s="7" t="s">
        <v>14</v>
      </c>
      <c r="AD177" s="6" t="s">
        <v>13</v>
      </c>
      <c r="AE177" s="10">
        <v>0.38194444444444442</v>
      </c>
      <c r="AF177" s="10">
        <v>0.375</v>
      </c>
      <c r="AG177" s="10">
        <v>0.36875000000000002</v>
      </c>
      <c r="AH177" s="10">
        <v>0.37222222222222223</v>
      </c>
      <c r="AI177" s="10">
        <v>0.40277777777777779</v>
      </c>
      <c r="AJ177" s="10">
        <v>0.40277777777777779</v>
      </c>
      <c r="AK177" s="6" t="s">
        <v>13</v>
      </c>
      <c r="AL177" s="3"/>
      <c r="AM177" s="3"/>
      <c r="AN177" s="3"/>
      <c r="AO177" s="3"/>
      <c r="AP177" s="3"/>
    </row>
    <row r="178" spans="1:42" ht="15" x14ac:dyDescent="0.2">
      <c r="A178" s="4">
        <v>177</v>
      </c>
      <c r="B178" s="5">
        <v>2231</v>
      </c>
      <c r="C178" s="5" t="s">
        <v>225</v>
      </c>
      <c r="D178" s="5" t="s">
        <v>88</v>
      </c>
      <c r="E178" s="5" t="s">
        <v>226</v>
      </c>
      <c r="F178" s="5" t="s">
        <v>107</v>
      </c>
      <c r="G178" s="26">
        <v>45432</v>
      </c>
      <c r="H178" s="6" t="s">
        <v>12</v>
      </c>
      <c r="I178" s="6" t="s">
        <v>13</v>
      </c>
      <c r="J178" s="7" t="s">
        <v>14</v>
      </c>
      <c r="K178" s="7" t="s">
        <v>14</v>
      </c>
      <c r="L178" s="7" t="s">
        <v>14</v>
      </c>
      <c r="M178" s="7" t="s">
        <v>14</v>
      </c>
      <c r="N178" s="7" t="s">
        <v>14</v>
      </c>
      <c r="O178" s="7" t="s">
        <v>14</v>
      </c>
      <c r="P178" s="6" t="s">
        <v>13</v>
      </c>
      <c r="Q178" s="7" t="s">
        <v>14</v>
      </c>
      <c r="R178" s="7" t="s">
        <v>14</v>
      </c>
      <c r="S178" s="7" t="s">
        <v>14</v>
      </c>
      <c r="T178" s="7" t="s">
        <v>14</v>
      </c>
      <c r="U178" s="7" t="s">
        <v>14</v>
      </c>
      <c r="V178" s="7" t="s">
        <v>14</v>
      </c>
      <c r="W178" s="6" t="s">
        <v>13</v>
      </c>
      <c r="X178" s="7" t="s">
        <v>14</v>
      </c>
      <c r="Y178" s="7" t="s">
        <v>14</v>
      </c>
      <c r="Z178" s="7" t="s">
        <v>14</v>
      </c>
      <c r="AA178" s="7" t="s">
        <v>14</v>
      </c>
      <c r="AB178" s="7" t="s">
        <v>14</v>
      </c>
      <c r="AC178" s="7" t="s">
        <v>14</v>
      </c>
      <c r="AD178" s="6" t="s">
        <v>13</v>
      </c>
      <c r="AE178" s="7" t="s">
        <v>14</v>
      </c>
      <c r="AF178" s="7" t="s">
        <v>14</v>
      </c>
      <c r="AG178" s="7" t="s">
        <v>14</v>
      </c>
      <c r="AH178" s="7" t="s">
        <v>14</v>
      </c>
      <c r="AI178" s="7" t="s">
        <v>14</v>
      </c>
      <c r="AJ178" s="7" t="s">
        <v>14</v>
      </c>
      <c r="AK178" s="6" t="s">
        <v>13</v>
      </c>
      <c r="AL178" s="3"/>
      <c r="AM178" s="3"/>
      <c r="AN178" s="3"/>
      <c r="AO178" s="3"/>
      <c r="AP178" s="3"/>
    </row>
    <row r="179" spans="1:42" ht="15" x14ac:dyDescent="0.2">
      <c r="A179" s="4">
        <v>178</v>
      </c>
      <c r="B179" s="5">
        <v>2233</v>
      </c>
      <c r="C179" s="5" t="s">
        <v>227</v>
      </c>
      <c r="D179" s="5" t="s">
        <v>83</v>
      </c>
      <c r="E179" s="5" t="s">
        <v>9</v>
      </c>
      <c r="F179" s="5" t="s">
        <v>107</v>
      </c>
      <c r="G179" s="25">
        <v>45208</v>
      </c>
      <c r="H179" s="6" t="s">
        <v>12</v>
      </c>
      <c r="I179" s="6" t="s">
        <v>13</v>
      </c>
      <c r="J179" s="9">
        <v>0.39027777777777778</v>
      </c>
      <c r="K179" s="10">
        <v>0.39305555555555555</v>
      </c>
      <c r="L179" s="10">
        <v>0.3972222222222222</v>
      </c>
      <c r="M179" s="10">
        <v>0.3972222222222222</v>
      </c>
      <c r="N179" s="10">
        <v>0.39513888888888887</v>
      </c>
      <c r="O179" s="10">
        <v>0.39374999999999999</v>
      </c>
      <c r="P179" s="6" t="s">
        <v>13</v>
      </c>
      <c r="Q179" s="10">
        <v>0.3923611111111111</v>
      </c>
      <c r="R179" s="10">
        <v>0.38055555555555554</v>
      </c>
      <c r="S179" s="10">
        <v>0.39583333333333331</v>
      </c>
      <c r="T179" s="10">
        <v>0.38541666666666669</v>
      </c>
      <c r="U179" s="10">
        <v>0.38750000000000001</v>
      </c>
      <c r="V179" s="10">
        <v>0.3888888888888889</v>
      </c>
      <c r="W179" s="6" t="s">
        <v>13</v>
      </c>
      <c r="X179" s="10">
        <v>0.38750000000000001</v>
      </c>
      <c r="Y179" s="10">
        <v>0.38611111111111113</v>
      </c>
      <c r="Z179" s="10">
        <v>0.38263888888888886</v>
      </c>
      <c r="AA179" s="10">
        <v>0</v>
      </c>
      <c r="AB179" s="7" t="s">
        <v>14</v>
      </c>
      <c r="AC179" s="10">
        <v>0.39791666666666664</v>
      </c>
      <c r="AD179" s="6" t="s">
        <v>13</v>
      </c>
      <c r="AE179" s="10">
        <v>0.3888888888888889</v>
      </c>
      <c r="AF179" s="10">
        <v>0.39166666666666666</v>
      </c>
      <c r="AG179" s="10">
        <v>0.39027777777777778</v>
      </c>
      <c r="AH179" s="10">
        <v>0.38472222222222224</v>
      </c>
      <c r="AI179" s="10">
        <v>0.38750000000000001</v>
      </c>
      <c r="AJ179" s="10">
        <v>0.38750000000000001</v>
      </c>
      <c r="AK179" s="6" t="s">
        <v>13</v>
      </c>
      <c r="AL179" s="3"/>
      <c r="AM179" s="3"/>
      <c r="AN179" s="3"/>
      <c r="AO179" s="3"/>
      <c r="AP179" s="3"/>
    </row>
    <row r="180" spans="1:42" ht="15" x14ac:dyDescent="0.2">
      <c r="A180" s="4">
        <v>179</v>
      </c>
      <c r="B180" s="5">
        <v>2236</v>
      </c>
      <c r="C180" s="5" t="s">
        <v>228</v>
      </c>
      <c r="D180" s="5" t="s">
        <v>83</v>
      </c>
      <c r="E180" s="5" t="s">
        <v>9</v>
      </c>
      <c r="F180" s="5" t="s">
        <v>107</v>
      </c>
      <c r="G180" s="25">
        <v>45474</v>
      </c>
      <c r="H180" s="6" t="s">
        <v>12</v>
      </c>
      <c r="I180" s="6" t="s">
        <v>13</v>
      </c>
      <c r="J180" s="9">
        <v>0.375</v>
      </c>
      <c r="K180" s="10">
        <v>0.38124999999999998</v>
      </c>
      <c r="L180" s="7" t="s">
        <v>14</v>
      </c>
      <c r="M180" s="7" t="s">
        <v>14</v>
      </c>
      <c r="N180" s="7" t="s">
        <v>14</v>
      </c>
      <c r="O180" s="7" t="s">
        <v>14</v>
      </c>
      <c r="P180" s="6" t="s">
        <v>13</v>
      </c>
      <c r="Q180" s="7" t="s">
        <v>14</v>
      </c>
      <c r="R180" s="7" t="s">
        <v>14</v>
      </c>
      <c r="S180" s="7" t="s">
        <v>14</v>
      </c>
      <c r="T180" s="7" t="s">
        <v>14</v>
      </c>
      <c r="U180" s="7" t="s">
        <v>14</v>
      </c>
      <c r="V180" s="7" t="s">
        <v>14</v>
      </c>
      <c r="W180" s="6" t="s">
        <v>13</v>
      </c>
      <c r="X180" s="10">
        <v>0.3840277777777778</v>
      </c>
      <c r="Y180" s="10">
        <v>0.38819444444444445</v>
      </c>
      <c r="Z180" s="10">
        <v>0.38680555555555557</v>
      </c>
      <c r="AA180" s="10">
        <v>0.38680555555555557</v>
      </c>
      <c r="AB180" s="10">
        <v>0.38750000000000001</v>
      </c>
      <c r="AC180" s="10">
        <v>0.38263888888888886</v>
      </c>
      <c r="AD180" s="6" t="s">
        <v>13</v>
      </c>
      <c r="AE180" s="10">
        <v>0.38541666666666669</v>
      </c>
      <c r="AF180" s="10">
        <v>0.375</v>
      </c>
      <c r="AG180" s="10">
        <v>0.3888888888888889</v>
      </c>
      <c r="AH180" s="10">
        <v>0.38124999999999998</v>
      </c>
      <c r="AI180" s="10">
        <v>0.37430555555555556</v>
      </c>
      <c r="AJ180" s="10">
        <v>0.38680555555555557</v>
      </c>
      <c r="AK180" s="6" t="s">
        <v>13</v>
      </c>
      <c r="AL180" s="3"/>
      <c r="AM180" s="3"/>
      <c r="AN180" s="3"/>
      <c r="AO180" s="3"/>
      <c r="AP180" s="3"/>
    </row>
    <row r="181" spans="1:42" ht="15" x14ac:dyDescent="0.2">
      <c r="A181" s="4">
        <v>180</v>
      </c>
      <c r="B181" s="5">
        <v>2239</v>
      </c>
      <c r="C181" s="5" t="s">
        <v>229</v>
      </c>
      <c r="D181" s="5" t="s">
        <v>8</v>
      </c>
      <c r="E181" s="5" t="s">
        <v>9</v>
      </c>
      <c r="F181" s="5" t="s">
        <v>107</v>
      </c>
      <c r="G181" s="25">
        <v>45482</v>
      </c>
      <c r="H181" s="6" t="s">
        <v>12</v>
      </c>
      <c r="I181" s="6" t="s">
        <v>13</v>
      </c>
      <c r="J181" s="9">
        <v>0.3659722222222222</v>
      </c>
      <c r="K181" s="10">
        <v>0.36249999999999999</v>
      </c>
      <c r="L181" s="10">
        <v>0.37152777777777779</v>
      </c>
      <c r="M181" s="10">
        <v>0.37708333333333333</v>
      </c>
      <c r="N181" s="10">
        <v>0.375</v>
      </c>
      <c r="O181" s="10">
        <v>0.32569444444444445</v>
      </c>
      <c r="P181" s="6" t="s">
        <v>13</v>
      </c>
      <c r="Q181" s="10">
        <v>0.37430555555555556</v>
      </c>
      <c r="R181" s="10">
        <v>0.37013888888888891</v>
      </c>
      <c r="S181" s="10">
        <v>0.3840277777777778</v>
      </c>
      <c r="T181" s="10">
        <v>0.38958333333333334</v>
      </c>
      <c r="U181" s="10">
        <v>0.37916666666666665</v>
      </c>
      <c r="V181" s="7" t="s">
        <v>14</v>
      </c>
      <c r="W181" s="6" t="s">
        <v>13</v>
      </c>
      <c r="X181" s="10">
        <v>0.37430555555555556</v>
      </c>
      <c r="Y181" s="10">
        <v>0.34027777777777779</v>
      </c>
      <c r="Z181" s="10">
        <v>0.37569444444444444</v>
      </c>
      <c r="AA181" s="10">
        <v>0.1673611111111111</v>
      </c>
      <c r="AB181" s="7" t="s">
        <v>14</v>
      </c>
      <c r="AC181" s="7" t="s">
        <v>14</v>
      </c>
      <c r="AD181" s="6" t="s">
        <v>13</v>
      </c>
      <c r="AE181" s="7" t="s">
        <v>14</v>
      </c>
      <c r="AF181" s="10">
        <v>0.37986111111111109</v>
      </c>
      <c r="AG181" s="10">
        <v>0.37569444444444444</v>
      </c>
      <c r="AH181" s="10">
        <v>0.37361111111111112</v>
      </c>
      <c r="AI181" s="10">
        <v>0.37847222222222221</v>
      </c>
      <c r="AJ181" s="10">
        <v>0.37430555555555556</v>
      </c>
      <c r="AK181" s="6" t="s">
        <v>13</v>
      </c>
      <c r="AL181" s="3"/>
      <c r="AM181" s="3"/>
      <c r="AN181" s="3"/>
      <c r="AO181" s="3"/>
      <c r="AP181" s="3"/>
    </row>
    <row r="182" spans="1:42" ht="15" x14ac:dyDescent="0.2">
      <c r="A182" s="4">
        <v>181</v>
      </c>
      <c r="B182" s="5">
        <v>2240</v>
      </c>
      <c r="C182" s="5" t="s">
        <v>230</v>
      </c>
      <c r="D182" s="5" t="s">
        <v>114</v>
      </c>
      <c r="E182" s="5" t="s">
        <v>115</v>
      </c>
      <c r="F182" s="5" t="s">
        <v>107</v>
      </c>
      <c r="G182" s="5" t="s">
        <v>231</v>
      </c>
      <c r="H182" s="6" t="s">
        <v>12</v>
      </c>
      <c r="I182" s="6" t="s">
        <v>13</v>
      </c>
      <c r="J182" s="9">
        <v>0.35555555555555557</v>
      </c>
      <c r="K182" s="10">
        <v>0.37777777777777777</v>
      </c>
      <c r="L182" s="10">
        <v>0.37569444444444444</v>
      </c>
      <c r="M182" s="10">
        <v>0.375</v>
      </c>
      <c r="N182" s="10">
        <v>0.37361111111111112</v>
      </c>
      <c r="O182" s="10">
        <v>0.375</v>
      </c>
      <c r="P182" s="6" t="s">
        <v>13</v>
      </c>
      <c r="Q182" s="10">
        <v>0.37916666666666665</v>
      </c>
      <c r="R182" s="10">
        <v>0.37708333333333333</v>
      </c>
      <c r="S182" s="10">
        <v>0.375</v>
      </c>
      <c r="T182" s="10">
        <v>0.35486111111111113</v>
      </c>
      <c r="U182" s="10">
        <v>0.33611111111111114</v>
      </c>
      <c r="V182" s="7" t="s">
        <v>14</v>
      </c>
      <c r="W182" s="6" t="s">
        <v>13</v>
      </c>
      <c r="X182" s="7" t="s">
        <v>14</v>
      </c>
      <c r="Y182" s="10">
        <v>0.33402777777777776</v>
      </c>
      <c r="Z182" s="10">
        <v>0.37569444444444444</v>
      </c>
      <c r="AA182" s="10">
        <v>0.37638888888888888</v>
      </c>
      <c r="AB182" s="10">
        <v>0.35486111111111113</v>
      </c>
      <c r="AC182" s="10">
        <v>0.37569444444444444</v>
      </c>
      <c r="AD182" s="6" t="s">
        <v>13</v>
      </c>
      <c r="AE182" s="10">
        <v>0.36666666666666664</v>
      </c>
      <c r="AF182" s="10">
        <v>0.375</v>
      </c>
      <c r="AG182" s="10">
        <v>0.17916666666666667</v>
      </c>
      <c r="AH182" s="10">
        <v>0.37569444444444444</v>
      </c>
      <c r="AI182" s="10">
        <v>0.37638888888888888</v>
      </c>
      <c r="AJ182" s="10">
        <v>0.3576388888888889</v>
      </c>
      <c r="AK182" s="6" t="s">
        <v>13</v>
      </c>
      <c r="AL182" s="3"/>
      <c r="AM182" s="3"/>
      <c r="AN182" s="3"/>
      <c r="AO182" s="3"/>
      <c r="AP182" s="3"/>
    </row>
    <row r="183" spans="1:42" ht="15" x14ac:dyDescent="0.2">
      <c r="A183" s="4">
        <v>182</v>
      </c>
      <c r="B183" s="5">
        <v>2241</v>
      </c>
      <c r="C183" s="5" t="s">
        <v>232</v>
      </c>
      <c r="D183" s="5" t="s">
        <v>44</v>
      </c>
      <c r="E183" s="5" t="s">
        <v>20</v>
      </c>
      <c r="F183" s="5" t="s">
        <v>107</v>
      </c>
      <c r="G183" s="8">
        <v>45485</v>
      </c>
      <c r="H183" s="6" t="s">
        <v>12</v>
      </c>
      <c r="I183" s="6" t="s">
        <v>13</v>
      </c>
      <c r="J183" s="9">
        <v>0.34166666666666667</v>
      </c>
      <c r="K183" s="10">
        <v>0.33680555555555558</v>
      </c>
      <c r="L183" s="10">
        <v>0.37777777777777777</v>
      </c>
      <c r="M183" s="10">
        <v>0.33402777777777776</v>
      </c>
      <c r="N183" s="10">
        <v>0.35486111111111113</v>
      </c>
      <c r="O183" s="7" t="s">
        <v>14</v>
      </c>
      <c r="P183" s="6" t="s">
        <v>13</v>
      </c>
      <c r="Q183" s="10">
        <v>0.34861111111111109</v>
      </c>
      <c r="R183" s="10">
        <v>0.35138888888888886</v>
      </c>
      <c r="S183" s="7" t="s">
        <v>14</v>
      </c>
      <c r="T183" s="10">
        <v>0.375</v>
      </c>
      <c r="U183" s="10">
        <v>0.37291666666666667</v>
      </c>
      <c r="V183" s="10">
        <v>0.37916666666666665</v>
      </c>
      <c r="W183" s="6" t="s">
        <v>13</v>
      </c>
      <c r="X183" s="10">
        <v>0.37152777777777779</v>
      </c>
      <c r="Y183" s="10">
        <v>0.37638888888888888</v>
      </c>
      <c r="Z183" s="10">
        <v>0.3659722222222222</v>
      </c>
      <c r="AA183" s="10">
        <v>0.37013888888888891</v>
      </c>
      <c r="AB183" s="10">
        <v>0.37430555555555556</v>
      </c>
      <c r="AC183" s="10">
        <v>0.37222222222222223</v>
      </c>
      <c r="AD183" s="6" t="s">
        <v>13</v>
      </c>
      <c r="AE183" s="10">
        <v>0.37361111111111112</v>
      </c>
      <c r="AF183" s="10">
        <v>0.37430555555555556</v>
      </c>
      <c r="AG183" s="7" t="s">
        <v>14</v>
      </c>
      <c r="AH183" s="7" t="s">
        <v>14</v>
      </c>
      <c r="AI183" s="7" t="s">
        <v>14</v>
      </c>
      <c r="AJ183" s="7" t="s">
        <v>14</v>
      </c>
      <c r="AK183" s="6" t="s">
        <v>13</v>
      </c>
      <c r="AL183" s="3"/>
      <c r="AM183" s="3"/>
      <c r="AN183" s="3"/>
      <c r="AO183" s="3"/>
      <c r="AP183" s="3"/>
    </row>
    <row r="184" spans="1:42" ht="15" x14ac:dyDescent="0.2">
      <c r="A184" s="4">
        <v>183</v>
      </c>
      <c r="B184" s="5">
        <v>2242</v>
      </c>
      <c r="C184" s="5" t="s">
        <v>233</v>
      </c>
      <c r="D184" s="5" t="s">
        <v>92</v>
      </c>
      <c r="E184" s="5" t="s">
        <v>45</v>
      </c>
      <c r="F184" s="5" t="s">
        <v>107</v>
      </c>
      <c r="G184" s="8">
        <v>45485</v>
      </c>
      <c r="H184" s="6" t="s">
        <v>12</v>
      </c>
      <c r="I184" s="6" t="s">
        <v>13</v>
      </c>
      <c r="J184" s="9">
        <v>0.38472222222222224</v>
      </c>
      <c r="K184" s="10">
        <v>0.36319444444444443</v>
      </c>
      <c r="L184" s="10">
        <v>0.37430555555555556</v>
      </c>
      <c r="M184" s="10">
        <v>0.36805555555555558</v>
      </c>
      <c r="N184" s="10">
        <v>0.37916666666666665</v>
      </c>
      <c r="O184" s="10">
        <v>0.34375</v>
      </c>
      <c r="P184" s="6" t="s">
        <v>13</v>
      </c>
      <c r="Q184" s="10">
        <v>0.38055555555555554</v>
      </c>
      <c r="R184" s="10">
        <v>0.38124999999999998</v>
      </c>
      <c r="S184" s="10">
        <v>0.37222222222222223</v>
      </c>
      <c r="T184" s="10">
        <v>0.37638888888888888</v>
      </c>
      <c r="U184" s="10">
        <v>0.1673611111111111</v>
      </c>
      <c r="V184" s="7" t="s">
        <v>14</v>
      </c>
      <c r="W184" s="6" t="s">
        <v>13</v>
      </c>
      <c r="X184" s="7" t="s">
        <v>14</v>
      </c>
      <c r="Y184" s="7" t="s">
        <v>14</v>
      </c>
      <c r="Z184" s="10">
        <v>0.37708333333333333</v>
      </c>
      <c r="AA184" s="10">
        <v>0.37638888888888888</v>
      </c>
      <c r="AB184" s="10">
        <v>0.37847222222222221</v>
      </c>
      <c r="AC184" s="10">
        <v>0.37430555555555556</v>
      </c>
      <c r="AD184" s="6" t="s">
        <v>13</v>
      </c>
      <c r="AE184" s="10">
        <v>0.37361111111111112</v>
      </c>
      <c r="AF184" s="10">
        <v>0.375</v>
      </c>
      <c r="AG184" s="10">
        <v>0.37847222222222221</v>
      </c>
      <c r="AH184" s="10">
        <v>0.37638888888888888</v>
      </c>
      <c r="AI184" s="10">
        <v>0.15972222222222221</v>
      </c>
      <c r="AJ184" s="10">
        <v>0.3888888888888889</v>
      </c>
      <c r="AK184" s="6" t="s">
        <v>13</v>
      </c>
      <c r="AL184" s="3"/>
      <c r="AM184" s="3"/>
      <c r="AN184" s="3"/>
      <c r="AO184" s="3"/>
      <c r="AP184" s="3"/>
    </row>
    <row r="185" spans="1:42" ht="15" x14ac:dyDescent="0.2">
      <c r="A185" s="4">
        <v>184</v>
      </c>
      <c r="B185" s="5">
        <v>2246</v>
      </c>
      <c r="C185" s="5" t="s">
        <v>234</v>
      </c>
      <c r="D185" s="5" t="s">
        <v>44</v>
      </c>
      <c r="E185" s="5" t="s">
        <v>39</v>
      </c>
      <c r="F185" s="5" t="s">
        <v>89</v>
      </c>
      <c r="G185" s="25">
        <v>45506</v>
      </c>
      <c r="H185" s="6" t="s">
        <v>12</v>
      </c>
      <c r="I185" s="6" t="s">
        <v>13</v>
      </c>
      <c r="J185" s="9">
        <v>0.39374999999999999</v>
      </c>
      <c r="K185" s="10">
        <v>0.3888888888888889</v>
      </c>
      <c r="L185" s="10">
        <v>0.38263888888888886</v>
      </c>
      <c r="M185" s="10">
        <v>0.39374999999999999</v>
      </c>
      <c r="N185" s="10">
        <v>0.37708333333333333</v>
      </c>
      <c r="O185" s="7" t="s">
        <v>14</v>
      </c>
      <c r="P185" s="6" t="s">
        <v>13</v>
      </c>
      <c r="Q185" s="10">
        <v>0.3923611111111111</v>
      </c>
      <c r="R185" s="10">
        <v>0.38611111111111113</v>
      </c>
      <c r="S185" s="10">
        <v>0.39652777777777776</v>
      </c>
      <c r="T185" s="10">
        <v>0.37708333333333333</v>
      </c>
      <c r="U185" s="10">
        <v>0.38263888888888886</v>
      </c>
      <c r="V185" s="10">
        <v>0.38750000000000001</v>
      </c>
      <c r="W185" s="6" t="s">
        <v>13</v>
      </c>
      <c r="X185" s="10">
        <v>0.3923611111111111</v>
      </c>
      <c r="Y185" s="10">
        <v>0.38541666666666669</v>
      </c>
      <c r="Z185" s="10">
        <v>0.39166666666666666</v>
      </c>
      <c r="AA185" s="10">
        <v>0.40208333333333335</v>
      </c>
      <c r="AB185" s="10">
        <v>0.3972222222222222</v>
      </c>
      <c r="AC185" s="10">
        <v>0.40972222222222221</v>
      </c>
      <c r="AD185" s="6" t="s">
        <v>13</v>
      </c>
      <c r="AE185" s="10">
        <v>0.38611111111111113</v>
      </c>
      <c r="AF185" s="10">
        <v>0.3972222222222222</v>
      </c>
      <c r="AG185" s="10">
        <v>0.3972222222222222</v>
      </c>
      <c r="AH185" s="10">
        <v>0.39583333333333331</v>
      </c>
      <c r="AI185" s="10">
        <v>0.40625</v>
      </c>
      <c r="AJ185" s="10">
        <v>0.38750000000000001</v>
      </c>
      <c r="AK185" s="6" t="s">
        <v>13</v>
      </c>
      <c r="AL185" s="3"/>
      <c r="AM185" s="3"/>
      <c r="AN185" s="3"/>
      <c r="AO185" s="3"/>
      <c r="AP185" s="3"/>
    </row>
    <row r="186" spans="1:42" ht="15" x14ac:dyDescent="0.2">
      <c r="A186" s="4">
        <v>185</v>
      </c>
      <c r="B186" s="5">
        <v>2247</v>
      </c>
      <c r="C186" s="5" t="s">
        <v>235</v>
      </c>
      <c r="D186" s="5" t="s">
        <v>8</v>
      </c>
      <c r="E186" s="5" t="s">
        <v>45</v>
      </c>
      <c r="F186" s="5" t="s">
        <v>107</v>
      </c>
      <c r="G186" s="25">
        <v>45506</v>
      </c>
      <c r="H186" s="6" t="s">
        <v>12</v>
      </c>
      <c r="I186" s="6" t="s">
        <v>13</v>
      </c>
      <c r="J186" s="9">
        <v>0.11944444444444445</v>
      </c>
      <c r="K186" s="7" t="s">
        <v>14</v>
      </c>
      <c r="L186" s="7" t="s">
        <v>14</v>
      </c>
      <c r="M186" s="10">
        <v>0.38541666666666669</v>
      </c>
      <c r="N186" s="10">
        <v>0.36458333333333331</v>
      </c>
      <c r="O186" s="10">
        <v>0.37222222222222223</v>
      </c>
      <c r="P186" s="6" t="s">
        <v>13</v>
      </c>
      <c r="Q186" s="10">
        <v>0.34513888888888888</v>
      </c>
      <c r="R186" s="10">
        <v>0.37638888888888888</v>
      </c>
      <c r="S186" s="10">
        <v>0.38263888888888886</v>
      </c>
      <c r="T186" s="10">
        <v>0.37916666666666665</v>
      </c>
      <c r="U186" s="10">
        <v>0.35972222222222222</v>
      </c>
      <c r="V186" s="7" t="s">
        <v>14</v>
      </c>
      <c r="W186" s="6" t="s">
        <v>13</v>
      </c>
      <c r="X186" s="10">
        <v>0.38541666666666669</v>
      </c>
      <c r="Y186" s="10">
        <v>0.36388888888888887</v>
      </c>
      <c r="Z186" s="10">
        <v>0.33819444444444446</v>
      </c>
      <c r="AA186" s="10">
        <v>0.36875000000000002</v>
      </c>
      <c r="AB186" s="10">
        <v>0.37638888888888888</v>
      </c>
      <c r="AC186" s="10">
        <v>0.36180555555555555</v>
      </c>
      <c r="AD186" s="6" t="s">
        <v>13</v>
      </c>
      <c r="AE186" s="10">
        <v>0.37569444444444444</v>
      </c>
      <c r="AF186" s="10">
        <v>0.37013888888888891</v>
      </c>
      <c r="AG186" s="10">
        <v>0.37291666666666667</v>
      </c>
      <c r="AH186" s="10">
        <v>0.33611111111111114</v>
      </c>
      <c r="AI186" s="10">
        <v>0.36875000000000002</v>
      </c>
      <c r="AJ186" s="10">
        <v>0.3611111111111111</v>
      </c>
      <c r="AK186" s="6" t="s">
        <v>13</v>
      </c>
      <c r="AL186" s="3"/>
      <c r="AM186" s="3"/>
      <c r="AN186" s="3"/>
      <c r="AO186" s="3"/>
      <c r="AP186" s="3"/>
    </row>
    <row r="187" spans="1:42" ht="15" x14ac:dyDescent="0.2">
      <c r="A187" s="4">
        <v>186</v>
      </c>
      <c r="B187" s="5">
        <v>2253</v>
      </c>
      <c r="C187" s="5" t="s">
        <v>236</v>
      </c>
      <c r="D187" s="5" t="s">
        <v>23</v>
      </c>
      <c r="E187" s="5" t="s">
        <v>39</v>
      </c>
      <c r="F187" s="5" t="s">
        <v>107</v>
      </c>
      <c r="G187" s="25">
        <v>45512</v>
      </c>
      <c r="H187" s="6" t="s">
        <v>12</v>
      </c>
      <c r="I187" s="6" t="s">
        <v>13</v>
      </c>
      <c r="J187" s="7" t="s">
        <v>14</v>
      </c>
      <c r="K187" s="7" t="s">
        <v>14</v>
      </c>
      <c r="L187" s="7" t="s">
        <v>14</v>
      </c>
      <c r="M187" s="7" t="s">
        <v>14</v>
      </c>
      <c r="N187" s="7" t="s">
        <v>14</v>
      </c>
      <c r="O187" s="7" t="s">
        <v>14</v>
      </c>
      <c r="P187" s="6" t="s">
        <v>13</v>
      </c>
      <c r="Q187" s="7" t="s">
        <v>14</v>
      </c>
      <c r="R187" s="7" t="s">
        <v>14</v>
      </c>
      <c r="S187" s="7" t="s">
        <v>14</v>
      </c>
      <c r="T187" s="7" t="s">
        <v>14</v>
      </c>
      <c r="U187" s="7" t="s">
        <v>14</v>
      </c>
      <c r="V187" s="7" t="s">
        <v>14</v>
      </c>
      <c r="W187" s="6" t="s">
        <v>13</v>
      </c>
      <c r="X187" s="7" t="s">
        <v>14</v>
      </c>
      <c r="Y187" s="7" t="s">
        <v>14</v>
      </c>
      <c r="Z187" s="7" t="s">
        <v>14</v>
      </c>
      <c r="AA187" s="7" t="s">
        <v>14</v>
      </c>
      <c r="AB187" s="7" t="s">
        <v>14</v>
      </c>
      <c r="AC187" s="7" t="s">
        <v>14</v>
      </c>
      <c r="AD187" s="6" t="s">
        <v>13</v>
      </c>
      <c r="AE187" s="7" t="s">
        <v>14</v>
      </c>
      <c r="AF187" s="7" t="s">
        <v>14</v>
      </c>
      <c r="AG187" s="7" t="s">
        <v>14</v>
      </c>
      <c r="AH187" s="7" t="s">
        <v>14</v>
      </c>
      <c r="AI187" s="7" t="s">
        <v>14</v>
      </c>
      <c r="AJ187" s="7" t="s">
        <v>14</v>
      </c>
      <c r="AK187" s="6" t="s">
        <v>13</v>
      </c>
      <c r="AL187" s="3"/>
      <c r="AM187" s="3"/>
      <c r="AN187" s="3"/>
      <c r="AO187" s="3"/>
      <c r="AP187" s="3"/>
    </row>
    <row r="188" spans="1:42" ht="15" x14ac:dyDescent="0.2">
      <c r="A188" s="4">
        <v>187</v>
      </c>
      <c r="B188" s="5">
        <v>2257</v>
      </c>
      <c r="C188" s="5" t="s">
        <v>237</v>
      </c>
      <c r="D188" s="5" t="s">
        <v>19</v>
      </c>
      <c r="E188" s="5" t="s">
        <v>109</v>
      </c>
      <c r="F188" s="5" t="s">
        <v>89</v>
      </c>
      <c r="G188" s="8">
        <v>45524</v>
      </c>
      <c r="H188" s="6" t="s">
        <v>12</v>
      </c>
      <c r="I188" s="6" t="s">
        <v>13</v>
      </c>
      <c r="J188" s="7" t="s">
        <v>14</v>
      </c>
      <c r="K188" s="7" t="s">
        <v>14</v>
      </c>
      <c r="L188" s="7" t="s">
        <v>14</v>
      </c>
      <c r="M188" s="7" t="s">
        <v>14</v>
      </c>
      <c r="N188" s="7" t="s">
        <v>14</v>
      </c>
      <c r="O188" s="7" t="s">
        <v>14</v>
      </c>
      <c r="P188" s="6" t="s">
        <v>13</v>
      </c>
      <c r="Q188" s="10">
        <v>0.35555555555555557</v>
      </c>
      <c r="R188" s="10">
        <v>0.38124999999999998</v>
      </c>
      <c r="S188" s="10">
        <v>0.37291666666666667</v>
      </c>
      <c r="T188" s="10">
        <v>0.3840277777777778</v>
      </c>
      <c r="U188" s="10">
        <v>0.3972222222222222</v>
      </c>
      <c r="V188" s="7" t="s">
        <v>14</v>
      </c>
      <c r="W188" s="6" t="s">
        <v>13</v>
      </c>
      <c r="X188" s="10">
        <v>0.3840277777777778</v>
      </c>
      <c r="Y188" s="10">
        <v>0.37291666666666667</v>
      </c>
      <c r="Z188" s="10">
        <v>0.36944444444444446</v>
      </c>
      <c r="AA188" s="10">
        <v>0.3888888888888889</v>
      </c>
      <c r="AB188" s="10">
        <v>0.37847222222222221</v>
      </c>
      <c r="AC188" s="7" t="s">
        <v>14</v>
      </c>
      <c r="AD188" s="6" t="s">
        <v>13</v>
      </c>
      <c r="AE188" s="10">
        <v>0.31180555555555556</v>
      </c>
      <c r="AF188" s="10">
        <v>0.375</v>
      </c>
      <c r="AG188" s="10">
        <v>0.37847222222222221</v>
      </c>
      <c r="AH188" s="10">
        <v>0.37916666666666665</v>
      </c>
      <c r="AI188" s="10">
        <v>0.37708333333333333</v>
      </c>
      <c r="AJ188" s="10">
        <v>0.35</v>
      </c>
      <c r="AK188" s="6" t="s">
        <v>13</v>
      </c>
      <c r="AL188" s="3"/>
      <c r="AM188" s="3"/>
      <c r="AN188" s="3"/>
      <c r="AO188" s="3"/>
      <c r="AP188" s="3"/>
    </row>
    <row r="189" spans="1:42" ht="15" x14ac:dyDescent="0.2">
      <c r="A189" s="4">
        <v>188</v>
      </c>
      <c r="B189" s="5">
        <v>2259</v>
      </c>
      <c r="C189" s="5" t="s">
        <v>238</v>
      </c>
      <c r="D189" s="5" t="s">
        <v>8</v>
      </c>
      <c r="E189" s="5" t="s">
        <v>28</v>
      </c>
      <c r="F189" s="5" t="s">
        <v>107</v>
      </c>
      <c r="G189" s="26">
        <v>45433</v>
      </c>
      <c r="H189" s="6" t="s">
        <v>12</v>
      </c>
      <c r="I189" s="6" t="s">
        <v>13</v>
      </c>
      <c r="J189" s="9">
        <v>0.36805555555555558</v>
      </c>
      <c r="K189" s="10">
        <v>0.38055555555555554</v>
      </c>
      <c r="L189" s="10">
        <v>0.375</v>
      </c>
      <c r="M189" s="10">
        <v>0.37430555555555556</v>
      </c>
      <c r="N189" s="10">
        <v>0.37013888888888891</v>
      </c>
      <c r="O189" s="10">
        <v>0.32708333333333334</v>
      </c>
      <c r="P189" s="6" t="s">
        <v>13</v>
      </c>
      <c r="Q189" s="10">
        <v>0.37708333333333333</v>
      </c>
      <c r="R189" s="10">
        <v>0.37430555555555556</v>
      </c>
      <c r="S189" s="10">
        <v>0.37291666666666667</v>
      </c>
      <c r="T189" s="10">
        <v>0.35347222222222224</v>
      </c>
      <c r="U189" s="10">
        <v>0.33680555555555558</v>
      </c>
      <c r="V189" s="7" t="s">
        <v>14</v>
      </c>
      <c r="W189" s="6" t="s">
        <v>13</v>
      </c>
      <c r="X189" s="7" t="s">
        <v>14</v>
      </c>
      <c r="Y189" s="10">
        <v>0.32569444444444445</v>
      </c>
      <c r="Z189" s="10">
        <v>0.37291666666666667</v>
      </c>
      <c r="AA189" s="10">
        <v>0.16527777777777777</v>
      </c>
      <c r="AB189" s="10">
        <v>0.3527777777777778</v>
      </c>
      <c r="AC189" s="7" t="s">
        <v>14</v>
      </c>
      <c r="AD189" s="6" t="s">
        <v>13</v>
      </c>
      <c r="AE189" s="10">
        <v>0.36527777777777776</v>
      </c>
      <c r="AF189" s="7" t="s">
        <v>14</v>
      </c>
      <c r="AG189" s="7" t="s">
        <v>14</v>
      </c>
      <c r="AH189" s="10">
        <v>0.37083333333333335</v>
      </c>
      <c r="AI189" s="10">
        <v>0.37638888888888888</v>
      </c>
      <c r="AJ189" s="10">
        <v>0.3576388888888889</v>
      </c>
      <c r="AK189" s="6" t="s">
        <v>13</v>
      </c>
      <c r="AL189" s="3"/>
      <c r="AM189" s="3"/>
      <c r="AN189" s="3"/>
      <c r="AO189" s="3"/>
      <c r="AP189" s="3"/>
    </row>
    <row r="190" spans="1:42" ht="15" x14ac:dyDescent="0.2">
      <c r="A190" s="4">
        <v>189</v>
      </c>
      <c r="B190" s="5">
        <v>2262</v>
      </c>
      <c r="C190" s="5" t="s">
        <v>239</v>
      </c>
      <c r="D190" s="5" t="s">
        <v>88</v>
      </c>
      <c r="E190" s="5" t="s">
        <v>20</v>
      </c>
      <c r="F190" s="5" t="s">
        <v>107</v>
      </c>
      <c r="G190" s="8">
        <v>45531</v>
      </c>
      <c r="H190" s="6" t="s">
        <v>12</v>
      </c>
      <c r="I190" s="6" t="s">
        <v>13</v>
      </c>
      <c r="J190" s="7" t="s">
        <v>14</v>
      </c>
      <c r="K190" s="10">
        <v>0.29930555555555555</v>
      </c>
      <c r="L190" s="10">
        <v>0.39097222222222222</v>
      </c>
      <c r="M190" s="10">
        <v>0.38472222222222224</v>
      </c>
      <c r="N190" s="10">
        <v>0.3527777777777778</v>
      </c>
      <c r="O190" s="10">
        <v>0.35347222222222224</v>
      </c>
      <c r="P190" s="6" t="s">
        <v>13</v>
      </c>
      <c r="Q190" s="10">
        <v>0.37569444444444444</v>
      </c>
      <c r="R190" s="10">
        <v>0.37638888888888888</v>
      </c>
      <c r="S190" s="10">
        <v>0.36805555555555558</v>
      </c>
      <c r="T190" s="10">
        <v>0.33819444444444446</v>
      </c>
      <c r="U190" s="10">
        <v>0.42777777777777776</v>
      </c>
      <c r="V190" s="10">
        <v>0.35555555555555557</v>
      </c>
      <c r="W190" s="6" t="s">
        <v>13</v>
      </c>
      <c r="X190" s="10">
        <v>0.36944444444444446</v>
      </c>
      <c r="Y190" s="10">
        <v>0.34791666666666665</v>
      </c>
      <c r="Z190" s="10">
        <v>0.35</v>
      </c>
      <c r="AA190" s="10">
        <v>0.34097222222222223</v>
      </c>
      <c r="AB190" s="10">
        <v>0.38472222222222224</v>
      </c>
      <c r="AC190" s="7" t="s">
        <v>14</v>
      </c>
      <c r="AD190" s="6" t="s">
        <v>13</v>
      </c>
      <c r="AE190" s="10">
        <v>0.37777777777777777</v>
      </c>
      <c r="AF190" s="10">
        <v>0.30972222222222223</v>
      </c>
      <c r="AG190" s="10">
        <v>0.38541666666666669</v>
      </c>
      <c r="AH190" s="10">
        <v>0.36666666666666664</v>
      </c>
      <c r="AI190" s="10">
        <v>0.39791666666666664</v>
      </c>
      <c r="AJ190" s="10">
        <v>0.40833333333333333</v>
      </c>
      <c r="AK190" s="6" t="s">
        <v>13</v>
      </c>
      <c r="AL190" s="3"/>
      <c r="AM190" s="3"/>
      <c r="AN190" s="3"/>
      <c r="AO190" s="3"/>
      <c r="AP190" s="3"/>
    </row>
    <row r="191" spans="1:42" ht="15" x14ac:dyDescent="0.2">
      <c r="A191" s="4">
        <v>190</v>
      </c>
      <c r="B191" s="5">
        <v>2267</v>
      </c>
      <c r="C191" s="5" t="s">
        <v>240</v>
      </c>
      <c r="D191" s="5" t="s">
        <v>19</v>
      </c>
      <c r="E191" s="5" t="s">
        <v>39</v>
      </c>
      <c r="F191" s="5" t="s">
        <v>107</v>
      </c>
      <c r="G191" s="8">
        <v>45533</v>
      </c>
      <c r="H191" s="6" t="s">
        <v>12</v>
      </c>
      <c r="I191" s="6" t="s">
        <v>13</v>
      </c>
      <c r="J191" s="9">
        <v>0.39374999999999999</v>
      </c>
      <c r="K191" s="10">
        <v>0.38472222222222224</v>
      </c>
      <c r="L191" s="10">
        <v>0.3888888888888889</v>
      </c>
      <c r="M191" s="10">
        <v>0.39374999999999999</v>
      </c>
      <c r="N191" s="10">
        <v>0.34236111111111112</v>
      </c>
      <c r="O191" s="7" t="s">
        <v>14</v>
      </c>
      <c r="P191" s="6" t="s">
        <v>13</v>
      </c>
      <c r="Q191" s="10">
        <v>0.38472222222222224</v>
      </c>
      <c r="R191" s="10">
        <v>0.36805555555555558</v>
      </c>
      <c r="S191" s="10">
        <v>0.37847222222222221</v>
      </c>
      <c r="T191" s="10">
        <v>0.3888888888888889</v>
      </c>
      <c r="U191" s="10">
        <v>0.39097222222222222</v>
      </c>
      <c r="V191" s="10">
        <v>0.38263888888888886</v>
      </c>
      <c r="W191" s="6" t="s">
        <v>13</v>
      </c>
      <c r="X191" s="10">
        <v>0.41180555555555554</v>
      </c>
      <c r="Y191" s="10">
        <v>0.42638888888888887</v>
      </c>
      <c r="Z191" s="10">
        <v>0.39166666666666666</v>
      </c>
      <c r="AA191" s="10">
        <v>0.44305555555555554</v>
      </c>
      <c r="AB191" s="10">
        <v>0.29652777777777778</v>
      </c>
      <c r="AC191" s="7" t="s">
        <v>14</v>
      </c>
      <c r="AD191" s="6" t="s">
        <v>13</v>
      </c>
      <c r="AE191" s="10">
        <v>0.38541666666666669</v>
      </c>
      <c r="AF191" s="10">
        <v>0.41666666666666669</v>
      </c>
      <c r="AG191" s="10">
        <v>0.3888888888888889</v>
      </c>
      <c r="AH191" s="10">
        <v>0.41805555555555557</v>
      </c>
      <c r="AI191" s="10">
        <v>0.42291666666666666</v>
      </c>
      <c r="AJ191" s="10">
        <v>0.28333333333333333</v>
      </c>
      <c r="AK191" s="6" t="s">
        <v>13</v>
      </c>
      <c r="AL191" s="3"/>
      <c r="AM191" s="3"/>
      <c r="AN191" s="3"/>
      <c r="AO191" s="3"/>
      <c r="AP191" s="3"/>
    </row>
    <row r="192" spans="1:42" ht="15" x14ac:dyDescent="0.2">
      <c r="A192" s="4">
        <v>191</v>
      </c>
      <c r="B192" s="5">
        <v>2270</v>
      </c>
      <c r="C192" s="5" t="s">
        <v>241</v>
      </c>
      <c r="D192" s="5" t="s">
        <v>23</v>
      </c>
      <c r="E192" s="5" t="s">
        <v>24</v>
      </c>
      <c r="F192" s="5" t="s">
        <v>107</v>
      </c>
      <c r="G192" s="25">
        <v>45509</v>
      </c>
      <c r="H192" s="6" t="s">
        <v>12</v>
      </c>
      <c r="I192" s="6" t="s">
        <v>13</v>
      </c>
      <c r="J192" s="9">
        <v>0.35486111111111113</v>
      </c>
      <c r="K192" s="10">
        <v>0.34166666666666667</v>
      </c>
      <c r="L192" s="10">
        <v>0.19583333333333333</v>
      </c>
      <c r="M192" s="10">
        <v>0.37638888888888888</v>
      </c>
      <c r="N192" s="10">
        <v>0.375</v>
      </c>
      <c r="O192" s="10">
        <v>0.375</v>
      </c>
      <c r="P192" s="6" t="s">
        <v>13</v>
      </c>
      <c r="Q192" s="10">
        <v>0.37569444444444444</v>
      </c>
      <c r="R192" s="10">
        <v>0.37638888888888888</v>
      </c>
      <c r="S192" s="10">
        <v>0.37569444444444444</v>
      </c>
      <c r="T192" s="10">
        <v>0.37569444444444444</v>
      </c>
      <c r="U192" s="10">
        <v>0.32569444444444445</v>
      </c>
      <c r="V192" s="7" t="s">
        <v>14</v>
      </c>
      <c r="W192" s="6" t="s">
        <v>13</v>
      </c>
      <c r="X192" s="10">
        <v>0.37569444444444444</v>
      </c>
      <c r="Y192" s="10">
        <v>0.37638888888888888</v>
      </c>
      <c r="Z192" s="10">
        <v>0.37777777777777777</v>
      </c>
      <c r="AA192" s="10">
        <v>0.375</v>
      </c>
      <c r="AB192" s="10">
        <v>0.1673611111111111</v>
      </c>
      <c r="AC192" s="7" t="s">
        <v>14</v>
      </c>
      <c r="AD192" s="6" t="s">
        <v>13</v>
      </c>
      <c r="AE192" s="10">
        <v>0.37638888888888888</v>
      </c>
      <c r="AF192" s="10">
        <v>0.37569444444444444</v>
      </c>
      <c r="AG192" s="10">
        <v>0.3611111111111111</v>
      </c>
      <c r="AH192" s="10">
        <v>0.37638888888888888</v>
      </c>
      <c r="AI192" s="10">
        <v>0.375</v>
      </c>
      <c r="AJ192" s="10">
        <v>0.37083333333333335</v>
      </c>
      <c r="AK192" s="6" t="s">
        <v>13</v>
      </c>
      <c r="AL192" s="3"/>
      <c r="AM192" s="3"/>
      <c r="AN192" s="3"/>
      <c r="AO192" s="3"/>
      <c r="AP192" s="3"/>
    </row>
    <row r="193" spans="1:42" ht="15" x14ac:dyDescent="0.2">
      <c r="A193" s="4">
        <v>192</v>
      </c>
      <c r="B193" s="5">
        <v>2271</v>
      </c>
      <c r="C193" s="5" t="s">
        <v>242</v>
      </c>
      <c r="D193" s="5" t="s">
        <v>92</v>
      </c>
      <c r="E193" s="5" t="s">
        <v>24</v>
      </c>
      <c r="F193" s="5" t="s">
        <v>107</v>
      </c>
      <c r="G193" s="25">
        <v>45537</v>
      </c>
      <c r="H193" s="6" t="s">
        <v>12</v>
      </c>
      <c r="I193" s="6" t="s">
        <v>13</v>
      </c>
      <c r="J193" s="7" t="s">
        <v>14</v>
      </c>
      <c r="K193" s="7" t="s">
        <v>14</v>
      </c>
      <c r="L193" s="7" t="s">
        <v>14</v>
      </c>
      <c r="M193" s="7" t="s">
        <v>14</v>
      </c>
      <c r="N193" s="10">
        <v>0.38958333333333334</v>
      </c>
      <c r="O193" s="7" t="s">
        <v>14</v>
      </c>
      <c r="P193" s="6" t="s">
        <v>13</v>
      </c>
      <c r="Q193" s="7" t="s">
        <v>14</v>
      </c>
      <c r="R193" s="7" t="s">
        <v>14</v>
      </c>
      <c r="S193" s="7" t="s">
        <v>14</v>
      </c>
      <c r="T193" s="7" t="s">
        <v>14</v>
      </c>
      <c r="U193" s="7" t="s">
        <v>14</v>
      </c>
      <c r="V193" s="7" t="s">
        <v>14</v>
      </c>
      <c r="W193" s="6" t="s">
        <v>13</v>
      </c>
      <c r="X193" s="7" t="s">
        <v>14</v>
      </c>
      <c r="Y193" s="7" t="s">
        <v>14</v>
      </c>
      <c r="Z193" s="7" t="s">
        <v>14</v>
      </c>
      <c r="AA193" s="7" t="s">
        <v>14</v>
      </c>
      <c r="AB193" s="7" t="s">
        <v>14</v>
      </c>
      <c r="AC193" s="7" t="s">
        <v>14</v>
      </c>
      <c r="AD193" s="6" t="s">
        <v>13</v>
      </c>
      <c r="AE193" s="7" t="s">
        <v>14</v>
      </c>
      <c r="AF193" s="7" t="s">
        <v>14</v>
      </c>
      <c r="AG193" s="7" t="s">
        <v>14</v>
      </c>
      <c r="AH193" s="7" t="s">
        <v>14</v>
      </c>
      <c r="AI193" s="7" t="s">
        <v>14</v>
      </c>
      <c r="AJ193" s="7" t="s">
        <v>14</v>
      </c>
      <c r="AK193" s="6" t="s">
        <v>13</v>
      </c>
      <c r="AL193" s="3"/>
      <c r="AM193" s="3"/>
      <c r="AN193" s="3"/>
      <c r="AO193" s="3"/>
      <c r="AP193" s="3"/>
    </row>
    <row r="194" spans="1:42" ht="15" x14ac:dyDescent="0.2">
      <c r="A194" s="4">
        <v>193</v>
      </c>
      <c r="B194" s="5">
        <v>2274</v>
      </c>
      <c r="C194" s="5" t="s">
        <v>124</v>
      </c>
      <c r="D194" s="5" t="s">
        <v>74</v>
      </c>
      <c r="E194" s="5"/>
      <c r="F194" s="5" t="s">
        <v>243</v>
      </c>
      <c r="G194" s="25">
        <v>45537</v>
      </c>
      <c r="H194" s="10">
        <v>1.3888888888888889E-3</v>
      </c>
      <c r="I194" s="6" t="s">
        <v>13</v>
      </c>
      <c r="J194" s="7" t="s">
        <v>14</v>
      </c>
      <c r="K194" s="10">
        <v>0</v>
      </c>
      <c r="L194" s="10">
        <v>0.35069444444444442</v>
      </c>
      <c r="M194" s="10">
        <v>0</v>
      </c>
      <c r="N194" s="7" t="s">
        <v>14</v>
      </c>
      <c r="O194" s="7" t="s">
        <v>14</v>
      </c>
      <c r="P194" s="6" t="s">
        <v>13</v>
      </c>
      <c r="Q194" s="10">
        <v>0.375</v>
      </c>
      <c r="R194" s="7" t="s">
        <v>14</v>
      </c>
      <c r="S194" s="7" t="s">
        <v>14</v>
      </c>
      <c r="T194" s="7" t="s">
        <v>14</v>
      </c>
      <c r="U194" s="7" t="s">
        <v>14</v>
      </c>
      <c r="V194" s="7" t="s">
        <v>14</v>
      </c>
      <c r="W194" s="6" t="s">
        <v>13</v>
      </c>
      <c r="X194" s="10">
        <v>0.55347222222222225</v>
      </c>
      <c r="Y194" s="10">
        <v>0</v>
      </c>
      <c r="Z194" s="10">
        <v>0</v>
      </c>
      <c r="AA194" s="10">
        <v>4.1666666666666666E-3</v>
      </c>
      <c r="AB194" s="10">
        <v>0.33055555555555555</v>
      </c>
      <c r="AC194" s="10">
        <v>0</v>
      </c>
      <c r="AD194" s="6" t="s">
        <v>13</v>
      </c>
      <c r="AE194" s="7" t="s">
        <v>14</v>
      </c>
      <c r="AF194" s="7" t="s">
        <v>14</v>
      </c>
      <c r="AG194" s="7" t="s">
        <v>14</v>
      </c>
      <c r="AH194" s="7" t="s">
        <v>14</v>
      </c>
      <c r="AI194" s="7" t="s">
        <v>14</v>
      </c>
      <c r="AJ194" s="10">
        <v>6.9444444444444447E-4</v>
      </c>
      <c r="AK194" s="6" t="s">
        <v>13</v>
      </c>
      <c r="AL194" s="3"/>
      <c r="AM194" s="3"/>
      <c r="AN194" s="3"/>
      <c r="AO194" s="3"/>
      <c r="AP194" s="3"/>
    </row>
    <row r="195" spans="1:42" ht="15" x14ac:dyDescent="0.2">
      <c r="A195" s="4">
        <v>194</v>
      </c>
      <c r="B195" s="5">
        <v>2277</v>
      </c>
      <c r="C195" s="5" t="s">
        <v>244</v>
      </c>
      <c r="D195" s="5" t="s">
        <v>19</v>
      </c>
      <c r="E195" s="5" t="s">
        <v>9</v>
      </c>
      <c r="F195" s="5" t="s">
        <v>107</v>
      </c>
      <c r="G195" s="25">
        <v>45540</v>
      </c>
      <c r="H195" s="6" t="s">
        <v>12</v>
      </c>
      <c r="I195" s="6" t="s">
        <v>13</v>
      </c>
      <c r="J195" s="7" t="s">
        <v>14</v>
      </c>
      <c r="K195" s="7" t="s">
        <v>14</v>
      </c>
      <c r="L195" s="7" t="s">
        <v>14</v>
      </c>
      <c r="M195" s="7" t="s">
        <v>14</v>
      </c>
      <c r="N195" s="10">
        <v>0.37152777777777779</v>
      </c>
      <c r="O195" s="10">
        <v>0.37777777777777777</v>
      </c>
      <c r="P195" s="6" t="s">
        <v>13</v>
      </c>
      <c r="Q195" s="10">
        <v>0.37638888888888888</v>
      </c>
      <c r="R195" s="10">
        <v>0.3611111111111111</v>
      </c>
      <c r="S195" s="10">
        <v>0.34097222222222223</v>
      </c>
      <c r="T195" s="10">
        <v>0.37291666666666667</v>
      </c>
      <c r="U195" s="10">
        <v>0.37569444444444444</v>
      </c>
      <c r="V195" s="10">
        <v>0.37638888888888888</v>
      </c>
      <c r="W195" s="6" t="s">
        <v>13</v>
      </c>
      <c r="X195" s="10">
        <v>0.37291666666666667</v>
      </c>
      <c r="Y195" s="10">
        <v>0.37569444444444444</v>
      </c>
      <c r="Z195" s="10">
        <v>0.375</v>
      </c>
      <c r="AA195" s="10">
        <v>0.37222222222222223</v>
      </c>
      <c r="AB195" s="10">
        <v>0.37430555555555556</v>
      </c>
      <c r="AC195" s="7" t="s">
        <v>14</v>
      </c>
      <c r="AD195" s="6" t="s">
        <v>13</v>
      </c>
      <c r="AE195" s="10">
        <v>0.37430555555555556</v>
      </c>
      <c r="AF195" s="10">
        <v>0.37430555555555556</v>
      </c>
      <c r="AG195" s="10">
        <v>0.37222222222222223</v>
      </c>
      <c r="AH195" s="10">
        <v>0.37152777777777779</v>
      </c>
      <c r="AI195" s="10">
        <v>0.37222222222222223</v>
      </c>
      <c r="AJ195" s="10">
        <v>0.37777777777777777</v>
      </c>
      <c r="AK195" s="6" t="s">
        <v>13</v>
      </c>
      <c r="AL195" s="3"/>
      <c r="AM195" s="3"/>
      <c r="AN195" s="3"/>
      <c r="AO195" s="3"/>
      <c r="AP195" s="3"/>
    </row>
    <row r="196" spans="1:42" ht="15" x14ac:dyDescent="0.2">
      <c r="A196" s="4">
        <v>195</v>
      </c>
      <c r="B196" s="5">
        <v>2279</v>
      </c>
      <c r="C196" s="5" t="s">
        <v>245</v>
      </c>
      <c r="D196" s="5" t="s">
        <v>80</v>
      </c>
      <c r="E196" s="5" t="s">
        <v>85</v>
      </c>
      <c r="F196" s="5" t="s">
        <v>107</v>
      </c>
      <c r="G196" s="25">
        <v>45544</v>
      </c>
      <c r="H196" s="6" t="s">
        <v>12</v>
      </c>
      <c r="I196" s="6" t="s">
        <v>13</v>
      </c>
      <c r="J196" s="7" t="s">
        <v>14</v>
      </c>
      <c r="K196" s="7" t="s">
        <v>14</v>
      </c>
      <c r="L196" s="7" t="s">
        <v>14</v>
      </c>
      <c r="M196" s="7" t="s">
        <v>14</v>
      </c>
      <c r="N196" s="7" t="s">
        <v>14</v>
      </c>
      <c r="O196" s="7" t="s">
        <v>14</v>
      </c>
      <c r="P196" s="6" t="s">
        <v>13</v>
      </c>
      <c r="Q196" s="7" t="s">
        <v>14</v>
      </c>
      <c r="R196" s="7" t="s">
        <v>14</v>
      </c>
      <c r="S196" s="7" t="s">
        <v>14</v>
      </c>
      <c r="T196" s="7" t="s">
        <v>14</v>
      </c>
      <c r="U196" s="7" t="s">
        <v>14</v>
      </c>
      <c r="V196" s="7" t="s">
        <v>14</v>
      </c>
      <c r="W196" s="6" t="s">
        <v>13</v>
      </c>
      <c r="X196" s="7" t="s">
        <v>14</v>
      </c>
      <c r="Y196" s="7" t="s">
        <v>14</v>
      </c>
      <c r="Z196" s="7" t="s">
        <v>14</v>
      </c>
      <c r="AA196" s="7" t="s">
        <v>14</v>
      </c>
      <c r="AB196" s="7" t="s">
        <v>14</v>
      </c>
      <c r="AC196" s="7" t="s">
        <v>14</v>
      </c>
      <c r="AD196" s="6" t="s">
        <v>13</v>
      </c>
      <c r="AE196" s="7" t="s">
        <v>14</v>
      </c>
      <c r="AF196" s="7" t="s">
        <v>14</v>
      </c>
      <c r="AG196" s="7" t="s">
        <v>14</v>
      </c>
      <c r="AH196" s="7" t="s">
        <v>14</v>
      </c>
      <c r="AI196" s="7" t="s">
        <v>14</v>
      </c>
      <c r="AJ196" s="7" t="s">
        <v>14</v>
      </c>
      <c r="AK196" s="6" t="s">
        <v>13</v>
      </c>
      <c r="AL196" s="3"/>
      <c r="AM196" s="3"/>
      <c r="AN196" s="3"/>
      <c r="AO196" s="3"/>
      <c r="AP196" s="3"/>
    </row>
    <row r="197" spans="1:42" ht="15" x14ac:dyDescent="0.2">
      <c r="A197" s="4">
        <v>196</v>
      </c>
      <c r="B197" s="5">
        <v>2283</v>
      </c>
      <c r="C197" s="5" t="s">
        <v>246</v>
      </c>
      <c r="D197" s="5" t="s">
        <v>114</v>
      </c>
      <c r="E197" s="5" t="s">
        <v>115</v>
      </c>
      <c r="F197" s="5" t="s">
        <v>107</v>
      </c>
      <c r="G197" s="8">
        <v>45553</v>
      </c>
      <c r="H197" s="6" t="s">
        <v>12</v>
      </c>
      <c r="I197" s="6" t="s">
        <v>13</v>
      </c>
      <c r="J197" s="9">
        <v>0.3972222222222222</v>
      </c>
      <c r="K197" s="10">
        <v>0.39583333333333331</v>
      </c>
      <c r="L197" s="10">
        <v>0.38680555555555557</v>
      </c>
      <c r="M197" s="10">
        <v>0.37152777777777779</v>
      </c>
      <c r="N197" s="10">
        <v>0.37361111111111112</v>
      </c>
      <c r="O197" s="10">
        <v>0.375</v>
      </c>
      <c r="P197" s="6" t="s">
        <v>13</v>
      </c>
      <c r="Q197" s="10">
        <v>0.375</v>
      </c>
      <c r="R197" s="10">
        <v>0.37152777777777779</v>
      </c>
      <c r="S197" s="10">
        <v>0.33333333333333331</v>
      </c>
      <c r="T197" s="10">
        <v>0.37361111111111112</v>
      </c>
      <c r="U197" s="7" t="s">
        <v>14</v>
      </c>
      <c r="V197" s="7" t="s">
        <v>14</v>
      </c>
      <c r="W197" s="6" t="s">
        <v>13</v>
      </c>
      <c r="X197" s="7" t="s">
        <v>14</v>
      </c>
      <c r="Y197" s="7" t="s">
        <v>14</v>
      </c>
      <c r="Z197" s="7" t="s">
        <v>14</v>
      </c>
      <c r="AA197" s="7" t="s">
        <v>14</v>
      </c>
      <c r="AB197" s="7" t="s">
        <v>14</v>
      </c>
      <c r="AC197" s="7" t="s">
        <v>14</v>
      </c>
      <c r="AD197" s="6" t="s">
        <v>13</v>
      </c>
      <c r="AE197" s="7" t="s">
        <v>14</v>
      </c>
      <c r="AF197" s="7" t="s">
        <v>14</v>
      </c>
      <c r="AG197" s="7" t="s">
        <v>14</v>
      </c>
      <c r="AH197" s="7" t="s">
        <v>14</v>
      </c>
      <c r="AI197" s="7" t="s">
        <v>14</v>
      </c>
      <c r="AJ197" s="10">
        <v>0.37708333333333333</v>
      </c>
      <c r="AK197" s="6" t="s">
        <v>13</v>
      </c>
      <c r="AL197" s="3"/>
      <c r="AM197" s="3"/>
      <c r="AN197" s="3"/>
      <c r="AO197" s="3"/>
      <c r="AP197" s="3"/>
    </row>
    <row r="198" spans="1:42" ht="15" x14ac:dyDescent="0.2">
      <c r="A198" s="4">
        <v>197</v>
      </c>
      <c r="B198" s="5">
        <v>2284</v>
      </c>
      <c r="C198" s="5" t="s">
        <v>247</v>
      </c>
      <c r="D198" s="5" t="s">
        <v>19</v>
      </c>
      <c r="E198" s="5" t="s">
        <v>9</v>
      </c>
      <c r="F198" s="5" t="s">
        <v>107</v>
      </c>
      <c r="G198" s="8">
        <v>45483</v>
      </c>
      <c r="H198" s="6" t="s">
        <v>12</v>
      </c>
      <c r="I198" s="6" t="s">
        <v>13</v>
      </c>
      <c r="J198" s="9">
        <v>0.39652777777777776</v>
      </c>
      <c r="K198" s="10">
        <v>0.40555555555555556</v>
      </c>
      <c r="L198" s="10">
        <v>0.36736111111111114</v>
      </c>
      <c r="M198" s="10">
        <v>0.37777777777777777</v>
      </c>
      <c r="N198" s="10">
        <v>0.37638888888888888</v>
      </c>
      <c r="O198" s="10">
        <v>0.37847222222222221</v>
      </c>
      <c r="P198" s="6" t="s">
        <v>13</v>
      </c>
      <c r="Q198" s="10">
        <v>0.37569444444444444</v>
      </c>
      <c r="R198" s="10">
        <v>0.37291666666666667</v>
      </c>
      <c r="S198" s="10">
        <v>0.37916666666666665</v>
      </c>
      <c r="T198" s="10">
        <v>0.34444444444444444</v>
      </c>
      <c r="U198" s="10">
        <v>0.3840277777777778</v>
      </c>
      <c r="V198" s="7" t="s">
        <v>14</v>
      </c>
      <c r="W198" s="6" t="s">
        <v>13</v>
      </c>
      <c r="X198" s="7" t="s">
        <v>14</v>
      </c>
      <c r="Y198" s="7" t="s">
        <v>14</v>
      </c>
      <c r="Z198" s="7" t="s">
        <v>14</v>
      </c>
      <c r="AA198" s="7" t="s">
        <v>14</v>
      </c>
      <c r="AB198" s="7" t="s">
        <v>14</v>
      </c>
      <c r="AC198" s="7" t="s">
        <v>14</v>
      </c>
      <c r="AD198" s="6" t="s">
        <v>13</v>
      </c>
      <c r="AE198" s="7" t="s">
        <v>14</v>
      </c>
      <c r="AF198" s="7" t="s">
        <v>14</v>
      </c>
      <c r="AG198" s="7" t="s">
        <v>14</v>
      </c>
      <c r="AH198" s="7" t="s">
        <v>14</v>
      </c>
      <c r="AI198" s="7" t="s">
        <v>14</v>
      </c>
      <c r="AJ198" s="7" t="s">
        <v>14</v>
      </c>
      <c r="AK198" s="6" t="s">
        <v>13</v>
      </c>
      <c r="AL198" s="3"/>
      <c r="AM198" s="3"/>
      <c r="AN198" s="3"/>
      <c r="AO198" s="3"/>
      <c r="AP198" s="3"/>
    </row>
    <row r="199" spans="1:42" ht="15" x14ac:dyDescent="0.2">
      <c r="A199" s="4">
        <v>198</v>
      </c>
      <c r="B199" s="5">
        <v>2285</v>
      </c>
      <c r="C199" s="5" t="s">
        <v>248</v>
      </c>
      <c r="D199" s="5" t="s">
        <v>77</v>
      </c>
      <c r="E199" s="5" t="s">
        <v>130</v>
      </c>
      <c r="F199" s="5" t="s">
        <v>107</v>
      </c>
      <c r="G199" s="8">
        <v>45554</v>
      </c>
      <c r="H199" s="6" t="s">
        <v>12</v>
      </c>
      <c r="I199" s="6" t="s">
        <v>13</v>
      </c>
      <c r="J199" s="7" t="s">
        <v>14</v>
      </c>
      <c r="K199" s="10">
        <v>0.34583333333333333</v>
      </c>
      <c r="L199" s="10">
        <v>0.375</v>
      </c>
      <c r="M199" s="10">
        <v>0.37777777777777777</v>
      </c>
      <c r="N199" s="10">
        <v>0.37569444444444444</v>
      </c>
      <c r="O199" s="10">
        <v>0.37708333333333333</v>
      </c>
      <c r="P199" s="6" t="s">
        <v>13</v>
      </c>
      <c r="Q199" s="10">
        <v>0.37708333333333333</v>
      </c>
      <c r="R199" s="10">
        <v>0.37777777777777777</v>
      </c>
      <c r="S199" s="10">
        <v>0.37847222222222221</v>
      </c>
      <c r="T199" s="10">
        <v>0.37986111111111109</v>
      </c>
      <c r="U199" s="10">
        <v>0.35416666666666669</v>
      </c>
      <c r="V199" s="7" t="s">
        <v>14</v>
      </c>
      <c r="W199" s="6" t="s">
        <v>13</v>
      </c>
      <c r="X199" s="7" t="s">
        <v>14</v>
      </c>
      <c r="Y199" s="7" t="s">
        <v>14</v>
      </c>
      <c r="Z199" s="7" t="s">
        <v>14</v>
      </c>
      <c r="AA199" s="7" t="s">
        <v>14</v>
      </c>
      <c r="AB199" s="7" t="s">
        <v>14</v>
      </c>
      <c r="AC199" s="7" t="s">
        <v>14</v>
      </c>
      <c r="AD199" s="6" t="s">
        <v>13</v>
      </c>
      <c r="AE199" s="10">
        <v>0.37986111111111109</v>
      </c>
      <c r="AF199" s="10">
        <v>0.37777777777777777</v>
      </c>
      <c r="AG199" s="10">
        <v>0.36805555555555558</v>
      </c>
      <c r="AH199" s="10">
        <v>0.37847222222222221</v>
      </c>
      <c r="AI199" s="10">
        <v>0.37708333333333333</v>
      </c>
      <c r="AJ199" s="10">
        <v>0.37222222222222223</v>
      </c>
      <c r="AK199" s="6" t="s">
        <v>13</v>
      </c>
      <c r="AL199" s="3"/>
      <c r="AM199" s="3"/>
      <c r="AN199" s="3"/>
      <c r="AO199" s="3"/>
      <c r="AP199" s="3"/>
    </row>
    <row r="200" spans="1:42" ht="15" x14ac:dyDescent="0.2">
      <c r="A200" s="4">
        <v>199</v>
      </c>
      <c r="B200" s="5">
        <v>2288</v>
      </c>
      <c r="C200" s="5" t="s">
        <v>249</v>
      </c>
      <c r="D200" s="5" t="s">
        <v>92</v>
      </c>
      <c r="E200" s="5" t="s">
        <v>39</v>
      </c>
      <c r="F200" s="5" t="s">
        <v>107</v>
      </c>
      <c r="G200" s="8">
        <v>45560</v>
      </c>
      <c r="H200" s="6" t="s">
        <v>12</v>
      </c>
      <c r="I200" s="6" t="s">
        <v>13</v>
      </c>
      <c r="J200" s="9">
        <v>0.37569444444444444</v>
      </c>
      <c r="K200" s="10">
        <v>0.37708333333333333</v>
      </c>
      <c r="L200" s="10">
        <v>0.37847222222222221</v>
      </c>
      <c r="M200" s="10">
        <v>0.37986111111111109</v>
      </c>
      <c r="N200" s="10">
        <v>0.38333333333333336</v>
      </c>
      <c r="O200" s="7" t="s">
        <v>14</v>
      </c>
      <c r="P200" s="6" t="s">
        <v>13</v>
      </c>
      <c r="Q200" s="10">
        <v>0.36527777777777776</v>
      </c>
      <c r="R200" s="10">
        <v>0.37708333333333333</v>
      </c>
      <c r="S200" s="10">
        <v>0.375</v>
      </c>
      <c r="T200" s="10">
        <v>0.38263888888888886</v>
      </c>
      <c r="U200" s="10">
        <v>0.37777777777777777</v>
      </c>
      <c r="V200" s="10">
        <v>0.37291666666666667</v>
      </c>
      <c r="W200" s="6" t="s">
        <v>13</v>
      </c>
      <c r="X200" s="10">
        <v>0.37638888888888888</v>
      </c>
      <c r="Y200" s="10">
        <v>0.37916666666666665</v>
      </c>
      <c r="Z200" s="10">
        <v>0.37430555555555556</v>
      </c>
      <c r="AA200" s="7" t="s">
        <v>14</v>
      </c>
      <c r="AB200" s="10">
        <v>0.37986111111111109</v>
      </c>
      <c r="AC200" s="10">
        <v>0.38611111111111113</v>
      </c>
      <c r="AD200" s="6" t="s">
        <v>13</v>
      </c>
      <c r="AE200" s="10">
        <v>0.37291666666666667</v>
      </c>
      <c r="AF200" s="10">
        <v>0.37569444444444444</v>
      </c>
      <c r="AG200" s="10">
        <v>0.38750000000000001</v>
      </c>
      <c r="AH200" s="10">
        <v>0.37708333333333333</v>
      </c>
      <c r="AI200" s="10">
        <v>0.37777777777777777</v>
      </c>
      <c r="AJ200" s="10">
        <v>0.37638888888888888</v>
      </c>
      <c r="AK200" s="6" t="s">
        <v>13</v>
      </c>
      <c r="AL200" s="3"/>
      <c r="AM200" s="3"/>
      <c r="AN200" s="3"/>
      <c r="AO200" s="3"/>
      <c r="AP200" s="3"/>
    </row>
    <row r="201" spans="1:42" ht="15" x14ac:dyDescent="0.2">
      <c r="A201" s="4">
        <v>200</v>
      </c>
      <c r="B201" s="5">
        <v>2290</v>
      </c>
      <c r="C201" s="5" t="s">
        <v>28</v>
      </c>
      <c r="D201" s="5" t="s">
        <v>80</v>
      </c>
      <c r="E201" s="5" t="s">
        <v>109</v>
      </c>
      <c r="F201" s="5" t="s">
        <v>86</v>
      </c>
      <c r="G201" s="25">
        <v>45566</v>
      </c>
      <c r="H201" s="6" t="s">
        <v>12</v>
      </c>
      <c r="I201" s="6" t="s">
        <v>13</v>
      </c>
      <c r="J201" s="9">
        <v>0.4</v>
      </c>
      <c r="K201" s="10">
        <v>0.40555555555555556</v>
      </c>
      <c r="L201" s="10">
        <v>0.3611111111111111</v>
      </c>
      <c r="M201" s="10">
        <v>0.38819444444444445</v>
      </c>
      <c r="N201" s="10">
        <v>0.34583333333333333</v>
      </c>
      <c r="O201" s="10">
        <v>0.31736111111111109</v>
      </c>
      <c r="P201" s="6" t="s">
        <v>13</v>
      </c>
      <c r="Q201" s="10">
        <v>0.38541666666666669</v>
      </c>
      <c r="R201" s="10">
        <v>0.37013888888888891</v>
      </c>
      <c r="S201" s="10">
        <v>0.38055555555555554</v>
      </c>
      <c r="T201" s="10">
        <v>0.38680555555555557</v>
      </c>
      <c r="U201" s="10">
        <v>0.30555555555555558</v>
      </c>
      <c r="V201" s="7" t="s">
        <v>14</v>
      </c>
      <c r="W201" s="6" t="s">
        <v>13</v>
      </c>
      <c r="X201" s="10">
        <v>6.9444444444444447E-4</v>
      </c>
      <c r="Y201" s="10">
        <v>0.38819444444444445</v>
      </c>
      <c r="Z201" s="10">
        <v>0.3840277777777778</v>
      </c>
      <c r="AA201" s="7" t="s">
        <v>14</v>
      </c>
      <c r="AB201" s="10">
        <v>0.3659722222222222</v>
      </c>
      <c r="AC201" s="7" t="s">
        <v>14</v>
      </c>
      <c r="AD201" s="6" t="s">
        <v>13</v>
      </c>
      <c r="AE201" s="10">
        <v>0.38194444444444442</v>
      </c>
      <c r="AF201" s="10">
        <v>0.37083333333333335</v>
      </c>
      <c r="AG201" s="10">
        <v>0.35069444444444442</v>
      </c>
      <c r="AH201" s="10">
        <v>0.375</v>
      </c>
      <c r="AI201" s="10">
        <v>0.36527777777777776</v>
      </c>
      <c r="AJ201" s="10">
        <v>0.37152777777777779</v>
      </c>
      <c r="AK201" s="6" t="s">
        <v>13</v>
      </c>
      <c r="AL201" s="3"/>
      <c r="AM201" s="3"/>
      <c r="AN201" s="3"/>
      <c r="AO201" s="3"/>
      <c r="AP201" s="3"/>
    </row>
    <row r="202" spans="1:42" ht="15" x14ac:dyDescent="0.2">
      <c r="A202" s="4">
        <v>201</v>
      </c>
      <c r="B202" s="5">
        <v>2294</v>
      </c>
      <c r="C202" s="5" t="s">
        <v>250</v>
      </c>
      <c r="D202" s="5" t="s">
        <v>88</v>
      </c>
      <c r="E202" s="5" t="s">
        <v>39</v>
      </c>
      <c r="F202" s="5" t="s">
        <v>107</v>
      </c>
      <c r="G202" s="25">
        <v>45569</v>
      </c>
      <c r="H202" s="6" t="s">
        <v>12</v>
      </c>
      <c r="I202" s="6" t="s">
        <v>13</v>
      </c>
      <c r="J202" s="7" t="s">
        <v>14</v>
      </c>
      <c r="K202" s="7" t="s">
        <v>14</v>
      </c>
      <c r="L202" s="10">
        <v>0.33680555555555558</v>
      </c>
      <c r="M202" s="10">
        <v>0.36736111111111114</v>
      </c>
      <c r="N202" s="10">
        <v>0.37638888888888888</v>
      </c>
      <c r="O202" s="10">
        <v>0.36875000000000002</v>
      </c>
      <c r="P202" s="6" t="s">
        <v>13</v>
      </c>
      <c r="Q202" s="10">
        <v>0.37708333333333333</v>
      </c>
      <c r="R202" s="10">
        <v>0.37569444444444444</v>
      </c>
      <c r="S202" s="10">
        <v>0.37847222222222221</v>
      </c>
      <c r="T202" s="10">
        <v>0.37708333333333333</v>
      </c>
      <c r="U202" s="10">
        <v>0.39097222222222222</v>
      </c>
      <c r="V202" s="7" t="s">
        <v>14</v>
      </c>
      <c r="W202" s="6" t="s">
        <v>13</v>
      </c>
      <c r="X202" s="10">
        <v>0.37430555555555556</v>
      </c>
      <c r="Y202" s="10">
        <v>0.37569444444444444</v>
      </c>
      <c r="Z202" s="10">
        <v>0.37847222222222221</v>
      </c>
      <c r="AA202" s="10">
        <v>0.37708333333333333</v>
      </c>
      <c r="AB202" s="10">
        <v>0.37708333333333333</v>
      </c>
      <c r="AC202" s="10">
        <v>0.36319444444444443</v>
      </c>
      <c r="AD202" s="6" t="s">
        <v>13</v>
      </c>
      <c r="AE202" s="10">
        <v>0.37638888888888888</v>
      </c>
      <c r="AF202" s="10">
        <v>0.37291666666666667</v>
      </c>
      <c r="AG202" s="10">
        <v>0.33263888888888887</v>
      </c>
      <c r="AH202" s="10">
        <v>0.37847222222222221</v>
      </c>
      <c r="AI202" s="10">
        <v>0.37708333333333333</v>
      </c>
      <c r="AJ202" s="10">
        <v>0.37847222222222221</v>
      </c>
      <c r="AK202" s="6" t="s">
        <v>13</v>
      </c>
      <c r="AL202" s="3"/>
      <c r="AM202" s="3"/>
      <c r="AN202" s="3"/>
      <c r="AO202" s="3"/>
      <c r="AP202" s="3"/>
    </row>
    <row r="203" spans="1:42" ht="15" x14ac:dyDescent="0.2">
      <c r="A203" s="4">
        <v>202</v>
      </c>
      <c r="B203" s="5">
        <v>2296</v>
      </c>
      <c r="C203" s="5" t="s">
        <v>251</v>
      </c>
      <c r="D203" s="5" t="s">
        <v>19</v>
      </c>
      <c r="E203" s="5" t="s">
        <v>24</v>
      </c>
      <c r="F203" s="5" t="s">
        <v>107</v>
      </c>
      <c r="G203" s="25">
        <v>45511</v>
      </c>
      <c r="H203" s="6" t="s">
        <v>12</v>
      </c>
      <c r="I203" s="6" t="s">
        <v>13</v>
      </c>
      <c r="J203" s="9">
        <v>0.36249999999999999</v>
      </c>
      <c r="K203" s="10">
        <v>0.35972222222222222</v>
      </c>
      <c r="L203" s="10">
        <v>0.37083333333333335</v>
      </c>
      <c r="M203" s="10">
        <v>0.37361111111111112</v>
      </c>
      <c r="N203" s="10">
        <v>0.37152777777777779</v>
      </c>
      <c r="O203" s="10">
        <v>0.32430555555555557</v>
      </c>
      <c r="P203" s="6" t="s">
        <v>13</v>
      </c>
      <c r="Q203" s="10">
        <v>0.375</v>
      </c>
      <c r="R203" s="10">
        <v>0.37083333333333335</v>
      </c>
      <c r="S203" s="10">
        <v>0.37986111111111109</v>
      </c>
      <c r="T203" s="10">
        <v>0.38472222222222224</v>
      </c>
      <c r="U203" s="10">
        <v>0.37777777777777777</v>
      </c>
      <c r="V203" s="7" t="s">
        <v>14</v>
      </c>
      <c r="W203" s="6" t="s">
        <v>13</v>
      </c>
      <c r="X203" s="10">
        <v>0.37222222222222223</v>
      </c>
      <c r="Y203" s="10">
        <v>0.37986111111111109</v>
      </c>
      <c r="Z203" s="10">
        <v>0.37638888888888888</v>
      </c>
      <c r="AA203" s="10">
        <v>0.37916666666666665</v>
      </c>
      <c r="AB203" s="10">
        <v>0.40902777777777777</v>
      </c>
      <c r="AC203" s="10">
        <v>0.19444444444444445</v>
      </c>
      <c r="AD203" s="6" t="s">
        <v>13</v>
      </c>
      <c r="AE203" s="10">
        <v>0.38541666666666669</v>
      </c>
      <c r="AF203" s="10">
        <v>0.37569444444444444</v>
      </c>
      <c r="AG203" s="10">
        <v>0.37222222222222223</v>
      </c>
      <c r="AH203" s="10">
        <v>0.37430555555555556</v>
      </c>
      <c r="AI203" s="10">
        <v>0.37916666666666665</v>
      </c>
      <c r="AJ203" s="10">
        <v>0.37569444444444444</v>
      </c>
      <c r="AK203" s="6" t="s">
        <v>13</v>
      </c>
      <c r="AL203" s="3"/>
      <c r="AM203" s="3"/>
      <c r="AN203" s="3"/>
      <c r="AO203" s="3"/>
      <c r="AP203" s="3"/>
    </row>
    <row r="204" spans="1:42" ht="15" x14ac:dyDescent="0.2">
      <c r="A204" s="4">
        <v>203</v>
      </c>
      <c r="B204" s="5">
        <v>2298</v>
      </c>
      <c r="C204" s="5" t="s">
        <v>252</v>
      </c>
      <c r="D204" s="5" t="s">
        <v>19</v>
      </c>
      <c r="E204" s="5" t="s">
        <v>28</v>
      </c>
      <c r="F204" s="5" t="s">
        <v>107</v>
      </c>
      <c r="G204" s="8">
        <v>45586</v>
      </c>
      <c r="H204" s="6" t="s">
        <v>12</v>
      </c>
      <c r="I204" s="6" t="s">
        <v>13</v>
      </c>
      <c r="J204" s="9">
        <v>0.33819444444444446</v>
      </c>
      <c r="K204" s="7" t="s">
        <v>14</v>
      </c>
      <c r="L204" s="10">
        <v>0</v>
      </c>
      <c r="M204" s="10">
        <v>0.37361111111111112</v>
      </c>
      <c r="N204" s="10">
        <v>0.37430555555555556</v>
      </c>
      <c r="O204" s="10">
        <v>0.37291666666666667</v>
      </c>
      <c r="P204" s="6" t="s">
        <v>13</v>
      </c>
      <c r="Q204" s="10">
        <v>0.37430555555555556</v>
      </c>
      <c r="R204" s="10">
        <v>0.37291666666666667</v>
      </c>
      <c r="S204" s="10">
        <v>0.37777777777777777</v>
      </c>
      <c r="T204" s="10">
        <v>0.375</v>
      </c>
      <c r="U204" s="10">
        <v>0.37569444444444444</v>
      </c>
      <c r="V204" s="10">
        <v>0</v>
      </c>
      <c r="W204" s="6" t="s">
        <v>13</v>
      </c>
      <c r="X204" s="10">
        <v>0.37152777777777779</v>
      </c>
      <c r="Y204" s="10">
        <v>0.37361111111111112</v>
      </c>
      <c r="Z204" s="10">
        <v>0.37638888888888888</v>
      </c>
      <c r="AA204" s="10">
        <v>0.375</v>
      </c>
      <c r="AB204" s="10">
        <v>0.36944444444444446</v>
      </c>
      <c r="AC204" s="7" t="s">
        <v>14</v>
      </c>
      <c r="AD204" s="6" t="s">
        <v>13</v>
      </c>
      <c r="AE204" s="10">
        <v>0.37291666666666667</v>
      </c>
      <c r="AF204" s="7" t="s">
        <v>14</v>
      </c>
      <c r="AG204" s="10">
        <v>0.37430555555555556</v>
      </c>
      <c r="AH204" s="10">
        <v>0.37083333333333335</v>
      </c>
      <c r="AI204" s="10">
        <v>0.37291666666666667</v>
      </c>
      <c r="AJ204" s="10">
        <v>0.37430555555555556</v>
      </c>
      <c r="AK204" s="6" t="s">
        <v>13</v>
      </c>
      <c r="AL204" s="3"/>
      <c r="AM204" s="3"/>
      <c r="AN204" s="3"/>
      <c r="AO204" s="3"/>
      <c r="AP204" s="3"/>
    </row>
    <row r="205" spans="1:42" ht="15" x14ac:dyDescent="0.2">
      <c r="A205" s="4">
        <v>204</v>
      </c>
      <c r="B205" s="5">
        <v>2299</v>
      </c>
      <c r="C205" s="5" t="s">
        <v>253</v>
      </c>
      <c r="D205" s="5" t="s">
        <v>19</v>
      </c>
      <c r="E205" s="5" t="s">
        <v>45</v>
      </c>
      <c r="F205" s="5" t="s">
        <v>107</v>
      </c>
      <c r="G205" s="8">
        <v>45586</v>
      </c>
      <c r="H205" s="6" t="s">
        <v>12</v>
      </c>
      <c r="I205" s="6" t="s">
        <v>13</v>
      </c>
      <c r="J205" s="9">
        <v>0.39930555555555558</v>
      </c>
      <c r="K205" s="10">
        <v>0.39305555555555555</v>
      </c>
      <c r="L205" s="10">
        <v>0.37708333333333333</v>
      </c>
      <c r="M205" s="10">
        <v>0.3263888888888889</v>
      </c>
      <c r="N205" s="10">
        <v>0.34652777777777777</v>
      </c>
      <c r="O205" s="10">
        <v>0.31805555555555554</v>
      </c>
      <c r="P205" s="6" t="s">
        <v>13</v>
      </c>
      <c r="Q205" s="10">
        <v>0.36944444444444446</v>
      </c>
      <c r="R205" s="10">
        <v>0.35833333333333334</v>
      </c>
      <c r="S205" s="10">
        <v>0.36875000000000002</v>
      </c>
      <c r="T205" s="10">
        <v>0.16458333333333333</v>
      </c>
      <c r="U205" s="7" t="s">
        <v>14</v>
      </c>
      <c r="V205" s="10">
        <v>0.37569444444444444</v>
      </c>
      <c r="W205" s="6" t="s">
        <v>13</v>
      </c>
      <c r="X205" s="10">
        <v>0.3298611111111111</v>
      </c>
      <c r="Y205" s="10">
        <v>0</v>
      </c>
      <c r="Z205" s="7" t="s">
        <v>14</v>
      </c>
      <c r="AA205" s="10">
        <v>0</v>
      </c>
      <c r="AB205" s="10">
        <v>0.34236111111111112</v>
      </c>
      <c r="AC205" s="10">
        <v>0.37291666666666667</v>
      </c>
      <c r="AD205" s="6" t="s">
        <v>13</v>
      </c>
      <c r="AE205" s="10">
        <v>0.375</v>
      </c>
      <c r="AF205" s="10">
        <v>0.34027777777777779</v>
      </c>
      <c r="AG205" s="7" t="s">
        <v>14</v>
      </c>
      <c r="AH205" s="10">
        <v>0.37013888888888891</v>
      </c>
      <c r="AI205" s="10">
        <v>0.37083333333333335</v>
      </c>
      <c r="AJ205" s="10">
        <v>0.32916666666666666</v>
      </c>
      <c r="AK205" s="6" t="s">
        <v>13</v>
      </c>
      <c r="AL205" s="3"/>
      <c r="AM205" s="3"/>
      <c r="AN205" s="3"/>
      <c r="AO205" s="3"/>
      <c r="AP205" s="3"/>
    </row>
    <row r="206" spans="1:42" ht="15" x14ac:dyDescent="0.2">
      <c r="A206" s="4">
        <v>205</v>
      </c>
      <c r="B206" s="5">
        <v>2301</v>
      </c>
      <c r="C206" s="5" t="s">
        <v>254</v>
      </c>
      <c r="D206" s="5" t="s">
        <v>44</v>
      </c>
      <c r="E206" s="5" t="s">
        <v>24</v>
      </c>
      <c r="F206" s="5" t="s">
        <v>107</v>
      </c>
      <c r="G206" s="25">
        <v>45506</v>
      </c>
      <c r="H206" s="6" t="s">
        <v>12</v>
      </c>
      <c r="I206" s="6" t="s">
        <v>13</v>
      </c>
      <c r="J206" s="7" t="s">
        <v>14</v>
      </c>
      <c r="K206" s="10">
        <v>0.38819444444444445</v>
      </c>
      <c r="L206" s="10">
        <v>0.42222222222222222</v>
      </c>
      <c r="M206" s="10">
        <v>0.34861111111111109</v>
      </c>
      <c r="N206" s="10">
        <v>0.33680555555555558</v>
      </c>
      <c r="O206" s="7" t="s">
        <v>14</v>
      </c>
      <c r="P206" s="6" t="s">
        <v>13</v>
      </c>
      <c r="Q206" s="10">
        <v>0</v>
      </c>
      <c r="R206" s="10">
        <v>0.38750000000000001</v>
      </c>
      <c r="S206" s="10">
        <v>0.3527777777777778</v>
      </c>
      <c r="T206" s="10">
        <v>0.36875000000000002</v>
      </c>
      <c r="U206" s="10">
        <v>0.125</v>
      </c>
      <c r="V206" s="10">
        <v>0.36249999999999999</v>
      </c>
      <c r="W206" s="6" t="s">
        <v>13</v>
      </c>
      <c r="X206" s="10">
        <v>0.33819444444444446</v>
      </c>
      <c r="Y206" s="10">
        <v>0.23819444444444443</v>
      </c>
      <c r="Z206" s="7" t="s">
        <v>14</v>
      </c>
      <c r="AA206" s="7" t="s">
        <v>14</v>
      </c>
      <c r="AB206" s="7" t="s">
        <v>14</v>
      </c>
      <c r="AC206" s="7" t="s">
        <v>14</v>
      </c>
      <c r="AD206" s="6" t="s">
        <v>13</v>
      </c>
      <c r="AE206" s="7" t="s">
        <v>14</v>
      </c>
      <c r="AF206" s="7" t="s">
        <v>14</v>
      </c>
      <c r="AG206" s="7" t="s">
        <v>14</v>
      </c>
      <c r="AH206" s="7" t="s">
        <v>14</v>
      </c>
      <c r="AI206" s="7" t="s">
        <v>14</v>
      </c>
      <c r="AJ206" s="7" t="s">
        <v>14</v>
      </c>
      <c r="AK206" s="6" t="s">
        <v>13</v>
      </c>
      <c r="AL206" s="3"/>
      <c r="AM206" s="3"/>
      <c r="AN206" s="3"/>
      <c r="AO206" s="3"/>
      <c r="AP206" s="3"/>
    </row>
    <row r="207" spans="1:42" ht="15" x14ac:dyDescent="0.2">
      <c r="A207" s="4">
        <v>206</v>
      </c>
      <c r="B207" s="5">
        <v>2303</v>
      </c>
      <c r="C207" s="5" t="s">
        <v>255</v>
      </c>
      <c r="D207" s="5" t="s">
        <v>44</v>
      </c>
      <c r="E207" s="5" t="s">
        <v>39</v>
      </c>
      <c r="F207" s="5" t="s">
        <v>107</v>
      </c>
      <c r="G207" s="25">
        <v>45507</v>
      </c>
      <c r="H207" s="6" t="s">
        <v>12</v>
      </c>
      <c r="I207" s="6" t="s">
        <v>13</v>
      </c>
      <c r="J207" s="9">
        <v>0.37847222222222221</v>
      </c>
      <c r="K207" s="10">
        <v>0.37430555555555556</v>
      </c>
      <c r="L207" s="10">
        <v>0.37430555555555556</v>
      </c>
      <c r="M207" s="10">
        <v>0.36805555555555558</v>
      </c>
      <c r="N207" s="10">
        <v>0.20416666666666666</v>
      </c>
      <c r="O207" s="7" t="s">
        <v>14</v>
      </c>
      <c r="P207" s="6" t="s">
        <v>13</v>
      </c>
      <c r="Q207" s="7" t="s">
        <v>14</v>
      </c>
      <c r="R207" s="10">
        <v>0.31041666666666667</v>
      </c>
      <c r="S207" s="10">
        <v>0.37638888888888888</v>
      </c>
      <c r="T207" s="7" t="s">
        <v>14</v>
      </c>
      <c r="U207" s="10">
        <v>0.37638888888888888</v>
      </c>
      <c r="V207" s="10">
        <v>0.29791666666666666</v>
      </c>
      <c r="W207" s="6" t="s">
        <v>13</v>
      </c>
      <c r="X207" s="7" t="s">
        <v>14</v>
      </c>
      <c r="Y207" s="10">
        <v>0.36805555555555558</v>
      </c>
      <c r="Z207" s="10">
        <v>0.37222222222222223</v>
      </c>
      <c r="AA207" s="10">
        <v>0</v>
      </c>
      <c r="AB207" s="10">
        <v>0.38680555555555557</v>
      </c>
      <c r="AC207" s="10">
        <v>0.30138888888888887</v>
      </c>
      <c r="AD207" s="6" t="s">
        <v>13</v>
      </c>
      <c r="AE207" s="10">
        <v>0.38541666666666669</v>
      </c>
      <c r="AF207" s="10">
        <v>0.37083333333333335</v>
      </c>
      <c r="AG207" s="10">
        <v>0.37986111111111109</v>
      </c>
      <c r="AH207" s="10">
        <v>0.35138888888888886</v>
      </c>
      <c r="AI207" s="10">
        <v>0.16875000000000001</v>
      </c>
      <c r="AJ207" s="7" t="s">
        <v>14</v>
      </c>
      <c r="AK207" s="6" t="s">
        <v>13</v>
      </c>
      <c r="AL207" s="3"/>
      <c r="AM207" s="3"/>
      <c r="AN207" s="3"/>
      <c r="AO207" s="3"/>
      <c r="AP207" s="3"/>
    </row>
    <row r="208" spans="1:42" ht="15" x14ac:dyDescent="0.2">
      <c r="A208" s="4">
        <v>207</v>
      </c>
      <c r="B208" s="5">
        <v>2304</v>
      </c>
      <c r="C208" s="5" t="s">
        <v>256</v>
      </c>
      <c r="D208" s="5" t="s">
        <v>8</v>
      </c>
      <c r="E208" s="5" t="s">
        <v>9</v>
      </c>
      <c r="F208" s="5" t="s">
        <v>107</v>
      </c>
      <c r="G208" s="25">
        <v>45509</v>
      </c>
      <c r="H208" s="6" t="s">
        <v>12</v>
      </c>
      <c r="I208" s="6" t="s">
        <v>13</v>
      </c>
      <c r="J208" s="7" t="s">
        <v>14</v>
      </c>
      <c r="K208" s="7" t="s">
        <v>14</v>
      </c>
      <c r="L208" s="7" t="s">
        <v>14</v>
      </c>
      <c r="M208" s="10">
        <v>0.37013888888888891</v>
      </c>
      <c r="N208" s="7" t="s">
        <v>14</v>
      </c>
      <c r="O208" s="7" t="s">
        <v>14</v>
      </c>
      <c r="P208" s="6" t="s">
        <v>13</v>
      </c>
      <c r="Q208" s="7" t="s">
        <v>14</v>
      </c>
      <c r="R208" s="7" t="s">
        <v>14</v>
      </c>
      <c r="S208" s="7" t="s">
        <v>14</v>
      </c>
      <c r="T208" s="7" t="s">
        <v>14</v>
      </c>
      <c r="U208" s="7" t="s">
        <v>14</v>
      </c>
      <c r="V208" s="7" t="s">
        <v>14</v>
      </c>
      <c r="W208" s="6" t="s">
        <v>13</v>
      </c>
      <c r="X208" s="7" t="s">
        <v>14</v>
      </c>
      <c r="Y208" s="7" t="s">
        <v>14</v>
      </c>
      <c r="Z208" s="7" t="s">
        <v>14</v>
      </c>
      <c r="AA208" s="7" t="s">
        <v>14</v>
      </c>
      <c r="AB208" s="7" t="s">
        <v>14</v>
      </c>
      <c r="AC208" s="7" t="s">
        <v>14</v>
      </c>
      <c r="AD208" s="6" t="s">
        <v>13</v>
      </c>
      <c r="AE208" s="7" t="s">
        <v>14</v>
      </c>
      <c r="AF208" s="7" t="s">
        <v>14</v>
      </c>
      <c r="AG208" s="7" t="s">
        <v>14</v>
      </c>
      <c r="AH208" s="7" t="s">
        <v>14</v>
      </c>
      <c r="AI208" s="7" t="s">
        <v>14</v>
      </c>
      <c r="AJ208" s="7" t="s">
        <v>14</v>
      </c>
      <c r="AK208" s="6" t="s">
        <v>13</v>
      </c>
      <c r="AL208" s="3"/>
      <c r="AM208" s="3"/>
      <c r="AN208" s="3"/>
      <c r="AO208" s="3"/>
      <c r="AP208" s="3"/>
    </row>
    <row r="209" spans="1:42" ht="15" x14ac:dyDescent="0.2">
      <c r="A209" s="4">
        <v>208</v>
      </c>
      <c r="B209" s="5">
        <v>2305</v>
      </c>
      <c r="C209" s="5" t="s">
        <v>257</v>
      </c>
      <c r="D209" s="5" t="s">
        <v>80</v>
      </c>
      <c r="E209" s="5" t="s">
        <v>109</v>
      </c>
      <c r="F209" s="5" t="s">
        <v>89</v>
      </c>
      <c r="G209" s="8">
        <v>45593</v>
      </c>
      <c r="H209" s="6" t="s">
        <v>12</v>
      </c>
      <c r="I209" s="6" t="s">
        <v>13</v>
      </c>
      <c r="J209" s="9">
        <v>0.40138888888888891</v>
      </c>
      <c r="K209" s="10">
        <v>0.39305555555555555</v>
      </c>
      <c r="L209" s="10">
        <v>0.36944444444444446</v>
      </c>
      <c r="M209" s="10">
        <v>0.41805555555555557</v>
      </c>
      <c r="N209" s="10">
        <v>0.28402777777777777</v>
      </c>
      <c r="O209" s="7" t="s">
        <v>14</v>
      </c>
      <c r="P209" s="6" t="s">
        <v>13</v>
      </c>
      <c r="Q209" s="7" t="s">
        <v>14</v>
      </c>
      <c r="R209" s="7" t="s">
        <v>14</v>
      </c>
      <c r="S209" s="7" t="s">
        <v>14</v>
      </c>
      <c r="T209" s="7" t="s">
        <v>14</v>
      </c>
      <c r="U209" s="10">
        <v>0.3888888888888889</v>
      </c>
      <c r="V209" s="7" t="s">
        <v>14</v>
      </c>
      <c r="W209" s="6" t="s">
        <v>13</v>
      </c>
      <c r="X209" s="10">
        <v>0.3972222222222222</v>
      </c>
      <c r="Y209" s="10">
        <v>0.40833333333333333</v>
      </c>
      <c r="Z209" s="7" t="s">
        <v>14</v>
      </c>
      <c r="AA209" s="10">
        <v>0.4284722222222222</v>
      </c>
      <c r="AB209" s="10">
        <v>0.45069444444444445</v>
      </c>
      <c r="AC209" s="7" t="s">
        <v>14</v>
      </c>
      <c r="AD209" s="6" t="s">
        <v>13</v>
      </c>
      <c r="AE209" s="10">
        <v>0.37569444444444444</v>
      </c>
      <c r="AF209" s="10">
        <v>0.3840277777777778</v>
      </c>
      <c r="AG209" s="10">
        <v>0.39930555555555558</v>
      </c>
      <c r="AH209" s="10">
        <v>0.12013888888888889</v>
      </c>
      <c r="AI209" s="10">
        <v>0.34444444444444444</v>
      </c>
      <c r="AJ209" s="10">
        <v>0.3576388888888889</v>
      </c>
      <c r="AK209" s="6" t="s">
        <v>13</v>
      </c>
      <c r="AL209" s="3"/>
      <c r="AM209" s="3"/>
      <c r="AN209" s="3"/>
      <c r="AO209" s="3"/>
      <c r="AP209" s="3"/>
    </row>
    <row r="210" spans="1:42" ht="15" x14ac:dyDescent="0.2">
      <c r="A210" s="4">
        <v>209</v>
      </c>
      <c r="B210" s="5">
        <v>2309</v>
      </c>
      <c r="C210" s="5" t="s">
        <v>85</v>
      </c>
      <c r="D210" s="5" t="s">
        <v>258</v>
      </c>
      <c r="E210" s="5" t="s">
        <v>124</v>
      </c>
      <c r="F210" s="5" t="s">
        <v>259</v>
      </c>
      <c r="G210" s="25">
        <v>45629</v>
      </c>
      <c r="H210" s="6" t="s">
        <v>12</v>
      </c>
      <c r="I210" s="6" t="s">
        <v>13</v>
      </c>
      <c r="J210" s="9">
        <v>0.41180555555555554</v>
      </c>
      <c r="K210" s="10">
        <v>0.38958333333333334</v>
      </c>
      <c r="L210" s="10">
        <v>0.25</v>
      </c>
      <c r="M210" s="10">
        <v>0</v>
      </c>
      <c r="N210" s="10">
        <v>0.37152777777777779</v>
      </c>
      <c r="O210" s="10">
        <v>0.16250000000000001</v>
      </c>
      <c r="P210" s="6" t="s">
        <v>13</v>
      </c>
      <c r="Q210" s="7" t="s">
        <v>14</v>
      </c>
      <c r="R210" s="10">
        <v>0.38680555555555557</v>
      </c>
      <c r="S210" s="10">
        <v>0</v>
      </c>
      <c r="T210" s="10">
        <v>0.42777777777777776</v>
      </c>
      <c r="U210" s="10">
        <v>0.32569444444444445</v>
      </c>
      <c r="V210" s="7" t="s">
        <v>14</v>
      </c>
      <c r="W210" s="6" t="s">
        <v>13</v>
      </c>
      <c r="X210" s="10">
        <v>0.44722222222222224</v>
      </c>
      <c r="Y210" s="10">
        <v>0.44374999999999998</v>
      </c>
      <c r="Z210" s="10">
        <v>0</v>
      </c>
      <c r="AA210" s="10">
        <v>0.42430555555555555</v>
      </c>
      <c r="AB210" s="10">
        <v>0.36736111111111114</v>
      </c>
      <c r="AC210" s="7" t="s">
        <v>14</v>
      </c>
      <c r="AD210" s="6" t="s">
        <v>13</v>
      </c>
      <c r="AE210" s="10">
        <v>0.35833333333333334</v>
      </c>
      <c r="AF210" s="7" t="s">
        <v>14</v>
      </c>
      <c r="AG210" s="10">
        <v>0.37847222222222221</v>
      </c>
      <c r="AH210" s="10">
        <v>0.36249999999999999</v>
      </c>
      <c r="AI210" s="10">
        <v>8.3333333333333329E-2</v>
      </c>
      <c r="AJ210" s="7" t="s">
        <v>14</v>
      </c>
      <c r="AK210" s="6" t="s">
        <v>13</v>
      </c>
      <c r="AL210" s="3"/>
      <c r="AM210" s="3"/>
      <c r="AN210" s="3"/>
      <c r="AO210" s="3"/>
      <c r="AP210" s="3"/>
    </row>
    <row r="211" spans="1:42" ht="15" x14ac:dyDescent="0.2">
      <c r="A211" s="4">
        <v>210</v>
      </c>
      <c r="B211" s="5">
        <v>2310</v>
      </c>
      <c r="C211" s="5" t="s">
        <v>260</v>
      </c>
      <c r="D211" s="5" t="s">
        <v>19</v>
      </c>
      <c r="E211" s="5" t="s">
        <v>39</v>
      </c>
      <c r="F211" s="5" t="s">
        <v>107</v>
      </c>
      <c r="G211" s="25">
        <v>45505</v>
      </c>
      <c r="H211" s="6" t="s">
        <v>12</v>
      </c>
      <c r="I211" s="6" t="s">
        <v>13</v>
      </c>
      <c r="J211" s="7" t="s">
        <v>14</v>
      </c>
      <c r="K211" s="10">
        <v>0.34236111111111112</v>
      </c>
      <c r="L211" s="10">
        <v>0.38055555555555554</v>
      </c>
      <c r="M211" s="10">
        <v>0.36458333333333331</v>
      </c>
      <c r="N211" s="10">
        <v>0.37708333333333333</v>
      </c>
      <c r="O211" s="7" t="s">
        <v>14</v>
      </c>
      <c r="P211" s="6" t="s">
        <v>13</v>
      </c>
      <c r="Q211" s="10">
        <v>0.38472222222222224</v>
      </c>
      <c r="R211" s="10">
        <v>0.36319444444444443</v>
      </c>
      <c r="S211" s="10">
        <v>0.34375</v>
      </c>
      <c r="T211" s="10">
        <v>0.35972222222222222</v>
      </c>
      <c r="U211" s="10">
        <v>0.37013888888888891</v>
      </c>
      <c r="V211" s="10">
        <v>0.37708333333333333</v>
      </c>
      <c r="W211" s="6" t="s">
        <v>13</v>
      </c>
      <c r="X211" s="10">
        <v>0.36944444444444446</v>
      </c>
      <c r="Y211" s="10">
        <v>0.36458333333333331</v>
      </c>
      <c r="Z211" s="7" t="s">
        <v>14</v>
      </c>
      <c r="AA211" s="10">
        <v>0.37569444444444444</v>
      </c>
      <c r="AB211" s="10">
        <v>0.37777777777777777</v>
      </c>
      <c r="AC211" s="10">
        <v>0.36249999999999999</v>
      </c>
      <c r="AD211" s="10">
        <v>0.36527777777777776</v>
      </c>
      <c r="AE211" s="10">
        <v>0.37083333333333335</v>
      </c>
      <c r="AF211" s="10">
        <v>0.37708333333333333</v>
      </c>
      <c r="AG211" s="10">
        <v>0.42291666666666666</v>
      </c>
      <c r="AH211" s="10">
        <v>0.37361111111111112</v>
      </c>
      <c r="AI211" s="10">
        <v>0.46805555555555556</v>
      </c>
      <c r="AJ211" s="7" t="s">
        <v>14</v>
      </c>
      <c r="AK211" s="6" t="s">
        <v>13</v>
      </c>
      <c r="AL211" s="3"/>
      <c r="AM211" s="3"/>
      <c r="AN211" s="3"/>
      <c r="AO211" s="3"/>
      <c r="AP211" s="3"/>
    </row>
    <row r="212" spans="1:42" ht="15" x14ac:dyDescent="0.2">
      <c r="A212" s="4">
        <v>211</v>
      </c>
      <c r="B212" s="5">
        <v>2312</v>
      </c>
      <c r="C212" s="5" t="s">
        <v>261</v>
      </c>
      <c r="D212" s="5" t="s">
        <v>92</v>
      </c>
      <c r="E212" s="5" t="s">
        <v>24</v>
      </c>
      <c r="F212" s="5" t="s">
        <v>107</v>
      </c>
      <c r="G212" s="25">
        <v>45537</v>
      </c>
      <c r="H212" s="6" t="s">
        <v>12</v>
      </c>
      <c r="I212" s="6" t="s">
        <v>13</v>
      </c>
      <c r="J212" s="9">
        <v>0.35347222222222224</v>
      </c>
      <c r="K212" s="10">
        <v>0.34513888888888888</v>
      </c>
      <c r="L212" s="10">
        <v>0.38263888888888886</v>
      </c>
      <c r="M212" s="10">
        <v>0.38750000000000001</v>
      </c>
      <c r="N212" s="10">
        <v>0.34583333333333333</v>
      </c>
      <c r="O212" s="10">
        <v>0.37430555555555556</v>
      </c>
      <c r="P212" s="6" t="s">
        <v>13</v>
      </c>
      <c r="Q212" s="10">
        <v>0.37638888888888888</v>
      </c>
      <c r="R212" s="10">
        <v>0.38819444444444445</v>
      </c>
      <c r="S212" s="10">
        <v>0.37430555555555556</v>
      </c>
      <c r="T212" s="10">
        <v>0.37569444444444444</v>
      </c>
      <c r="U212" s="10">
        <v>0.39166666666666666</v>
      </c>
      <c r="V212" s="7" t="s">
        <v>14</v>
      </c>
      <c r="W212" s="6" t="s">
        <v>13</v>
      </c>
      <c r="X212" s="10">
        <v>0.38124999999999998</v>
      </c>
      <c r="Y212" s="10">
        <v>0.36805555555555558</v>
      </c>
      <c r="Z212" s="10">
        <v>0.375</v>
      </c>
      <c r="AA212" s="10">
        <v>0.37777777777777777</v>
      </c>
      <c r="AB212" s="10">
        <v>0.39097222222222222</v>
      </c>
      <c r="AC212" s="10">
        <v>0.25972222222222224</v>
      </c>
      <c r="AD212" s="6" t="s">
        <v>13</v>
      </c>
      <c r="AE212" s="10">
        <v>0.3576388888888889</v>
      </c>
      <c r="AF212" s="10">
        <v>0.37083333333333335</v>
      </c>
      <c r="AG212" s="10">
        <v>0.37361111111111112</v>
      </c>
      <c r="AH212" s="10">
        <v>0.37361111111111112</v>
      </c>
      <c r="AI212" s="10">
        <v>0.36458333333333331</v>
      </c>
      <c r="AJ212" s="10">
        <v>0.37638888888888888</v>
      </c>
      <c r="AK212" s="6" t="s">
        <v>13</v>
      </c>
      <c r="AL212" s="3"/>
      <c r="AM212" s="3"/>
      <c r="AN212" s="3"/>
      <c r="AO212" s="3"/>
      <c r="AP212" s="3"/>
    </row>
    <row r="213" spans="1:42" ht="15" x14ac:dyDescent="0.2">
      <c r="A213" s="4">
        <v>212</v>
      </c>
      <c r="B213" s="5">
        <v>2314</v>
      </c>
      <c r="C213" s="5" t="s">
        <v>190</v>
      </c>
      <c r="D213" s="5" t="s">
        <v>83</v>
      </c>
      <c r="E213" s="5" t="s">
        <v>24</v>
      </c>
      <c r="F213" s="5" t="s">
        <v>107</v>
      </c>
      <c r="G213" s="25">
        <v>45540</v>
      </c>
      <c r="H213" s="6" t="s">
        <v>12</v>
      </c>
      <c r="I213" s="6" t="s">
        <v>13</v>
      </c>
      <c r="J213" s="9">
        <v>0.33888888888888891</v>
      </c>
      <c r="K213" s="10">
        <v>0.33541666666666664</v>
      </c>
      <c r="L213" s="10">
        <v>0.37638888888888888</v>
      </c>
      <c r="M213" s="7" t="s">
        <v>14</v>
      </c>
      <c r="N213" s="7" t="s">
        <v>14</v>
      </c>
      <c r="O213" s="10">
        <v>0.37638888888888888</v>
      </c>
      <c r="P213" s="6" t="s">
        <v>13</v>
      </c>
      <c r="Q213" s="10">
        <v>0.37847222222222221</v>
      </c>
      <c r="R213" s="10">
        <v>0.37083333333333335</v>
      </c>
      <c r="S213" s="7" t="s">
        <v>14</v>
      </c>
      <c r="T213" s="10">
        <v>0.32430555555555557</v>
      </c>
      <c r="U213" s="7" t="s">
        <v>14</v>
      </c>
      <c r="V213" s="7" t="s">
        <v>14</v>
      </c>
      <c r="W213" s="6" t="s">
        <v>13</v>
      </c>
      <c r="X213" s="10">
        <v>0.37083333333333335</v>
      </c>
      <c r="Y213" s="7" t="s">
        <v>14</v>
      </c>
      <c r="Z213" s="10">
        <v>0.36944444444444446</v>
      </c>
      <c r="AA213" s="10">
        <v>0.37638888888888888</v>
      </c>
      <c r="AB213" s="10">
        <v>0.375</v>
      </c>
      <c r="AC213" s="7" t="s">
        <v>14</v>
      </c>
      <c r="AD213" s="6" t="s">
        <v>13</v>
      </c>
      <c r="AE213" s="10">
        <v>0.37291666666666667</v>
      </c>
      <c r="AF213" s="10">
        <v>0.37430555555555556</v>
      </c>
      <c r="AG213" s="10">
        <v>0.375</v>
      </c>
      <c r="AH213" s="10">
        <v>0.30694444444444446</v>
      </c>
      <c r="AI213" s="10">
        <v>0.375</v>
      </c>
      <c r="AJ213" s="10">
        <v>0.3034722222222222</v>
      </c>
      <c r="AK213" s="6" t="s">
        <v>13</v>
      </c>
      <c r="AL213" s="3"/>
      <c r="AM213" s="3"/>
      <c r="AN213" s="3"/>
      <c r="AO213" s="3"/>
      <c r="AP213" s="3"/>
    </row>
    <row r="214" spans="1:42" ht="15" x14ac:dyDescent="0.2">
      <c r="A214" s="4">
        <v>213</v>
      </c>
      <c r="B214" s="5">
        <v>2316</v>
      </c>
      <c r="C214" s="5" t="s">
        <v>262</v>
      </c>
      <c r="D214" s="5" t="s">
        <v>8</v>
      </c>
      <c r="E214" s="5" t="s">
        <v>9</v>
      </c>
      <c r="F214" s="5" t="s">
        <v>107</v>
      </c>
      <c r="G214" s="8">
        <v>45467</v>
      </c>
      <c r="H214" s="6" t="s">
        <v>12</v>
      </c>
      <c r="I214" s="6" t="s">
        <v>13</v>
      </c>
      <c r="J214" s="9">
        <v>0.38124999999999998</v>
      </c>
      <c r="K214" s="10">
        <v>0.37291666666666667</v>
      </c>
      <c r="L214" s="10">
        <v>0.39166666666666666</v>
      </c>
      <c r="M214" s="10">
        <v>0.37291666666666667</v>
      </c>
      <c r="N214" s="10">
        <v>0.3576388888888889</v>
      </c>
      <c r="O214" s="10">
        <v>0.35625000000000001</v>
      </c>
      <c r="P214" s="6" t="s">
        <v>13</v>
      </c>
      <c r="Q214" s="10">
        <v>0.35416666666666669</v>
      </c>
      <c r="R214" s="10">
        <v>0.37013888888888891</v>
      </c>
      <c r="S214" s="10">
        <v>0.38472222222222224</v>
      </c>
      <c r="T214" s="10">
        <v>0.38263888888888886</v>
      </c>
      <c r="U214" s="10">
        <v>0.48125000000000001</v>
      </c>
      <c r="V214" s="7" t="s">
        <v>14</v>
      </c>
      <c r="W214" s="6" t="s">
        <v>13</v>
      </c>
      <c r="X214" s="10">
        <v>0.36875000000000002</v>
      </c>
      <c r="Y214" s="10">
        <v>0.36805555555555558</v>
      </c>
      <c r="Z214" s="10">
        <v>0.35694444444444445</v>
      </c>
      <c r="AA214" s="10">
        <v>0.4</v>
      </c>
      <c r="AB214" s="10">
        <v>0.36249999999999999</v>
      </c>
      <c r="AC214" s="10">
        <v>0.35138888888888886</v>
      </c>
      <c r="AD214" s="6" t="s">
        <v>13</v>
      </c>
      <c r="AE214" s="10">
        <v>0.35833333333333334</v>
      </c>
      <c r="AF214" s="10">
        <v>0.36319444444444443</v>
      </c>
      <c r="AG214" s="10">
        <v>0.38124999999999998</v>
      </c>
      <c r="AH214" s="10">
        <v>0.37847222222222221</v>
      </c>
      <c r="AI214" s="10">
        <v>0.40138888888888891</v>
      </c>
      <c r="AJ214" s="10">
        <v>0.40625</v>
      </c>
      <c r="AK214" s="6" t="s">
        <v>13</v>
      </c>
      <c r="AL214" s="3"/>
      <c r="AM214" s="3"/>
      <c r="AN214" s="3"/>
      <c r="AO214" s="3"/>
      <c r="AP214" s="3"/>
    </row>
    <row r="215" spans="1:42" ht="15" x14ac:dyDescent="0.2">
      <c r="A215" s="4">
        <v>214</v>
      </c>
      <c r="B215" s="5">
        <v>2318</v>
      </c>
      <c r="C215" s="5" t="s">
        <v>263</v>
      </c>
      <c r="D215" s="5" t="s">
        <v>77</v>
      </c>
      <c r="E215" s="5" t="s">
        <v>130</v>
      </c>
      <c r="F215" s="5" t="s">
        <v>107</v>
      </c>
      <c r="G215" s="8">
        <v>45468</v>
      </c>
      <c r="H215" s="6" t="s">
        <v>12</v>
      </c>
      <c r="I215" s="6" t="s">
        <v>13</v>
      </c>
      <c r="J215" s="9">
        <v>0.36666666666666664</v>
      </c>
      <c r="K215" s="7" t="s">
        <v>14</v>
      </c>
      <c r="L215" s="10">
        <v>0.37916666666666665</v>
      </c>
      <c r="M215" s="10">
        <v>0.34722222222222221</v>
      </c>
      <c r="N215" s="7" t="s">
        <v>14</v>
      </c>
      <c r="O215" s="10">
        <v>0.37708333333333333</v>
      </c>
      <c r="P215" s="6" t="s">
        <v>13</v>
      </c>
      <c r="Q215" s="10">
        <v>0.39791666666666664</v>
      </c>
      <c r="R215" s="10">
        <v>0.39097222222222222</v>
      </c>
      <c r="S215" s="10">
        <v>0.3923611111111111</v>
      </c>
      <c r="T215" s="10">
        <v>0.34791666666666665</v>
      </c>
      <c r="U215" s="10">
        <v>0.48819444444444443</v>
      </c>
      <c r="V215" s="10">
        <v>0.3659722222222222</v>
      </c>
      <c r="W215" s="6" t="s">
        <v>13</v>
      </c>
      <c r="X215" s="10">
        <v>0.39513888888888887</v>
      </c>
      <c r="Y215" s="10">
        <v>0.36527777777777776</v>
      </c>
      <c r="Z215" s="10">
        <v>0.38819444444444445</v>
      </c>
      <c r="AA215" s="7" t="s">
        <v>14</v>
      </c>
      <c r="AB215" s="10">
        <v>0.34930555555555554</v>
      </c>
      <c r="AC215" s="10">
        <v>0.11736111111111111</v>
      </c>
      <c r="AD215" s="6" t="s">
        <v>13</v>
      </c>
      <c r="AE215" s="10">
        <v>0.36805555555555558</v>
      </c>
      <c r="AF215" s="10">
        <v>0.13750000000000001</v>
      </c>
      <c r="AG215" s="10">
        <v>0.35972222222222222</v>
      </c>
      <c r="AH215" s="10">
        <v>0.34791666666666665</v>
      </c>
      <c r="AI215" s="10">
        <v>0.38958333333333334</v>
      </c>
      <c r="AJ215" s="7" t="s">
        <v>14</v>
      </c>
      <c r="AK215" s="6" t="s">
        <v>13</v>
      </c>
      <c r="AL215" s="3"/>
      <c r="AM215" s="3"/>
      <c r="AN215" s="3"/>
      <c r="AO215" s="3"/>
      <c r="AP215" s="3"/>
    </row>
    <row r="216" spans="1:42" ht="15" x14ac:dyDescent="0.2">
      <c r="A216" s="4">
        <v>215</v>
      </c>
      <c r="B216" s="5">
        <v>2319</v>
      </c>
      <c r="C216" s="5" t="s">
        <v>109</v>
      </c>
      <c r="D216" s="5" t="s">
        <v>41</v>
      </c>
      <c r="E216" s="5" t="s">
        <v>73</v>
      </c>
      <c r="F216" s="5" t="s">
        <v>259</v>
      </c>
      <c r="G216" s="27">
        <v>45672</v>
      </c>
      <c r="H216" s="6" t="s">
        <v>12</v>
      </c>
      <c r="I216" s="6" t="s">
        <v>13</v>
      </c>
      <c r="J216" s="9">
        <v>0</v>
      </c>
      <c r="K216" s="10">
        <v>0.36875000000000002</v>
      </c>
      <c r="L216" s="10">
        <v>0.40902777777777777</v>
      </c>
      <c r="M216" s="10">
        <v>0.375</v>
      </c>
      <c r="N216" s="10">
        <v>0.37152777777777779</v>
      </c>
      <c r="O216" s="10">
        <v>0</v>
      </c>
      <c r="P216" s="6" t="s">
        <v>13</v>
      </c>
      <c r="Q216" s="10">
        <v>0.37430555555555556</v>
      </c>
      <c r="R216" s="7" t="s">
        <v>14</v>
      </c>
      <c r="S216" s="10">
        <v>0.39513888888888887</v>
      </c>
      <c r="T216" s="10">
        <v>0.5180555555555556</v>
      </c>
      <c r="U216" s="7" t="s">
        <v>14</v>
      </c>
      <c r="V216" s="7" t="s">
        <v>14</v>
      </c>
      <c r="W216" s="6" t="s">
        <v>13</v>
      </c>
      <c r="X216" s="10">
        <v>0.38472222222222224</v>
      </c>
      <c r="Y216" s="10">
        <v>0</v>
      </c>
      <c r="Z216" s="10">
        <v>0.36736111111111114</v>
      </c>
      <c r="AA216" s="7" t="s">
        <v>14</v>
      </c>
      <c r="AB216" s="10">
        <v>0.38611111111111113</v>
      </c>
      <c r="AC216" s="7" t="s">
        <v>14</v>
      </c>
      <c r="AD216" s="6" t="s">
        <v>13</v>
      </c>
      <c r="AE216" s="10">
        <v>0.21736111111111112</v>
      </c>
      <c r="AF216" s="10">
        <v>0.38611111111111113</v>
      </c>
      <c r="AG216" s="10">
        <v>0.38541666666666669</v>
      </c>
      <c r="AH216" s="10">
        <v>0.37569444444444444</v>
      </c>
      <c r="AI216" s="7" t="s">
        <v>14</v>
      </c>
      <c r="AJ216" s="10">
        <v>0.33819444444444446</v>
      </c>
      <c r="AK216" s="6" t="s">
        <v>13</v>
      </c>
      <c r="AL216" s="3"/>
      <c r="AM216" s="3"/>
      <c r="AN216" s="3"/>
      <c r="AO216" s="3"/>
      <c r="AP216" s="3"/>
    </row>
    <row r="217" spans="1:42" ht="15" x14ac:dyDescent="0.2">
      <c r="A217" s="4">
        <v>216</v>
      </c>
      <c r="B217" s="5">
        <v>2320</v>
      </c>
      <c r="C217" s="5" t="s">
        <v>264</v>
      </c>
      <c r="D217" s="5" t="s">
        <v>23</v>
      </c>
      <c r="E217" s="5" t="s">
        <v>24</v>
      </c>
      <c r="F217" s="5" t="s">
        <v>107</v>
      </c>
      <c r="G217" s="8">
        <v>45709</v>
      </c>
      <c r="H217" s="6" t="s">
        <v>12</v>
      </c>
      <c r="I217" s="6" t="s">
        <v>13</v>
      </c>
      <c r="J217" s="9">
        <v>0.19375000000000001</v>
      </c>
      <c r="K217" s="10">
        <v>0.34027777777777779</v>
      </c>
      <c r="L217" s="10">
        <v>0.37569444444444444</v>
      </c>
      <c r="M217" s="10">
        <v>0.37013888888888891</v>
      </c>
      <c r="N217" s="10">
        <v>0.37569444444444444</v>
      </c>
      <c r="O217" s="10">
        <v>0.37638888888888888</v>
      </c>
      <c r="P217" s="6" t="s">
        <v>13</v>
      </c>
      <c r="Q217" s="10">
        <v>0.37430555555555556</v>
      </c>
      <c r="R217" s="10">
        <v>0.37083333333333335</v>
      </c>
      <c r="S217" s="10">
        <v>0.37430555555555556</v>
      </c>
      <c r="T217" s="10">
        <v>0.37361111111111112</v>
      </c>
      <c r="U217" s="10">
        <v>0.375</v>
      </c>
      <c r="V217" s="7" t="s">
        <v>14</v>
      </c>
      <c r="W217" s="6" t="s">
        <v>13</v>
      </c>
      <c r="X217" s="10">
        <v>0.37083333333333335</v>
      </c>
      <c r="Y217" s="7" t="s">
        <v>14</v>
      </c>
      <c r="Z217" s="10">
        <v>0.37569444444444444</v>
      </c>
      <c r="AA217" s="10">
        <v>0.37361111111111112</v>
      </c>
      <c r="AB217" s="7" t="s">
        <v>14</v>
      </c>
      <c r="AC217" s="7" t="s">
        <v>14</v>
      </c>
      <c r="AD217" s="6" t="s">
        <v>13</v>
      </c>
      <c r="AE217" s="10">
        <v>0.37222222222222223</v>
      </c>
      <c r="AF217" s="10">
        <v>0.375</v>
      </c>
      <c r="AG217" s="10">
        <v>0.37430555555555556</v>
      </c>
      <c r="AH217" s="10">
        <v>0.37222222222222223</v>
      </c>
      <c r="AI217" s="10">
        <v>0.37638888888888888</v>
      </c>
      <c r="AJ217" s="10">
        <v>0.37708333333333333</v>
      </c>
      <c r="AK217" s="6" t="s">
        <v>13</v>
      </c>
      <c r="AL217" s="3"/>
      <c r="AM217" s="3"/>
      <c r="AN217" s="3"/>
      <c r="AO217" s="3"/>
      <c r="AP217" s="3"/>
    </row>
    <row r="218" spans="1:42" ht="15" x14ac:dyDescent="0.2">
      <c r="A218" s="4">
        <v>217</v>
      </c>
      <c r="B218" s="5">
        <v>2321</v>
      </c>
      <c r="C218" s="5" t="s">
        <v>265</v>
      </c>
      <c r="D218" s="5" t="s">
        <v>8</v>
      </c>
      <c r="E218" s="5" t="s">
        <v>39</v>
      </c>
      <c r="F218" s="5" t="s">
        <v>10</v>
      </c>
      <c r="G218" s="8">
        <v>45467</v>
      </c>
      <c r="H218" s="6" t="s">
        <v>12</v>
      </c>
      <c r="I218" s="6" t="s">
        <v>13</v>
      </c>
      <c r="J218" s="7" t="s">
        <v>14</v>
      </c>
      <c r="K218" s="7" t="s">
        <v>14</v>
      </c>
      <c r="L218" s="7" t="s">
        <v>14</v>
      </c>
      <c r="M218" s="7" t="s">
        <v>14</v>
      </c>
      <c r="N218" s="7" t="s">
        <v>14</v>
      </c>
      <c r="O218" s="7" t="s">
        <v>14</v>
      </c>
      <c r="P218" s="6" t="s">
        <v>13</v>
      </c>
      <c r="Q218" s="10">
        <v>0.3923611111111111</v>
      </c>
      <c r="R218" s="10">
        <v>0.375</v>
      </c>
      <c r="S218" s="10">
        <v>0.37569444444444444</v>
      </c>
      <c r="T218" s="10">
        <v>0.37291666666666667</v>
      </c>
      <c r="U218" s="10">
        <v>0.39027777777777778</v>
      </c>
      <c r="V218" s="10">
        <v>0.39097222222222222</v>
      </c>
      <c r="W218" s="6" t="s">
        <v>13</v>
      </c>
      <c r="X218" s="10">
        <v>0.40694444444444444</v>
      </c>
      <c r="Y218" s="10">
        <v>0.40625</v>
      </c>
      <c r="Z218" s="10">
        <v>0.40277777777777779</v>
      </c>
      <c r="AA218" s="10">
        <v>0.39930555555555558</v>
      </c>
      <c r="AB218" s="10">
        <v>0.40902777777777777</v>
      </c>
      <c r="AC218" s="10">
        <v>0.3840277777777778</v>
      </c>
      <c r="AD218" s="6" t="s">
        <v>13</v>
      </c>
      <c r="AE218" s="10">
        <v>0.39374999999999999</v>
      </c>
      <c r="AF218" s="10">
        <v>0.39652777777777776</v>
      </c>
      <c r="AG218" s="10">
        <v>0.3972222222222222</v>
      </c>
      <c r="AH218" s="10">
        <v>0.41041666666666665</v>
      </c>
      <c r="AI218" s="10">
        <v>0.37847222222222221</v>
      </c>
      <c r="AJ218" s="10">
        <v>0.37222222222222223</v>
      </c>
      <c r="AK218" s="6" t="s">
        <v>13</v>
      </c>
      <c r="AL218" s="3"/>
      <c r="AM218" s="3"/>
      <c r="AN218" s="3"/>
      <c r="AO218" s="3"/>
      <c r="AP218" s="3"/>
    </row>
    <row r="219" spans="1:42" ht="15" x14ac:dyDescent="0.2">
      <c r="A219" s="4">
        <v>218</v>
      </c>
      <c r="B219" s="5">
        <v>2322</v>
      </c>
      <c r="C219" s="5" t="s">
        <v>266</v>
      </c>
      <c r="D219" s="5" t="s">
        <v>77</v>
      </c>
      <c r="E219" s="5" t="s">
        <v>130</v>
      </c>
      <c r="F219" s="5" t="s">
        <v>267</v>
      </c>
      <c r="G219" s="26">
        <v>45434</v>
      </c>
      <c r="H219" s="6" t="s">
        <v>12</v>
      </c>
      <c r="I219" s="6" t="s">
        <v>13</v>
      </c>
      <c r="J219" s="9">
        <v>0.40069444444444446</v>
      </c>
      <c r="K219" s="10">
        <v>0.40763888888888888</v>
      </c>
      <c r="L219" s="10">
        <v>0.44305555555555554</v>
      </c>
      <c r="M219" s="10">
        <v>0.42430555555555555</v>
      </c>
      <c r="N219" s="10">
        <v>0.41944444444444445</v>
      </c>
      <c r="O219" s="7" t="s">
        <v>14</v>
      </c>
      <c r="P219" s="6" t="s">
        <v>13</v>
      </c>
      <c r="Q219" s="10">
        <v>0.34930555555555554</v>
      </c>
      <c r="R219" s="10">
        <v>0.39166666666666666</v>
      </c>
      <c r="S219" s="10">
        <v>0.40138888888888891</v>
      </c>
      <c r="T219" s="10">
        <v>0.37847222222222221</v>
      </c>
      <c r="U219" s="10">
        <v>0.48958333333333331</v>
      </c>
      <c r="V219" s="10">
        <v>0.3972222222222222</v>
      </c>
      <c r="W219" s="6" t="s">
        <v>13</v>
      </c>
      <c r="X219" s="10">
        <v>0.39513888888888887</v>
      </c>
      <c r="Y219" s="10">
        <v>0.38194444444444442</v>
      </c>
      <c r="Z219" s="7" t="s">
        <v>14</v>
      </c>
      <c r="AA219" s="10">
        <v>0.40833333333333333</v>
      </c>
      <c r="AB219" s="10">
        <v>0.43125000000000002</v>
      </c>
      <c r="AC219" s="10">
        <v>0.38958333333333334</v>
      </c>
      <c r="AD219" s="6" t="s">
        <v>13</v>
      </c>
      <c r="AE219" s="10">
        <v>0.41111111111111109</v>
      </c>
      <c r="AF219" s="10">
        <v>0.40069444444444446</v>
      </c>
      <c r="AG219" s="10">
        <v>0.32500000000000001</v>
      </c>
      <c r="AH219" s="10">
        <v>0.3840277777777778</v>
      </c>
      <c r="AI219" s="10">
        <v>0.38333333333333336</v>
      </c>
      <c r="AJ219" s="10">
        <v>0.36458333333333331</v>
      </c>
      <c r="AK219" s="6" t="s">
        <v>13</v>
      </c>
      <c r="AL219" s="3"/>
      <c r="AM219" s="3"/>
      <c r="AN219" s="3"/>
      <c r="AO219" s="3"/>
      <c r="AP219" s="3"/>
    </row>
    <row r="220" spans="1:42" ht="15" x14ac:dyDescent="0.2">
      <c r="A220" s="4">
        <v>219</v>
      </c>
      <c r="B220" s="5">
        <v>2323</v>
      </c>
      <c r="C220" s="5" t="s">
        <v>35</v>
      </c>
      <c r="D220" s="5" t="s">
        <v>44</v>
      </c>
      <c r="E220" s="5" t="s">
        <v>28</v>
      </c>
      <c r="F220" s="5" t="s">
        <v>107</v>
      </c>
      <c r="G220" s="8">
        <v>45499</v>
      </c>
      <c r="H220" s="6" t="s">
        <v>12</v>
      </c>
      <c r="I220" s="6" t="s">
        <v>13</v>
      </c>
      <c r="J220" s="9">
        <v>0.34097222222222223</v>
      </c>
      <c r="K220" s="10">
        <v>0.35625000000000001</v>
      </c>
      <c r="L220" s="10">
        <v>0.37777777777777777</v>
      </c>
      <c r="M220" s="10">
        <v>0.37013888888888891</v>
      </c>
      <c r="N220" s="10">
        <v>0.37777777777777777</v>
      </c>
      <c r="O220" s="10">
        <v>0.375</v>
      </c>
      <c r="P220" s="6" t="s">
        <v>13</v>
      </c>
      <c r="Q220" s="10">
        <v>0.36875000000000002</v>
      </c>
      <c r="R220" s="10">
        <v>0.36249999999999999</v>
      </c>
      <c r="S220" s="10">
        <v>0.3840277777777778</v>
      </c>
      <c r="T220" s="10">
        <v>0.32708333333333334</v>
      </c>
      <c r="U220" s="10">
        <v>0.37361111111111112</v>
      </c>
      <c r="V220" s="7" t="s">
        <v>14</v>
      </c>
      <c r="W220" s="6" t="s">
        <v>13</v>
      </c>
      <c r="X220" s="10">
        <v>0.37222222222222223</v>
      </c>
      <c r="Y220" s="10">
        <v>0.3611111111111111</v>
      </c>
      <c r="Z220" s="10">
        <v>0.37916666666666665</v>
      </c>
      <c r="AA220" s="10">
        <v>0.37291666666666667</v>
      </c>
      <c r="AB220" s="10">
        <v>0.37430555555555556</v>
      </c>
      <c r="AC220" s="10">
        <v>0.36875000000000002</v>
      </c>
      <c r="AD220" s="6" t="s">
        <v>13</v>
      </c>
      <c r="AE220" s="10">
        <v>0.22916666666666666</v>
      </c>
      <c r="AF220" s="10">
        <v>0.3659722222222222</v>
      </c>
      <c r="AG220" s="10">
        <v>0.39444444444444443</v>
      </c>
      <c r="AH220" s="10">
        <v>0.29166666666666669</v>
      </c>
      <c r="AI220" s="10">
        <v>0.3527777777777778</v>
      </c>
      <c r="AJ220" s="10">
        <v>0.33263888888888887</v>
      </c>
      <c r="AK220" s="6" t="s">
        <v>13</v>
      </c>
      <c r="AL220" s="3"/>
      <c r="AM220" s="3"/>
      <c r="AN220" s="3"/>
      <c r="AO220" s="3"/>
      <c r="AP220" s="3"/>
    </row>
    <row r="221" spans="1:42" ht="15" x14ac:dyDescent="0.2">
      <c r="A221" s="4">
        <v>220</v>
      </c>
      <c r="B221" s="5">
        <v>2325</v>
      </c>
      <c r="C221" s="5" t="s">
        <v>268</v>
      </c>
      <c r="D221" s="5" t="s">
        <v>44</v>
      </c>
      <c r="E221" s="5" t="s">
        <v>39</v>
      </c>
      <c r="F221" s="5" t="s">
        <v>107</v>
      </c>
      <c r="G221" s="8">
        <v>45499</v>
      </c>
      <c r="H221" s="6" t="s">
        <v>12</v>
      </c>
      <c r="I221" s="6" t="s">
        <v>13</v>
      </c>
      <c r="J221" s="9">
        <v>0.38263888888888886</v>
      </c>
      <c r="K221" s="7" t="s">
        <v>14</v>
      </c>
      <c r="L221" s="10">
        <v>0.36736111111111114</v>
      </c>
      <c r="M221" s="10">
        <v>0.37777777777777777</v>
      </c>
      <c r="N221" s="10">
        <v>0.33333333333333331</v>
      </c>
      <c r="O221" s="7" t="s">
        <v>14</v>
      </c>
      <c r="P221" s="6" t="s">
        <v>13</v>
      </c>
      <c r="Q221" s="10">
        <v>0.34652777777777777</v>
      </c>
      <c r="R221" s="10">
        <v>0.36388888888888887</v>
      </c>
      <c r="S221" s="10">
        <v>0.36875000000000002</v>
      </c>
      <c r="T221" s="7" t="s">
        <v>14</v>
      </c>
      <c r="U221" s="10">
        <v>0.36249999999999999</v>
      </c>
      <c r="V221" s="7" t="s">
        <v>14</v>
      </c>
      <c r="W221" s="6" t="s">
        <v>13</v>
      </c>
      <c r="X221" s="10">
        <v>0.37777777777777777</v>
      </c>
      <c r="Y221" s="10">
        <v>0.36527777777777776</v>
      </c>
      <c r="Z221" s="10">
        <v>0.34583333333333333</v>
      </c>
      <c r="AA221" s="10">
        <v>0.37638888888888888</v>
      </c>
      <c r="AB221" s="10">
        <v>0.37638888888888888</v>
      </c>
      <c r="AC221" s="7" t="s">
        <v>14</v>
      </c>
      <c r="AD221" s="6" t="s">
        <v>13</v>
      </c>
      <c r="AE221" s="10">
        <v>0.37847222222222221</v>
      </c>
      <c r="AF221" s="10">
        <v>0.35694444444444445</v>
      </c>
      <c r="AG221" s="10">
        <v>0.375</v>
      </c>
      <c r="AH221" s="10">
        <v>0.36666666666666664</v>
      </c>
      <c r="AI221" s="10">
        <v>0.37986111111111109</v>
      </c>
      <c r="AJ221" s="7" t="s">
        <v>14</v>
      </c>
      <c r="AK221" s="6" t="s">
        <v>13</v>
      </c>
      <c r="AL221" s="3"/>
      <c r="AM221" s="3"/>
      <c r="AN221" s="3"/>
      <c r="AO221" s="3"/>
      <c r="AP221" s="3"/>
    </row>
    <row r="222" spans="1:42" ht="15" x14ac:dyDescent="0.2">
      <c r="A222" s="4">
        <v>221</v>
      </c>
      <c r="B222" s="5">
        <v>2326</v>
      </c>
      <c r="C222" s="5" t="s">
        <v>269</v>
      </c>
      <c r="D222" s="5" t="s">
        <v>136</v>
      </c>
      <c r="E222" s="5" t="s">
        <v>137</v>
      </c>
      <c r="F222" s="5" t="s">
        <v>107</v>
      </c>
      <c r="G222" s="8">
        <v>45551</v>
      </c>
      <c r="H222" s="6" t="s">
        <v>12</v>
      </c>
      <c r="I222" s="6" t="s">
        <v>13</v>
      </c>
      <c r="J222" s="7" t="s">
        <v>14</v>
      </c>
      <c r="K222" s="7" t="s">
        <v>14</v>
      </c>
      <c r="L222" s="7" t="s">
        <v>14</v>
      </c>
      <c r="M222" s="7" t="s">
        <v>14</v>
      </c>
      <c r="N222" s="7" t="s">
        <v>14</v>
      </c>
      <c r="O222" s="7" t="s">
        <v>14</v>
      </c>
      <c r="P222" s="6" t="s">
        <v>13</v>
      </c>
      <c r="Q222" s="7" t="s">
        <v>14</v>
      </c>
      <c r="R222" s="7" t="s">
        <v>14</v>
      </c>
      <c r="S222" s="7" t="s">
        <v>14</v>
      </c>
      <c r="T222" s="7" t="s">
        <v>14</v>
      </c>
      <c r="U222" s="7" t="s">
        <v>14</v>
      </c>
      <c r="V222" s="7" t="s">
        <v>14</v>
      </c>
      <c r="W222" s="6" t="s">
        <v>13</v>
      </c>
      <c r="X222" s="7" t="s">
        <v>14</v>
      </c>
      <c r="Y222" s="7" t="s">
        <v>14</v>
      </c>
      <c r="Z222" s="7" t="s">
        <v>14</v>
      </c>
      <c r="AA222" s="7" t="s">
        <v>14</v>
      </c>
      <c r="AB222" s="7" t="s">
        <v>14</v>
      </c>
      <c r="AC222" s="7" t="s">
        <v>14</v>
      </c>
      <c r="AD222" s="6" t="s">
        <v>13</v>
      </c>
      <c r="AE222" s="10">
        <v>0.38263888888888886</v>
      </c>
      <c r="AF222" s="10">
        <v>0.37083333333333335</v>
      </c>
      <c r="AG222" s="10">
        <v>0.39097222222222222</v>
      </c>
      <c r="AH222" s="10">
        <v>0.37361111111111112</v>
      </c>
      <c r="AI222" s="7" t="s">
        <v>14</v>
      </c>
      <c r="AJ222" s="7" t="s">
        <v>14</v>
      </c>
      <c r="AK222" s="6" t="s">
        <v>13</v>
      </c>
      <c r="AL222" s="3"/>
      <c r="AM222" s="3"/>
      <c r="AN222" s="3"/>
      <c r="AO222" s="3"/>
      <c r="AP222" s="3"/>
    </row>
    <row r="223" spans="1:42" ht="15" x14ac:dyDescent="0.2">
      <c r="A223" s="4">
        <v>222</v>
      </c>
      <c r="B223" s="5">
        <v>2328</v>
      </c>
      <c r="C223" s="5" t="s">
        <v>270</v>
      </c>
      <c r="D223" s="5" t="s">
        <v>136</v>
      </c>
      <c r="E223" s="5" t="s">
        <v>137</v>
      </c>
      <c r="F223" s="5" t="s">
        <v>107</v>
      </c>
      <c r="G223" s="25">
        <v>45568</v>
      </c>
      <c r="H223" s="6" t="s">
        <v>12</v>
      </c>
      <c r="I223" s="6" t="s">
        <v>13</v>
      </c>
      <c r="J223" s="9">
        <v>0.34583333333333333</v>
      </c>
      <c r="K223" s="10">
        <v>0.38263888888888886</v>
      </c>
      <c r="L223" s="10">
        <v>0.38194444444444442</v>
      </c>
      <c r="M223" s="10">
        <v>0.41388888888888886</v>
      </c>
      <c r="N223" s="10">
        <v>0.33680555555555558</v>
      </c>
      <c r="O223" s="7" t="s">
        <v>14</v>
      </c>
      <c r="P223" s="6" t="s">
        <v>13</v>
      </c>
      <c r="Q223" s="10">
        <v>0.34305555555555556</v>
      </c>
      <c r="R223" s="10">
        <v>0.37430555555555556</v>
      </c>
      <c r="S223" s="10">
        <v>0.37569444444444444</v>
      </c>
      <c r="T223" s="10">
        <v>0.38611111111111113</v>
      </c>
      <c r="U223" s="10">
        <v>0.40416666666666667</v>
      </c>
      <c r="V223" s="7" t="s">
        <v>14</v>
      </c>
      <c r="W223" s="6" t="s">
        <v>13</v>
      </c>
      <c r="X223" s="10">
        <v>0.36180555555555555</v>
      </c>
      <c r="Y223" s="10">
        <v>0.30555555555555558</v>
      </c>
      <c r="Z223" s="10">
        <v>0.37638888888888888</v>
      </c>
      <c r="AA223" s="7" t="s">
        <v>14</v>
      </c>
      <c r="AB223" s="7" t="s">
        <v>14</v>
      </c>
      <c r="AC223" s="7" t="s">
        <v>14</v>
      </c>
      <c r="AD223" s="6" t="s">
        <v>13</v>
      </c>
      <c r="AE223" s="7" t="s">
        <v>14</v>
      </c>
      <c r="AF223" s="10">
        <v>0.2986111111111111</v>
      </c>
      <c r="AG223" s="10">
        <v>0.38194444444444442</v>
      </c>
      <c r="AH223" s="10">
        <v>0.37708333333333333</v>
      </c>
      <c r="AI223" s="10">
        <v>0.37013888888888891</v>
      </c>
      <c r="AJ223" s="10">
        <v>0.38194444444444442</v>
      </c>
      <c r="AK223" s="6" t="s">
        <v>13</v>
      </c>
      <c r="AL223" s="3"/>
      <c r="AM223" s="3"/>
      <c r="AN223" s="3"/>
      <c r="AO223" s="3"/>
      <c r="AP223" s="3"/>
    </row>
    <row r="224" spans="1:42" ht="15" x14ac:dyDescent="0.2">
      <c r="A224" s="4">
        <v>223</v>
      </c>
      <c r="B224" s="5">
        <v>2329</v>
      </c>
      <c r="C224" s="5" t="s">
        <v>271</v>
      </c>
      <c r="D224" s="5" t="s">
        <v>272</v>
      </c>
      <c r="E224" s="5" t="s">
        <v>24</v>
      </c>
      <c r="F224" s="5" t="s">
        <v>107</v>
      </c>
      <c r="G224" s="8">
        <v>45726</v>
      </c>
      <c r="H224" s="6" t="s">
        <v>12</v>
      </c>
      <c r="I224" s="6" t="s">
        <v>13</v>
      </c>
      <c r="J224" s="9">
        <v>0.25486111111111109</v>
      </c>
      <c r="K224" s="10">
        <v>0.32500000000000001</v>
      </c>
      <c r="L224" s="10">
        <v>0.28263888888888888</v>
      </c>
      <c r="M224" s="10">
        <v>0.36458333333333331</v>
      </c>
      <c r="N224" s="10">
        <v>0.32708333333333334</v>
      </c>
      <c r="O224" s="10">
        <v>0.33124999999999999</v>
      </c>
      <c r="P224" s="6" t="s">
        <v>13</v>
      </c>
      <c r="Q224" s="7" t="s">
        <v>14</v>
      </c>
      <c r="R224" s="10">
        <v>0.32569444444444445</v>
      </c>
      <c r="S224" s="10">
        <v>0.26805555555555555</v>
      </c>
      <c r="T224" s="10">
        <v>0.32291666666666669</v>
      </c>
      <c r="U224" s="7" t="s">
        <v>14</v>
      </c>
      <c r="V224" s="10">
        <v>0.27569444444444446</v>
      </c>
      <c r="W224" s="6" t="s">
        <v>13</v>
      </c>
      <c r="X224" s="10">
        <v>0.2902777777777778</v>
      </c>
      <c r="Y224" s="10">
        <v>0.38124999999999998</v>
      </c>
      <c r="Z224" s="10">
        <v>0.32083333333333336</v>
      </c>
      <c r="AA224" s="10">
        <v>0.31041666666666667</v>
      </c>
      <c r="AB224" s="10">
        <v>0.29305555555555557</v>
      </c>
      <c r="AC224" s="7" t="s">
        <v>14</v>
      </c>
      <c r="AD224" s="6" t="s">
        <v>13</v>
      </c>
      <c r="AE224" s="10">
        <v>0.32569444444444445</v>
      </c>
      <c r="AF224" s="10">
        <v>0.30416666666666664</v>
      </c>
      <c r="AG224" s="10">
        <v>0.34722222222222221</v>
      </c>
      <c r="AH224" s="10">
        <v>0.3125</v>
      </c>
      <c r="AI224" s="10">
        <v>0.36458333333333331</v>
      </c>
      <c r="AJ224" s="10">
        <v>0.34444444444444444</v>
      </c>
      <c r="AK224" s="6" t="s">
        <v>13</v>
      </c>
      <c r="AL224" s="3"/>
      <c r="AM224" s="3"/>
      <c r="AN224" s="3"/>
      <c r="AO224" s="3"/>
      <c r="AP224" s="3"/>
    </row>
    <row r="225" spans="1:42" ht="15" x14ac:dyDescent="0.2">
      <c r="A225" s="4">
        <v>224</v>
      </c>
      <c r="B225" s="5">
        <v>2330</v>
      </c>
      <c r="C225" s="5" t="s">
        <v>273</v>
      </c>
      <c r="D225" s="5" t="s">
        <v>31</v>
      </c>
      <c r="E225" s="5" t="s">
        <v>20</v>
      </c>
      <c r="F225" s="5" t="s">
        <v>107</v>
      </c>
      <c r="G225" s="8">
        <v>45726</v>
      </c>
      <c r="H225" s="6" t="s">
        <v>12</v>
      </c>
      <c r="I225" s="6" t="s">
        <v>13</v>
      </c>
      <c r="J225" s="9">
        <v>0.3263888888888889</v>
      </c>
      <c r="K225" s="10">
        <v>0.4</v>
      </c>
      <c r="L225" s="10">
        <v>0.37708333333333333</v>
      </c>
      <c r="M225" s="10">
        <v>0.36944444444444446</v>
      </c>
      <c r="N225" s="10">
        <v>0.37291666666666667</v>
      </c>
      <c r="O225" s="10">
        <v>0.38124999999999998</v>
      </c>
      <c r="P225" s="6" t="s">
        <v>13</v>
      </c>
      <c r="Q225" s="10">
        <v>0.37430555555555556</v>
      </c>
      <c r="R225" s="10">
        <v>0.36944444444444446</v>
      </c>
      <c r="S225" s="10">
        <v>0.375</v>
      </c>
      <c r="T225" s="10">
        <v>0.375</v>
      </c>
      <c r="U225" s="10">
        <v>0.37361111111111112</v>
      </c>
      <c r="V225" s="10">
        <v>0.375</v>
      </c>
      <c r="W225" s="6" t="s">
        <v>13</v>
      </c>
      <c r="X225" s="10">
        <v>0.36944444444444446</v>
      </c>
      <c r="Y225" s="10">
        <v>0.37152777777777779</v>
      </c>
      <c r="Z225" s="10">
        <v>0.37291666666666667</v>
      </c>
      <c r="AA225" s="10">
        <v>0.37083333333333335</v>
      </c>
      <c r="AB225" s="10">
        <v>0.37152777777777779</v>
      </c>
      <c r="AC225" s="7" t="s">
        <v>14</v>
      </c>
      <c r="AD225" s="6" t="s">
        <v>13</v>
      </c>
      <c r="AE225" s="7" t="s">
        <v>14</v>
      </c>
      <c r="AF225" s="10">
        <v>0.38194444444444442</v>
      </c>
      <c r="AG225" s="10">
        <v>0.37847222222222221</v>
      </c>
      <c r="AH225" s="10">
        <v>0.36875000000000002</v>
      </c>
      <c r="AI225" s="10">
        <v>0.37291666666666667</v>
      </c>
      <c r="AJ225" s="10">
        <v>0.375</v>
      </c>
      <c r="AK225" s="6" t="s">
        <v>13</v>
      </c>
      <c r="AL225" s="3"/>
      <c r="AM225" s="3"/>
      <c r="AN225" s="3"/>
      <c r="AO225" s="3"/>
      <c r="AP225" s="3"/>
    </row>
    <row r="226" spans="1:42" ht="15" x14ac:dyDescent="0.2">
      <c r="A226" s="4">
        <v>225</v>
      </c>
      <c r="B226" s="5">
        <v>2332</v>
      </c>
      <c r="C226" s="5" t="s">
        <v>274</v>
      </c>
      <c r="D226" s="5" t="s">
        <v>19</v>
      </c>
      <c r="E226" s="5" t="s">
        <v>28</v>
      </c>
      <c r="F226" s="5" t="s">
        <v>107</v>
      </c>
      <c r="G226" s="8">
        <v>45733</v>
      </c>
      <c r="H226" s="6" t="s">
        <v>12</v>
      </c>
      <c r="I226" s="6" t="s">
        <v>13</v>
      </c>
      <c r="J226" s="9">
        <v>0.38958333333333334</v>
      </c>
      <c r="K226" s="10">
        <v>0.39513888888888887</v>
      </c>
      <c r="L226" s="10">
        <v>0.37222222222222223</v>
      </c>
      <c r="M226" s="10">
        <v>0.37361111111111112</v>
      </c>
      <c r="N226" s="10">
        <v>0.34652777777777777</v>
      </c>
      <c r="O226" s="10">
        <v>0.37569444444444444</v>
      </c>
      <c r="P226" s="6" t="s">
        <v>13</v>
      </c>
      <c r="Q226" s="10">
        <v>0.37777777777777777</v>
      </c>
      <c r="R226" s="10">
        <v>0.37916666666666665</v>
      </c>
      <c r="S226" s="10">
        <v>0.38541666666666669</v>
      </c>
      <c r="T226" s="10">
        <v>0.38124999999999998</v>
      </c>
      <c r="U226" s="10">
        <v>0.38541666666666669</v>
      </c>
      <c r="V226" s="7" t="s">
        <v>14</v>
      </c>
      <c r="W226" s="6" t="s">
        <v>13</v>
      </c>
      <c r="X226" s="10">
        <v>0.39305555555555555</v>
      </c>
      <c r="Y226" s="10">
        <v>0.37777777777777777</v>
      </c>
      <c r="Z226" s="10">
        <v>0.375</v>
      </c>
      <c r="AA226" s="10">
        <v>0.38611111111111113</v>
      </c>
      <c r="AB226" s="10">
        <v>0.38611111111111113</v>
      </c>
      <c r="AC226" s="10">
        <v>0.32361111111111113</v>
      </c>
      <c r="AD226" s="6" t="s">
        <v>13</v>
      </c>
      <c r="AE226" s="10">
        <v>0.38194444444444442</v>
      </c>
      <c r="AF226" s="10">
        <v>0.38333333333333336</v>
      </c>
      <c r="AG226" s="10">
        <v>0.37777777777777777</v>
      </c>
      <c r="AH226" s="10">
        <v>0.37569444444444444</v>
      </c>
      <c r="AI226" s="10">
        <v>0.38055555555555554</v>
      </c>
      <c r="AJ226" s="10">
        <v>0.35347222222222224</v>
      </c>
      <c r="AK226" s="6" t="s">
        <v>13</v>
      </c>
      <c r="AL226" s="3"/>
      <c r="AM226" s="3"/>
      <c r="AN226" s="3"/>
      <c r="AO226" s="3"/>
      <c r="AP226" s="3"/>
    </row>
    <row r="227" spans="1:42" ht="15" x14ac:dyDescent="0.2">
      <c r="A227" s="4">
        <v>226</v>
      </c>
      <c r="B227" s="5">
        <v>2334</v>
      </c>
      <c r="C227" s="5" t="s">
        <v>275</v>
      </c>
      <c r="D227" s="5" t="s">
        <v>23</v>
      </c>
      <c r="E227" s="5" t="s">
        <v>24</v>
      </c>
      <c r="F227" s="5" t="s">
        <v>89</v>
      </c>
      <c r="G227" s="8">
        <v>45734</v>
      </c>
      <c r="H227" s="6" t="s">
        <v>12</v>
      </c>
      <c r="I227" s="6" t="s">
        <v>13</v>
      </c>
      <c r="J227" s="9">
        <v>0.38472222222222224</v>
      </c>
      <c r="K227" s="10">
        <v>0.3659722222222222</v>
      </c>
      <c r="L227" s="10">
        <v>0.37986111111111109</v>
      </c>
      <c r="M227" s="10">
        <v>0.38472222222222224</v>
      </c>
      <c r="N227" s="10">
        <v>0.39166666666666666</v>
      </c>
      <c r="O227" s="10">
        <v>0.35833333333333334</v>
      </c>
      <c r="P227" s="6" t="s">
        <v>13</v>
      </c>
      <c r="Q227" s="10">
        <v>0.38611111111111113</v>
      </c>
      <c r="R227" s="10">
        <v>0.39027777777777778</v>
      </c>
      <c r="S227" s="10">
        <v>0.3840277777777778</v>
      </c>
      <c r="T227" s="10">
        <v>0.37152777777777779</v>
      </c>
      <c r="U227" s="10">
        <v>0.37430555555555556</v>
      </c>
      <c r="V227" s="7" t="s">
        <v>14</v>
      </c>
      <c r="W227" s="6" t="s">
        <v>13</v>
      </c>
      <c r="X227" s="10">
        <v>0.39166666666666666</v>
      </c>
      <c r="Y227" s="10">
        <v>0.38124999999999998</v>
      </c>
      <c r="Z227" s="10">
        <v>0.38333333333333336</v>
      </c>
      <c r="AA227" s="10">
        <v>0.39374999999999999</v>
      </c>
      <c r="AB227" s="10">
        <v>0.39652777777777776</v>
      </c>
      <c r="AC227" s="7" t="s">
        <v>14</v>
      </c>
      <c r="AD227" s="6" t="s">
        <v>13</v>
      </c>
      <c r="AE227" s="10">
        <v>0.3659722222222222</v>
      </c>
      <c r="AF227" s="10">
        <v>0.40763888888888888</v>
      </c>
      <c r="AG227" s="10">
        <v>0.39791666666666664</v>
      </c>
      <c r="AH227" s="10">
        <v>0.38958333333333334</v>
      </c>
      <c r="AI227" s="10">
        <v>0.41041666666666665</v>
      </c>
      <c r="AJ227" s="10">
        <v>0.41111111111111109</v>
      </c>
      <c r="AK227" s="6" t="s">
        <v>13</v>
      </c>
      <c r="AL227" s="3"/>
      <c r="AM227" s="3"/>
      <c r="AN227" s="3"/>
      <c r="AO227" s="3"/>
      <c r="AP227" s="3"/>
    </row>
    <row r="228" spans="1:42" ht="15" x14ac:dyDescent="0.2">
      <c r="A228" s="4">
        <v>227</v>
      </c>
      <c r="B228" s="5">
        <v>2340</v>
      </c>
      <c r="C228" s="5" t="s">
        <v>276</v>
      </c>
      <c r="D228" s="5" t="s">
        <v>23</v>
      </c>
      <c r="E228" s="5" t="s">
        <v>28</v>
      </c>
      <c r="F228" s="5" t="s">
        <v>89</v>
      </c>
      <c r="G228" s="25">
        <v>45754</v>
      </c>
      <c r="H228" s="6" t="s">
        <v>12</v>
      </c>
      <c r="I228" s="6" t="s">
        <v>13</v>
      </c>
      <c r="J228" s="7" t="s">
        <v>14</v>
      </c>
      <c r="K228" s="10">
        <v>0.40555555555555556</v>
      </c>
      <c r="L228" s="10">
        <v>0.36458333333333331</v>
      </c>
      <c r="M228" s="10">
        <v>0.37569444444444444</v>
      </c>
      <c r="N228" s="10">
        <v>0.34513888888888888</v>
      </c>
      <c r="O228" s="10">
        <v>0.35138888888888886</v>
      </c>
      <c r="P228" s="6" t="s">
        <v>13</v>
      </c>
      <c r="Q228" s="7" t="s">
        <v>14</v>
      </c>
      <c r="R228" s="10">
        <v>0.39305555555555555</v>
      </c>
      <c r="S228" s="10">
        <v>0.38055555555555554</v>
      </c>
      <c r="T228" s="10">
        <v>0.37361111111111112</v>
      </c>
      <c r="U228" s="10">
        <v>0.38611111111111113</v>
      </c>
      <c r="V228" s="10">
        <v>0.32708333333333334</v>
      </c>
      <c r="W228" s="6" t="s">
        <v>13</v>
      </c>
      <c r="X228" s="10">
        <v>0.40625</v>
      </c>
      <c r="Y228" s="10">
        <v>0.3923611111111111</v>
      </c>
      <c r="Z228" s="10">
        <v>0.37638888888888888</v>
      </c>
      <c r="AA228" s="10">
        <v>0.36875000000000002</v>
      </c>
      <c r="AB228" s="10">
        <v>0.36388888888888887</v>
      </c>
      <c r="AC228" s="7" t="s">
        <v>14</v>
      </c>
      <c r="AD228" s="6" t="s">
        <v>13</v>
      </c>
      <c r="AE228" s="10">
        <v>0.31180555555555556</v>
      </c>
      <c r="AF228" s="10">
        <v>0.4201388888888889</v>
      </c>
      <c r="AG228" s="10">
        <v>0.37569444444444444</v>
      </c>
      <c r="AH228" s="10">
        <v>0.38263888888888886</v>
      </c>
      <c r="AI228" s="10">
        <v>0.3840277777777778</v>
      </c>
      <c r="AJ228" s="10">
        <v>0.38541666666666669</v>
      </c>
      <c r="AK228" s="6" t="s">
        <v>13</v>
      </c>
      <c r="AL228" s="3"/>
      <c r="AM228" s="3"/>
      <c r="AN228" s="3"/>
      <c r="AO228" s="3"/>
      <c r="AP228" s="3"/>
    </row>
    <row r="229" spans="1:42" ht="15" x14ac:dyDescent="0.2">
      <c r="A229" s="4">
        <v>228</v>
      </c>
      <c r="B229" s="5">
        <v>2342</v>
      </c>
      <c r="C229" s="5" t="s">
        <v>277</v>
      </c>
      <c r="D229" s="5" t="s">
        <v>23</v>
      </c>
      <c r="E229" s="5" t="s">
        <v>20</v>
      </c>
      <c r="F229" s="5" t="s">
        <v>89</v>
      </c>
      <c r="G229" s="25">
        <v>45755</v>
      </c>
      <c r="H229" s="6" t="s">
        <v>12</v>
      </c>
      <c r="I229" s="6" t="s">
        <v>13</v>
      </c>
      <c r="J229" s="9">
        <v>0.31527777777777777</v>
      </c>
      <c r="K229" s="10">
        <v>0.33750000000000002</v>
      </c>
      <c r="L229" s="10">
        <v>0.40902777777777777</v>
      </c>
      <c r="M229" s="10">
        <v>0.40277777777777779</v>
      </c>
      <c r="N229" s="10">
        <v>0.35416666666666669</v>
      </c>
      <c r="O229" s="7" t="s">
        <v>14</v>
      </c>
      <c r="P229" s="6" t="s">
        <v>13</v>
      </c>
      <c r="Q229" s="10">
        <v>0.37708333333333333</v>
      </c>
      <c r="R229" s="10">
        <v>0.39930555555555558</v>
      </c>
      <c r="S229" s="10">
        <v>0.38333333333333336</v>
      </c>
      <c r="T229" s="10">
        <v>0.38541666666666669</v>
      </c>
      <c r="U229" s="10">
        <v>0.37916666666666665</v>
      </c>
      <c r="V229" s="10">
        <v>0.37361111111111112</v>
      </c>
      <c r="W229" s="6" t="s">
        <v>13</v>
      </c>
      <c r="X229" s="10">
        <v>0.39305555555555555</v>
      </c>
      <c r="Y229" s="10">
        <v>0.37986111111111109</v>
      </c>
      <c r="Z229" s="10">
        <v>0.38958333333333334</v>
      </c>
      <c r="AA229" s="10">
        <v>0.39305555555555555</v>
      </c>
      <c r="AB229" s="7" t="s">
        <v>14</v>
      </c>
      <c r="AC229" s="10">
        <v>0.36249999999999999</v>
      </c>
      <c r="AD229" s="6" t="s">
        <v>13</v>
      </c>
      <c r="AE229" s="10">
        <v>0.39444444444444443</v>
      </c>
      <c r="AF229" s="10">
        <v>0.37986111111111109</v>
      </c>
      <c r="AG229" s="10">
        <v>0.38194444444444442</v>
      </c>
      <c r="AH229" s="10">
        <v>0.38819444444444445</v>
      </c>
      <c r="AI229" s="10">
        <v>0.39305555555555555</v>
      </c>
      <c r="AJ229" s="10">
        <v>0.37569444444444444</v>
      </c>
      <c r="AK229" s="6" t="s">
        <v>13</v>
      </c>
      <c r="AL229" s="3"/>
      <c r="AM229" s="3"/>
      <c r="AN229" s="3"/>
      <c r="AO229" s="3"/>
      <c r="AP229" s="3"/>
    </row>
    <row r="230" spans="1:42" ht="15" x14ac:dyDescent="0.2">
      <c r="A230" s="4">
        <v>229</v>
      </c>
      <c r="B230" s="5">
        <v>2343</v>
      </c>
      <c r="C230" s="5" t="s">
        <v>278</v>
      </c>
      <c r="D230" s="5" t="s">
        <v>19</v>
      </c>
      <c r="E230" s="5" t="s">
        <v>9</v>
      </c>
      <c r="F230" s="5" t="s">
        <v>107</v>
      </c>
      <c r="G230" s="25">
        <v>45755</v>
      </c>
      <c r="H230" s="6" t="s">
        <v>12</v>
      </c>
      <c r="I230" s="6" t="s">
        <v>13</v>
      </c>
      <c r="J230" s="9">
        <v>0.39861111111111114</v>
      </c>
      <c r="K230" s="10">
        <v>0.37708333333333333</v>
      </c>
      <c r="L230" s="10">
        <v>0.3923611111111111</v>
      </c>
      <c r="M230" s="10">
        <v>0.3840277777777778</v>
      </c>
      <c r="N230" s="10">
        <v>0.3263888888888889</v>
      </c>
      <c r="O230" s="7" t="s">
        <v>14</v>
      </c>
      <c r="P230" s="6" t="s">
        <v>13</v>
      </c>
      <c r="Q230" s="10">
        <v>0.40277777777777779</v>
      </c>
      <c r="R230" s="10">
        <v>0.36388888888888887</v>
      </c>
      <c r="S230" s="10">
        <v>0.36041666666666666</v>
      </c>
      <c r="T230" s="10">
        <v>0.34236111111111112</v>
      </c>
      <c r="U230" s="10">
        <v>0.34305555555555556</v>
      </c>
      <c r="V230" s="10">
        <v>0.34513888888888888</v>
      </c>
      <c r="W230" s="6" t="s">
        <v>13</v>
      </c>
      <c r="X230" s="10">
        <v>0.37916666666666665</v>
      </c>
      <c r="Y230" s="10">
        <v>0.36458333333333331</v>
      </c>
      <c r="Z230" s="10">
        <v>0.35694444444444445</v>
      </c>
      <c r="AA230" s="10">
        <v>0.39791666666666664</v>
      </c>
      <c r="AB230" s="10">
        <v>0.37291666666666667</v>
      </c>
      <c r="AC230" s="10">
        <v>0.35</v>
      </c>
      <c r="AD230" s="6" t="s">
        <v>13</v>
      </c>
      <c r="AE230" s="10">
        <v>0.39027777777777778</v>
      </c>
      <c r="AF230" s="10">
        <v>0.36249999999999999</v>
      </c>
      <c r="AG230" s="10">
        <v>0.40416666666666667</v>
      </c>
      <c r="AH230" s="10">
        <v>0.41666666666666669</v>
      </c>
      <c r="AI230" s="10">
        <v>0.3972222222222222</v>
      </c>
      <c r="AJ230" s="10">
        <v>0.4</v>
      </c>
      <c r="AK230" s="6" t="s">
        <v>13</v>
      </c>
      <c r="AL230" s="3"/>
      <c r="AM230" s="3"/>
      <c r="AN230" s="3"/>
      <c r="AO230" s="3"/>
      <c r="AP230" s="3"/>
    </row>
    <row r="231" spans="1:42" ht="15" x14ac:dyDescent="0.2">
      <c r="A231" s="4">
        <v>230</v>
      </c>
      <c r="B231" s="5">
        <v>2344</v>
      </c>
      <c r="C231" s="5" t="s">
        <v>279</v>
      </c>
      <c r="D231" s="5" t="s">
        <v>23</v>
      </c>
      <c r="E231" s="5" t="s">
        <v>20</v>
      </c>
      <c r="F231" s="5" t="s">
        <v>93</v>
      </c>
      <c r="G231" s="8">
        <v>45762</v>
      </c>
      <c r="H231" s="6" t="s">
        <v>12</v>
      </c>
      <c r="I231" s="6" t="s">
        <v>13</v>
      </c>
      <c r="J231" s="9">
        <v>0</v>
      </c>
      <c r="K231" s="10">
        <v>0</v>
      </c>
      <c r="L231" s="10">
        <v>0.375</v>
      </c>
      <c r="M231" s="10">
        <v>0.37152777777777779</v>
      </c>
      <c r="N231" s="10">
        <v>0.3659722222222222</v>
      </c>
      <c r="O231" s="7" t="s">
        <v>14</v>
      </c>
      <c r="P231" s="6" t="s">
        <v>13</v>
      </c>
      <c r="Q231" s="10">
        <v>0.37291666666666667</v>
      </c>
      <c r="R231" s="10">
        <v>0.35694444444444445</v>
      </c>
      <c r="S231" s="10">
        <v>0.36805555555555558</v>
      </c>
      <c r="T231" s="10">
        <v>0.37152777777777779</v>
      </c>
      <c r="U231" s="10">
        <v>0.37638888888888888</v>
      </c>
      <c r="V231" s="10">
        <v>0.35902777777777778</v>
      </c>
      <c r="W231" s="6" t="s">
        <v>13</v>
      </c>
      <c r="X231" s="10">
        <v>0.37708333333333333</v>
      </c>
      <c r="Y231" s="10">
        <v>0.30138888888888887</v>
      </c>
      <c r="Z231" s="7" t="s">
        <v>14</v>
      </c>
      <c r="AA231" s="10">
        <v>0.37430555555555556</v>
      </c>
      <c r="AB231" s="10">
        <v>0.36805555555555558</v>
      </c>
      <c r="AC231" s="10">
        <v>0.17291666666666666</v>
      </c>
      <c r="AD231" s="6" t="s">
        <v>13</v>
      </c>
      <c r="AE231" s="10">
        <v>0.37152777777777779</v>
      </c>
      <c r="AF231" s="10">
        <v>0.36319444444444443</v>
      </c>
      <c r="AG231" s="10">
        <v>0.36805555555555558</v>
      </c>
      <c r="AH231" s="10">
        <v>0.36458333333333331</v>
      </c>
      <c r="AI231" s="10">
        <v>0.37777777777777777</v>
      </c>
      <c r="AJ231" s="7" t="s">
        <v>14</v>
      </c>
      <c r="AK231" s="6" t="s">
        <v>13</v>
      </c>
      <c r="AL231" s="3"/>
      <c r="AM231" s="3"/>
      <c r="AN231" s="3"/>
      <c r="AO231" s="3"/>
      <c r="AP231" s="3"/>
    </row>
    <row r="232" spans="1:42" ht="15" x14ac:dyDescent="0.2">
      <c r="A232" s="4">
        <v>231</v>
      </c>
      <c r="B232" s="5">
        <v>2345</v>
      </c>
      <c r="C232" s="5" t="s">
        <v>280</v>
      </c>
      <c r="D232" s="5" t="s">
        <v>19</v>
      </c>
      <c r="E232" s="5" t="s">
        <v>39</v>
      </c>
      <c r="F232" s="5" t="s">
        <v>107</v>
      </c>
      <c r="G232" s="8">
        <v>45773</v>
      </c>
      <c r="H232" s="6" t="s">
        <v>12</v>
      </c>
      <c r="I232" s="6" t="s">
        <v>13</v>
      </c>
      <c r="J232" s="9">
        <v>0.34305555555555556</v>
      </c>
      <c r="K232" s="10">
        <v>0.34513888888888888</v>
      </c>
      <c r="L232" s="10">
        <v>0.38263888888888886</v>
      </c>
      <c r="M232" s="10">
        <v>0.37083333333333335</v>
      </c>
      <c r="N232" s="10">
        <v>0.37430555555555556</v>
      </c>
      <c r="O232" s="10">
        <v>0.37708333333333333</v>
      </c>
      <c r="P232" s="6" t="s">
        <v>13</v>
      </c>
      <c r="Q232" s="10">
        <v>0.37430555555555556</v>
      </c>
      <c r="R232" s="10">
        <v>0.37083333333333335</v>
      </c>
      <c r="S232" s="10">
        <v>0.37569444444444444</v>
      </c>
      <c r="T232" s="10">
        <v>0.375</v>
      </c>
      <c r="U232" s="10">
        <v>0.375</v>
      </c>
      <c r="V232" s="10">
        <v>0.37430555555555556</v>
      </c>
      <c r="W232" s="6" t="s">
        <v>13</v>
      </c>
      <c r="X232" s="10">
        <v>0.37083333333333335</v>
      </c>
      <c r="Y232" s="10">
        <v>0.375</v>
      </c>
      <c r="Z232" s="10">
        <v>0</v>
      </c>
      <c r="AA232" s="10">
        <v>0.37569444444444444</v>
      </c>
      <c r="AB232" s="7" t="s">
        <v>14</v>
      </c>
      <c r="AC232" s="7" t="s">
        <v>14</v>
      </c>
      <c r="AD232" s="6" t="s">
        <v>13</v>
      </c>
      <c r="AE232" s="10">
        <v>0.37638888888888888</v>
      </c>
      <c r="AF232" s="10">
        <v>0.37569444444444444</v>
      </c>
      <c r="AG232" s="10">
        <v>0.375</v>
      </c>
      <c r="AH232" s="10">
        <v>0.37222222222222223</v>
      </c>
      <c r="AI232" s="10">
        <v>0.375</v>
      </c>
      <c r="AJ232" s="10">
        <v>0.38055555555555554</v>
      </c>
      <c r="AK232" s="6" t="s">
        <v>13</v>
      </c>
      <c r="AL232" s="3"/>
      <c r="AM232" s="3"/>
      <c r="AN232" s="3"/>
      <c r="AO232" s="3"/>
      <c r="AP232" s="3"/>
    </row>
    <row r="233" spans="1:42" ht="15" x14ac:dyDescent="0.2">
      <c r="A233" s="4">
        <v>232</v>
      </c>
      <c r="B233" s="5">
        <v>2346</v>
      </c>
      <c r="C233" s="5" t="s">
        <v>281</v>
      </c>
      <c r="D233" s="5" t="s">
        <v>23</v>
      </c>
      <c r="E233" s="5" t="s">
        <v>24</v>
      </c>
      <c r="F233" s="5" t="s">
        <v>107</v>
      </c>
      <c r="G233" s="5" t="s">
        <v>282</v>
      </c>
      <c r="H233" s="6" t="s">
        <v>12</v>
      </c>
      <c r="I233" s="6" t="s">
        <v>13</v>
      </c>
      <c r="J233" s="9">
        <v>0.37361111111111112</v>
      </c>
      <c r="K233" s="10">
        <v>0.37361111111111112</v>
      </c>
      <c r="L233" s="10">
        <v>0.36805555555555558</v>
      </c>
      <c r="M233" s="10">
        <v>0.20416666666666666</v>
      </c>
      <c r="N233" s="10">
        <v>0.40625</v>
      </c>
      <c r="O233" s="7" t="s">
        <v>14</v>
      </c>
      <c r="P233" s="6" t="s">
        <v>13</v>
      </c>
      <c r="Q233" s="10">
        <v>0.36875000000000002</v>
      </c>
      <c r="R233" s="10">
        <v>0.37291666666666667</v>
      </c>
      <c r="S233" s="7" t="s">
        <v>14</v>
      </c>
      <c r="T233" s="10">
        <v>0.37291666666666667</v>
      </c>
      <c r="U233" s="10">
        <v>0.37013888888888891</v>
      </c>
      <c r="V233" s="7" t="s">
        <v>14</v>
      </c>
      <c r="W233" s="6" t="s">
        <v>13</v>
      </c>
      <c r="X233" s="10">
        <v>0.21249999999999999</v>
      </c>
      <c r="Y233" s="10">
        <v>0.36875000000000002</v>
      </c>
      <c r="Z233" s="10">
        <v>0.37361111111111112</v>
      </c>
      <c r="AA233" s="10">
        <v>0.37083333333333335</v>
      </c>
      <c r="AB233" s="10">
        <v>0.40555555555555556</v>
      </c>
      <c r="AC233" s="10">
        <v>0.18402777777777779</v>
      </c>
      <c r="AD233" s="6" t="s">
        <v>13</v>
      </c>
      <c r="AE233" s="10">
        <v>0.37430555555555556</v>
      </c>
      <c r="AF233" s="10">
        <v>0.37083333333333335</v>
      </c>
      <c r="AG233" s="10">
        <v>0.37152777777777779</v>
      </c>
      <c r="AH233" s="10">
        <v>0.37777777777777777</v>
      </c>
      <c r="AI233" s="10">
        <v>0.375</v>
      </c>
      <c r="AJ233" s="10">
        <v>0.37361111111111112</v>
      </c>
      <c r="AK233" s="6" t="s">
        <v>13</v>
      </c>
      <c r="AL233" s="3"/>
      <c r="AM233" s="3"/>
      <c r="AN233" s="3"/>
      <c r="AO233" s="3"/>
      <c r="AP233" s="3"/>
    </row>
    <row r="234" spans="1:42" ht="15" x14ac:dyDescent="0.2">
      <c r="A234" s="4">
        <v>233</v>
      </c>
      <c r="B234" s="5">
        <v>2347</v>
      </c>
      <c r="C234" s="5" t="s">
        <v>283</v>
      </c>
      <c r="D234" s="5" t="s">
        <v>44</v>
      </c>
      <c r="E234" s="5" t="s">
        <v>39</v>
      </c>
      <c r="F234" s="5" t="s">
        <v>107</v>
      </c>
      <c r="G234" s="5" t="s">
        <v>282</v>
      </c>
      <c r="H234" s="6" t="s">
        <v>12</v>
      </c>
      <c r="I234" s="6" t="s">
        <v>13</v>
      </c>
      <c r="J234" s="9">
        <v>0.34236111111111112</v>
      </c>
      <c r="K234" s="10">
        <v>0.34583333333333333</v>
      </c>
      <c r="L234" s="10">
        <v>0.38333333333333336</v>
      </c>
      <c r="M234" s="10">
        <v>0.37222222222222223</v>
      </c>
      <c r="N234" s="10">
        <v>0.37569444444444444</v>
      </c>
      <c r="O234" s="7" t="s">
        <v>14</v>
      </c>
      <c r="P234" s="6" t="s">
        <v>13</v>
      </c>
      <c r="Q234" s="7" t="s">
        <v>14</v>
      </c>
      <c r="R234" s="7" t="s">
        <v>14</v>
      </c>
      <c r="S234" s="10">
        <v>0.37777777777777777</v>
      </c>
      <c r="T234" s="10">
        <v>0.37430555555555556</v>
      </c>
      <c r="U234" s="10">
        <v>0.37638888888888888</v>
      </c>
      <c r="V234" s="10">
        <v>0.35138888888888886</v>
      </c>
      <c r="W234" s="6" t="s">
        <v>13</v>
      </c>
      <c r="X234" s="10">
        <v>0.36944444444444446</v>
      </c>
      <c r="Y234" s="10">
        <v>0.37430555555555556</v>
      </c>
      <c r="Z234" s="10">
        <v>0.375</v>
      </c>
      <c r="AA234" s="10">
        <v>0.375</v>
      </c>
      <c r="AB234" s="10">
        <v>0.37569444444444444</v>
      </c>
      <c r="AC234" s="10">
        <v>0.33333333333333331</v>
      </c>
      <c r="AD234" s="6" t="s">
        <v>13</v>
      </c>
      <c r="AE234" s="10">
        <v>0.375</v>
      </c>
      <c r="AF234" s="10">
        <v>0.375</v>
      </c>
      <c r="AG234" s="10">
        <v>0.37222222222222223</v>
      </c>
      <c r="AH234" s="10">
        <v>0.37222222222222223</v>
      </c>
      <c r="AI234" s="10">
        <v>0.37986111111111109</v>
      </c>
      <c r="AJ234" s="7" t="s">
        <v>14</v>
      </c>
      <c r="AK234" s="6" t="s">
        <v>13</v>
      </c>
      <c r="AL234" s="3"/>
      <c r="AM234" s="3"/>
      <c r="AN234" s="3"/>
      <c r="AO234" s="3"/>
      <c r="AP234" s="3"/>
    </row>
    <row r="235" spans="1:42" ht="15" x14ac:dyDescent="0.2">
      <c r="A235" s="4">
        <v>234</v>
      </c>
      <c r="B235" s="5">
        <v>2350</v>
      </c>
      <c r="C235" s="5" t="s">
        <v>284</v>
      </c>
      <c r="D235" s="5" t="s">
        <v>23</v>
      </c>
      <c r="E235" s="5" t="s">
        <v>24</v>
      </c>
      <c r="F235" s="5" t="s">
        <v>89</v>
      </c>
      <c r="G235" s="11">
        <v>45779</v>
      </c>
      <c r="H235" s="6" t="s">
        <v>12</v>
      </c>
      <c r="I235" s="6" t="s">
        <v>13</v>
      </c>
      <c r="J235" s="9">
        <v>0.35972222222222222</v>
      </c>
      <c r="K235" s="10">
        <v>0.37708333333333333</v>
      </c>
      <c r="L235" s="10">
        <v>0.36249999999999999</v>
      </c>
      <c r="M235" s="10">
        <v>0.375</v>
      </c>
      <c r="N235" s="10">
        <v>0.375</v>
      </c>
      <c r="O235" s="7" t="s">
        <v>14</v>
      </c>
      <c r="P235" s="6" t="s">
        <v>13</v>
      </c>
      <c r="Q235" s="10">
        <v>0.37708333333333333</v>
      </c>
      <c r="R235" s="10">
        <v>0.37847222222222221</v>
      </c>
      <c r="S235" s="10">
        <v>0.38055555555555554</v>
      </c>
      <c r="T235" s="10">
        <v>0.37847222222222221</v>
      </c>
      <c r="U235" s="10">
        <v>0.36388888888888887</v>
      </c>
      <c r="V235" s="10">
        <v>0.375</v>
      </c>
      <c r="W235" s="6" t="s">
        <v>13</v>
      </c>
      <c r="X235" s="10">
        <v>0.37847222222222221</v>
      </c>
      <c r="Y235" s="10">
        <v>0.36875000000000002</v>
      </c>
      <c r="Z235" s="10">
        <v>0.37777777777777777</v>
      </c>
      <c r="AA235" s="10">
        <v>0.38680555555555557</v>
      </c>
      <c r="AB235" s="10">
        <v>0.38611111111111113</v>
      </c>
      <c r="AC235" s="10">
        <v>0.16111111111111112</v>
      </c>
      <c r="AD235" s="6" t="s">
        <v>13</v>
      </c>
      <c r="AE235" s="7" t="s">
        <v>14</v>
      </c>
      <c r="AF235" s="10">
        <v>0.37847222222222221</v>
      </c>
      <c r="AG235" s="10">
        <v>0.3888888888888889</v>
      </c>
      <c r="AH235" s="10">
        <v>0.37916666666666665</v>
      </c>
      <c r="AI235" s="10">
        <v>0.37708333333333333</v>
      </c>
      <c r="AJ235" s="10">
        <v>0.39166666666666666</v>
      </c>
      <c r="AK235" s="6" t="s">
        <v>13</v>
      </c>
      <c r="AL235" s="3"/>
      <c r="AM235" s="3"/>
      <c r="AN235" s="3"/>
      <c r="AO235" s="3"/>
      <c r="AP235" s="3"/>
    </row>
    <row r="236" spans="1:42" ht="15" x14ac:dyDescent="0.2">
      <c r="A236" s="4">
        <v>235</v>
      </c>
      <c r="B236" s="5">
        <v>2351</v>
      </c>
      <c r="C236" s="5" t="s">
        <v>285</v>
      </c>
      <c r="D236" s="5" t="s">
        <v>258</v>
      </c>
      <c r="E236" s="5" t="s">
        <v>28</v>
      </c>
      <c r="F236" s="5" t="s">
        <v>93</v>
      </c>
      <c r="G236" s="11">
        <v>45780</v>
      </c>
      <c r="H236" s="6" t="s">
        <v>12</v>
      </c>
      <c r="I236" s="6" t="s">
        <v>13</v>
      </c>
      <c r="J236" s="9">
        <v>0.37847222222222221</v>
      </c>
      <c r="K236" s="10">
        <v>0.4201388888888889</v>
      </c>
      <c r="L236" s="10">
        <v>0.375</v>
      </c>
      <c r="M236" s="10">
        <v>0.40416666666666667</v>
      </c>
      <c r="N236" s="10">
        <v>0.3576388888888889</v>
      </c>
      <c r="O236" s="10">
        <v>0.34027777777777779</v>
      </c>
      <c r="P236" s="6" t="s">
        <v>13</v>
      </c>
      <c r="Q236" s="10">
        <v>0.37083333333333335</v>
      </c>
      <c r="R236" s="10">
        <v>0.37291666666666667</v>
      </c>
      <c r="S236" s="10">
        <v>0.35972222222222222</v>
      </c>
      <c r="T236" s="10">
        <v>0.36527777777777776</v>
      </c>
      <c r="U236" s="10">
        <v>0.36180555555555555</v>
      </c>
      <c r="V236" s="7" t="s">
        <v>14</v>
      </c>
      <c r="W236" s="6" t="s">
        <v>13</v>
      </c>
      <c r="X236" s="7" t="s">
        <v>14</v>
      </c>
      <c r="Y236" s="10">
        <v>0</v>
      </c>
      <c r="Z236" s="10">
        <v>0.3659722222222222</v>
      </c>
      <c r="AA236" s="10">
        <v>0</v>
      </c>
      <c r="AB236" s="10">
        <v>0.36319444444444443</v>
      </c>
      <c r="AC236" s="7" t="s">
        <v>14</v>
      </c>
      <c r="AD236" s="6" t="s">
        <v>13</v>
      </c>
      <c r="AE236" s="10">
        <v>0</v>
      </c>
      <c r="AF236" s="10">
        <v>0.37152777777777779</v>
      </c>
      <c r="AG236" s="10">
        <v>0.36319444444444443</v>
      </c>
      <c r="AH236" s="10">
        <v>0.40138888888888891</v>
      </c>
      <c r="AI236" s="10">
        <v>0.40138888888888891</v>
      </c>
      <c r="AJ236" s="10">
        <v>0.35555555555555557</v>
      </c>
      <c r="AK236" s="6" t="s">
        <v>13</v>
      </c>
      <c r="AL236" s="3"/>
      <c r="AM236" s="3"/>
      <c r="AN236" s="3"/>
      <c r="AO236" s="3"/>
      <c r="AP236" s="3"/>
    </row>
    <row r="237" spans="1:42" ht="15" x14ac:dyDescent="0.2">
      <c r="A237" s="4">
        <v>236</v>
      </c>
      <c r="B237" s="5">
        <v>2352</v>
      </c>
      <c r="C237" s="5" t="s">
        <v>286</v>
      </c>
      <c r="D237" s="5" t="s">
        <v>8</v>
      </c>
      <c r="E237" s="5" t="s">
        <v>9</v>
      </c>
      <c r="F237" s="5" t="s">
        <v>107</v>
      </c>
      <c r="G237" s="25">
        <v>45566</v>
      </c>
      <c r="H237" s="6" t="s">
        <v>12</v>
      </c>
      <c r="I237" s="6" t="s">
        <v>13</v>
      </c>
      <c r="J237" s="7" t="s">
        <v>14</v>
      </c>
      <c r="K237" s="10">
        <v>0.34166666666666667</v>
      </c>
      <c r="L237" s="10">
        <v>0.37986111111111109</v>
      </c>
      <c r="M237" s="10">
        <v>0.37361111111111112</v>
      </c>
      <c r="N237" s="10">
        <v>0.37291666666666667</v>
      </c>
      <c r="O237" s="10">
        <v>0.37916666666666665</v>
      </c>
      <c r="P237" s="6" t="s">
        <v>13</v>
      </c>
      <c r="Q237" s="10">
        <v>0.37638888888888888</v>
      </c>
      <c r="R237" s="10">
        <v>0.375</v>
      </c>
      <c r="S237" s="10">
        <v>0.37638888888888888</v>
      </c>
      <c r="T237" s="10">
        <v>0.37638888888888888</v>
      </c>
      <c r="U237" s="10">
        <v>0.37708333333333333</v>
      </c>
      <c r="V237" s="7" t="s">
        <v>14</v>
      </c>
      <c r="W237" s="6" t="s">
        <v>13</v>
      </c>
      <c r="X237" s="10">
        <v>0.37361111111111112</v>
      </c>
      <c r="Y237" s="10">
        <v>0.37569444444444444</v>
      </c>
      <c r="Z237" s="10">
        <v>0.37916666666666665</v>
      </c>
      <c r="AA237" s="10">
        <v>0.37638888888888888</v>
      </c>
      <c r="AB237" s="10">
        <v>0.3659722222222222</v>
      </c>
      <c r="AC237" s="10">
        <v>0.37361111111111112</v>
      </c>
      <c r="AD237" s="6" t="s">
        <v>13</v>
      </c>
      <c r="AE237" s="10">
        <v>0.37638888888888888</v>
      </c>
      <c r="AF237" s="7" t="s">
        <v>14</v>
      </c>
      <c r="AG237" s="7" t="s">
        <v>14</v>
      </c>
      <c r="AH237" s="7" t="s">
        <v>14</v>
      </c>
      <c r="AI237" s="10">
        <v>0.37152777777777779</v>
      </c>
      <c r="AJ237" s="10">
        <v>0.37847222222222221</v>
      </c>
      <c r="AK237" s="6" t="s">
        <v>13</v>
      </c>
      <c r="AL237" s="3"/>
      <c r="AM237" s="3"/>
      <c r="AN237" s="3"/>
      <c r="AO237" s="3"/>
      <c r="AP237" s="3"/>
    </row>
    <row r="238" spans="1:42" ht="15" x14ac:dyDescent="0.2">
      <c r="A238" s="4">
        <v>237</v>
      </c>
      <c r="B238" s="5">
        <v>2353</v>
      </c>
      <c r="C238" s="5" t="s">
        <v>287</v>
      </c>
      <c r="D238" s="5" t="s">
        <v>88</v>
      </c>
      <c r="E238" s="5" t="s">
        <v>39</v>
      </c>
      <c r="F238" s="5" t="s">
        <v>107</v>
      </c>
      <c r="G238" s="8">
        <v>45525</v>
      </c>
      <c r="H238" s="6" t="s">
        <v>12</v>
      </c>
      <c r="I238" s="6" t="s">
        <v>13</v>
      </c>
      <c r="J238" s="9">
        <v>0.34166666666666667</v>
      </c>
      <c r="K238" s="10">
        <v>0.34097222222222223</v>
      </c>
      <c r="L238" s="10">
        <v>0.37847222222222221</v>
      </c>
      <c r="M238" s="10">
        <v>0.37569444444444444</v>
      </c>
      <c r="N238" s="10">
        <v>0.37708333333333333</v>
      </c>
      <c r="O238" s="10">
        <v>0.33263888888888887</v>
      </c>
      <c r="P238" s="6" t="s">
        <v>13</v>
      </c>
      <c r="Q238" s="10">
        <v>0.37708333333333333</v>
      </c>
      <c r="R238" s="10">
        <v>0.37569444444444444</v>
      </c>
      <c r="S238" s="10">
        <v>0.37777777777777777</v>
      </c>
      <c r="T238" s="10">
        <v>0.37569444444444444</v>
      </c>
      <c r="U238" s="10">
        <v>0.46944444444444444</v>
      </c>
      <c r="V238" s="7" t="s">
        <v>14</v>
      </c>
      <c r="W238" s="6" t="s">
        <v>13</v>
      </c>
      <c r="X238" s="10">
        <v>0.37361111111111112</v>
      </c>
      <c r="Y238" s="10">
        <v>0.37708333333333333</v>
      </c>
      <c r="Z238" s="10">
        <v>0.37847222222222221</v>
      </c>
      <c r="AA238" s="10">
        <v>0.37708333333333333</v>
      </c>
      <c r="AB238" s="10">
        <v>0.37569444444444444</v>
      </c>
      <c r="AC238" s="10">
        <v>0.37777777777777777</v>
      </c>
      <c r="AD238" s="6" t="s">
        <v>13</v>
      </c>
      <c r="AE238" s="10">
        <v>0.39374999999999999</v>
      </c>
      <c r="AF238" s="10">
        <v>0.37291666666666667</v>
      </c>
      <c r="AG238" s="10">
        <v>0.375</v>
      </c>
      <c r="AH238" s="10">
        <v>0.38124999999999998</v>
      </c>
      <c r="AI238" s="10">
        <v>0.3840277777777778</v>
      </c>
      <c r="AJ238" s="10">
        <v>0.38124999999999998</v>
      </c>
      <c r="AK238" s="6" t="s">
        <v>13</v>
      </c>
      <c r="AL238" s="3"/>
      <c r="AM238" s="3"/>
      <c r="AN238" s="3"/>
      <c r="AO238" s="3"/>
      <c r="AP238" s="3"/>
    </row>
    <row r="239" spans="1:42" ht="15" x14ac:dyDescent="0.2">
      <c r="A239" s="4">
        <v>238</v>
      </c>
      <c r="B239" s="5">
        <v>2354</v>
      </c>
      <c r="C239" s="5" t="s">
        <v>288</v>
      </c>
      <c r="D239" s="5" t="s">
        <v>23</v>
      </c>
      <c r="E239" s="5" t="s">
        <v>39</v>
      </c>
      <c r="F239" s="5" t="s">
        <v>107</v>
      </c>
      <c r="G239" s="5" t="s">
        <v>289</v>
      </c>
      <c r="H239" s="6" t="s">
        <v>12</v>
      </c>
      <c r="I239" s="6" t="s">
        <v>13</v>
      </c>
      <c r="J239" s="9">
        <v>0.33958333333333335</v>
      </c>
      <c r="K239" s="10">
        <v>0.33819444444444446</v>
      </c>
      <c r="L239" s="10">
        <v>0.37638888888888888</v>
      </c>
      <c r="M239" s="10">
        <v>0.37361111111111112</v>
      </c>
      <c r="N239" s="10">
        <v>0.37361111111111112</v>
      </c>
      <c r="O239" s="10">
        <v>0.37847222222222221</v>
      </c>
      <c r="P239" s="6" t="s">
        <v>13</v>
      </c>
      <c r="Q239" s="10">
        <v>0.375</v>
      </c>
      <c r="R239" s="10">
        <v>0.37361111111111112</v>
      </c>
      <c r="S239" s="10">
        <v>0.37638888888888888</v>
      </c>
      <c r="T239" s="10">
        <v>0.37777777777777777</v>
      </c>
      <c r="U239" s="10">
        <v>0.37777777777777777</v>
      </c>
      <c r="V239" s="10">
        <v>0.37777777777777777</v>
      </c>
      <c r="W239" s="6" t="s">
        <v>13</v>
      </c>
      <c r="X239" s="7" t="s">
        <v>14</v>
      </c>
      <c r="Y239" s="7" t="s">
        <v>14</v>
      </c>
      <c r="Z239" s="7" t="s">
        <v>14</v>
      </c>
      <c r="AA239" s="7" t="s">
        <v>14</v>
      </c>
      <c r="AB239" s="10">
        <v>0.37777777777777777</v>
      </c>
      <c r="AC239" s="10">
        <v>0.37708333333333333</v>
      </c>
      <c r="AD239" s="6" t="s">
        <v>13</v>
      </c>
      <c r="AE239" s="10">
        <v>0.37430555555555556</v>
      </c>
      <c r="AF239" s="10">
        <v>0.37638888888888888</v>
      </c>
      <c r="AG239" s="10">
        <v>0.37569444444444444</v>
      </c>
      <c r="AH239" s="10">
        <v>0.37222222222222223</v>
      </c>
      <c r="AI239" s="10">
        <v>0.37638888888888888</v>
      </c>
      <c r="AJ239" s="10">
        <v>0.37847222222222221</v>
      </c>
      <c r="AK239" s="6" t="s">
        <v>13</v>
      </c>
      <c r="AL239" s="3"/>
      <c r="AM239" s="3"/>
      <c r="AN239" s="3"/>
      <c r="AO239" s="3"/>
      <c r="AP239" s="3"/>
    </row>
    <row r="240" spans="1:42" ht="15" x14ac:dyDescent="0.2">
      <c r="A240" s="4">
        <v>239</v>
      </c>
      <c r="B240" s="5">
        <v>2358</v>
      </c>
      <c r="C240" s="5" t="s">
        <v>290</v>
      </c>
      <c r="D240" s="5" t="s">
        <v>16</v>
      </c>
      <c r="E240" s="5" t="s">
        <v>45</v>
      </c>
      <c r="F240" s="5" t="s">
        <v>107</v>
      </c>
      <c r="G240" s="5" t="s">
        <v>291</v>
      </c>
      <c r="H240" s="6" t="s">
        <v>12</v>
      </c>
      <c r="I240" s="6" t="s">
        <v>13</v>
      </c>
      <c r="J240" s="9">
        <v>0.37430555555555556</v>
      </c>
      <c r="K240" s="7" t="s">
        <v>14</v>
      </c>
      <c r="L240" s="10">
        <v>0</v>
      </c>
      <c r="M240" s="10">
        <v>0</v>
      </c>
      <c r="N240" s="10">
        <v>0.3659722222222222</v>
      </c>
      <c r="O240" s="10">
        <v>0</v>
      </c>
      <c r="P240" s="6" t="s">
        <v>13</v>
      </c>
      <c r="Q240" s="10">
        <v>0.38055555555555554</v>
      </c>
      <c r="R240" s="7" t="s">
        <v>14</v>
      </c>
      <c r="S240" s="7" t="s">
        <v>14</v>
      </c>
      <c r="T240" s="7" t="s">
        <v>14</v>
      </c>
      <c r="U240" s="10">
        <v>0.37777777777777777</v>
      </c>
      <c r="V240" s="7" t="s">
        <v>14</v>
      </c>
      <c r="W240" s="6" t="s">
        <v>13</v>
      </c>
      <c r="X240" s="10">
        <v>0.37847222222222221</v>
      </c>
      <c r="Y240" s="10">
        <v>0.37916666666666665</v>
      </c>
      <c r="Z240" s="10">
        <v>0.37430555555555556</v>
      </c>
      <c r="AA240" s="10">
        <v>0.32916666666666666</v>
      </c>
      <c r="AB240" s="10">
        <v>0.37152777777777779</v>
      </c>
      <c r="AC240" s="10">
        <v>0.3576388888888889</v>
      </c>
      <c r="AD240" s="6" t="s">
        <v>13</v>
      </c>
      <c r="AE240" s="10">
        <v>0.37847222222222221</v>
      </c>
      <c r="AF240" s="10">
        <v>0.36458333333333331</v>
      </c>
      <c r="AG240" s="10">
        <v>0.36875000000000002</v>
      </c>
      <c r="AH240" s="10">
        <v>0.36388888888888887</v>
      </c>
      <c r="AI240" s="10">
        <v>0.37847222222222221</v>
      </c>
      <c r="AJ240" s="10">
        <v>0.34652777777777777</v>
      </c>
      <c r="AK240" s="6" t="s">
        <v>13</v>
      </c>
      <c r="AL240" s="3"/>
      <c r="AM240" s="3"/>
      <c r="AN240" s="3"/>
      <c r="AO240" s="3"/>
      <c r="AP240" s="3"/>
    </row>
    <row r="241" spans="1:42" ht="15" x14ac:dyDescent="0.2">
      <c r="A241" s="4">
        <v>240</v>
      </c>
      <c r="B241" s="5">
        <v>2359</v>
      </c>
      <c r="C241" s="5" t="s">
        <v>292</v>
      </c>
      <c r="D241" s="5" t="s">
        <v>176</v>
      </c>
      <c r="E241" s="5" t="s">
        <v>98</v>
      </c>
      <c r="F241" s="5" t="s">
        <v>125</v>
      </c>
      <c r="G241" s="11">
        <v>45810</v>
      </c>
      <c r="H241" s="6" t="s">
        <v>12</v>
      </c>
      <c r="I241" s="6" t="s">
        <v>13</v>
      </c>
      <c r="J241" s="9">
        <v>0.37569444444444444</v>
      </c>
      <c r="K241" s="10">
        <v>0.36805555555555558</v>
      </c>
      <c r="L241" s="7" t="s">
        <v>14</v>
      </c>
      <c r="M241" s="7" t="s">
        <v>14</v>
      </c>
      <c r="N241" s="7" t="s">
        <v>14</v>
      </c>
      <c r="O241" s="7" t="s">
        <v>14</v>
      </c>
      <c r="P241" s="6" t="s">
        <v>13</v>
      </c>
      <c r="Q241" s="10">
        <v>0.37361111111111112</v>
      </c>
      <c r="R241" s="10">
        <v>0.37361111111111112</v>
      </c>
      <c r="S241" s="7" t="s">
        <v>14</v>
      </c>
      <c r="T241" s="7" t="s">
        <v>14</v>
      </c>
      <c r="U241" s="7" t="s">
        <v>14</v>
      </c>
      <c r="V241" s="7" t="s">
        <v>14</v>
      </c>
      <c r="W241" s="6" t="s">
        <v>13</v>
      </c>
      <c r="X241" s="7" t="s">
        <v>14</v>
      </c>
      <c r="Y241" s="7" t="s">
        <v>14</v>
      </c>
      <c r="Z241" s="10">
        <v>0.35555555555555557</v>
      </c>
      <c r="AA241" s="10">
        <v>0.35833333333333334</v>
      </c>
      <c r="AB241" s="10">
        <v>0.3659722222222222</v>
      </c>
      <c r="AC241" s="7" t="s">
        <v>14</v>
      </c>
      <c r="AD241" s="6" t="s">
        <v>13</v>
      </c>
      <c r="AE241" s="10">
        <v>0.375</v>
      </c>
      <c r="AF241" s="7" t="s">
        <v>14</v>
      </c>
      <c r="AG241" s="10">
        <v>0.37291666666666667</v>
      </c>
      <c r="AH241" s="10">
        <v>0.31180555555555556</v>
      </c>
      <c r="AI241" s="7" t="s">
        <v>14</v>
      </c>
      <c r="AJ241" s="7" t="s">
        <v>14</v>
      </c>
      <c r="AK241" s="6" t="s">
        <v>13</v>
      </c>
      <c r="AL241" s="3"/>
      <c r="AM241" s="3"/>
      <c r="AN241" s="3"/>
      <c r="AO241" s="3"/>
      <c r="AP241" s="3"/>
    </row>
    <row r="242" spans="1:42" ht="15" x14ac:dyDescent="0.2">
      <c r="A242" s="4">
        <v>241</v>
      </c>
      <c r="B242" s="5">
        <v>2360</v>
      </c>
      <c r="C242" s="5" t="s">
        <v>293</v>
      </c>
      <c r="D242" s="5" t="s">
        <v>258</v>
      </c>
      <c r="E242" s="5" t="s">
        <v>28</v>
      </c>
      <c r="F242" s="5" t="s">
        <v>93</v>
      </c>
      <c r="G242" s="11">
        <v>45811</v>
      </c>
      <c r="H242" s="6" t="s">
        <v>12</v>
      </c>
      <c r="I242" s="6" t="s">
        <v>13</v>
      </c>
      <c r="J242" s="9">
        <v>0.38958333333333334</v>
      </c>
      <c r="K242" s="10">
        <v>0.40555555555555556</v>
      </c>
      <c r="L242" s="10">
        <v>0.35625000000000001</v>
      </c>
      <c r="M242" s="10">
        <v>0.37013888888888891</v>
      </c>
      <c r="N242" s="10">
        <v>0.33402777777777776</v>
      </c>
      <c r="O242" s="7" t="s">
        <v>14</v>
      </c>
      <c r="P242" s="6" t="s">
        <v>13</v>
      </c>
      <c r="Q242" s="10">
        <v>0.35138888888888886</v>
      </c>
      <c r="R242" s="7" t="s">
        <v>14</v>
      </c>
      <c r="S242" s="10">
        <v>0.36249999999999999</v>
      </c>
      <c r="T242" s="7" t="s">
        <v>14</v>
      </c>
      <c r="U242" s="10">
        <v>0.37013888888888891</v>
      </c>
      <c r="V242" s="10">
        <v>6.9444444444444447E-4</v>
      </c>
      <c r="W242" s="6" t="s">
        <v>13</v>
      </c>
      <c r="X242" s="7" t="s">
        <v>14</v>
      </c>
      <c r="Y242" s="10">
        <v>0.37430555555555556</v>
      </c>
      <c r="Z242" s="10">
        <v>0.3888888888888889</v>
      </c>
      <c r="AA242" s="10">
        <v>0.36944444444444446</v>
      </c>
      <c r="AB242" s="7" t="s">
        <v>14</v>
      </c>
      <c r="AC242" s="7" t="s">
        <v>14</v>
      </c>
      <c r="AD242" s="6" t="s">
        <v>13</v>
      </c>
      <c r="AE242" s="10">
        <v>0.37777777777777777</v>
      </c>
      <c r="AF242" s="10">
        <v>0.36805555555555558</v>
      </c>
      <c r="AG242" s="10">
        <v>0.34375</v>
      </c>
      <c r="AH242" s="10">
        <v>0.37013888888888891</v>
      </c>
      <c r="AI242" s="10">
        <v>0.37291666666666667</v>
      </c>
      <c r="AJ242" s="10">
        <v>0.37152777777777779</v>
      </c>
      <c r="AK242" s="6" t="s">
        <v>13</v>
      </c>
      <c r="AL242" s="3"/>
      <c r="AM242" s="3"/>
      <c r="AN242" s="3"/>
      <c r="AO242" s="3"/>
      <c r="AP242" s="3"/>
    </row>
    <row r="243" spans="1:42" ht="15" x14ac:dyDescent="0.2">
      <c r="A243" s="4">
        <v>242</v>
      </c>
      <c r="B243" s="5">
        <v>2362</v>
      </c>
      <c r="C243" s="5" t="s">
        <v>294</v>
      </c>
      <c r="D243" s="5" t="s">
        <v>23</v>
      </c>
      <c r="E243" s="5" t="s">
        <v>20</v>
      </c>
      <c r="F243" s="5" t="s">
        <v>107</v>
      </c>
      <c r="G243" s="11">
        <v>45817</v>
      </c>
      <c r="H243" s="6" t="s">
        <v>12</v>
      </c>
      <c r="I243" s="6" t="s">
        <v>13</v>
      </c>
      <c r="J243" s="9">
        <v>0.36041666666666666</v>
      </c>
      <c r="K243" s="10">
        <v>0.3611111111111111</v>
      </c>
      <c r="L243" s="10">
        <v>0.37361111111111112</v>
      </c>
      <c r="M243" s="10">
        <v>0.37569444444444444</v>
      </c>
      <c r="N243" s="10">
        <v>0.3611111111111111</v>
      </c>
      <c r="O243" s="10">
        <v>0.35902777777777778</v>
      </c>
      <c r="P243" s="6" t="s">
        <v>13</v>
      </c>
      <c r="Q243" s="10">
        <v>0.35694444444444445</v>
      </c>
      <c r="R243" s="10">
        <v>0.36875000000000002</v>
      </c>
      <c r="S243" s="10">
        <v>0.3659722222222222</v>
      </c>
      <c r="T243" s="10">
        <v>0.40694444444444444</v>
      </c>
      <c r="U243" s="10">
        <v>0.37569444444444444</v>
      </c>
      <c r="V243" s="7" t="s">
        <v>14</v>
      </c>
      <c r="W243" s="6" t="s">
        <v>13</v>
      </c>
      <c r="X243" s="10">
        <v>0.35625000000000001</v>
      </c>
      <c r="Y243" s="10">
        <v>0.34791666666666665</v>
      </c>
      <c r="Z243" s="10">
        <v>0.19097222222222221</v>
      </c>
      <c r="AA243" s="7" t="s">
        <v>14</v>
      </c>
      <c r="AB243" s="10">
        <v>0.34444444444444444</v>
      </c>
      <c r="AC243" s="7" t="s">
        <v>14</v>
      </c>
      <c r="AD243" s="6" t="s">
        <v>13</v>
      </c>
      <c r="AE243" s="10">
        <v>0.37430555555555556</v>
      </c>
      <c r="AF243" s="10">
        <v>0.35138888888888886</v>
      </c>
      <c r="AG243" s="10">
        <v>0.33680555555555558</v>
      </c>
      <c r="AH243" s="10">
        <v>0.35486111111111113</v>
      </c>
      <c r="AI243" s="10">
        <v>0.34375</v>
      </c>
      <c r="AJ243" s="10">
        <v>0.27083333333333331</v>
      </c>
      <c r="AK243" s="6" t="s">
        <v>13</v>
      </c>
      <c r="AL243" s="3"/>
      <c r="AM243" s="3"/>
      <c r="AN243" s="3"/>
      <c r="AO243" s="3"/>
      <c r="AP243" s="3"/>
    </row>
    <row r="244" spans="1:42" ht="15" x14ac:dyDescent="0.2">
      <c r="A244" s="4">
        <v>243</v>
      </c>
      <c r="B244" s="5">
        <v>2363</v>
      </c>
      <c r="C244" s="5" t="s">
        <v>295</v>
      </c>
      <c r="D244" s="5" t="s">
        <v>19</v>
      </c>
      <c r="E244" s="5" t="s">
        <v>45</v>
      </c>
      <c r="F244" s="5" t="s">
        <v>107</v>
      </c>
      <c r="G244" s="5" t="s">
        <v>296</v>
      </c>
      <c r="H244" s="6" t="s">
        <v>12</v>
      </c>
      <c r="I244" s="6" t="s">
        <v>13</v>
      </c>
      <c r="J244" s="7" t="s">
        <v>14</v>
      </c>
      <c r="K244" s="7" t="s">
        <v>14</v>
      </c>
      <c r="L244" s="7" t="s">
        <v>14</v>
      </c>
      <c r="M244" s="7" t="s">
        <v>14</v>
      </c>
      <c r="N244" s="7" t="s">
        <v>14</v>
      </c>
      <c r="O244" s="7" t="s">
        <v>14</v>
      </c>
      <c r="P244" s="6" t="s">
        <v>13</v>
      </c>
      <c r="Q244" s="7" t="s">
        <v>14</v>
      </c>
      <c r="R244" s="7" t="s">
        <v>14</v>
      </c>
      <c r="S244" s="7" t="s">
        <v>14</v>
      </c>
      <c r="T244" s="7" t="s">
        <v>14</v>
      </c>
      <c r="U244" s="7" t="s">
        <v>14</v>
      </c>
      <c r="V244" s="7" t="s">
        <v>14</v>
      </c>
      <c r="W244" s="6" t="s">
        <v>13</v>
      </c>
      <c r="X244" s="7" t="s">
        <v>14</v>
      </c>
      <c r="Y244" s="7" t="s">
        <v>14</v>
      </c>
      <c r="Z244" s="7" t="s">
        <v>14</v>
      </c>
      <c r="AA244" s="7" t="s">
        <v>14</v>
      </c>
      <c r="AB244" s="7" t="s">
        <v>14</v>
      </c>
      <c r="AC244" s="7" t="s">
        <v>14</v>
      </c>
      <c r="AD244" s="6" t="s">
        <v>13</v>
      </c>
      <c r="AE244" s="7" t="s">
        <v>14</v>
      </c>
      <c r="AF244" s="7" t="s">
        <v>14</v>
      </c>
      <c r="AG244" s="7" t="s">
        <v>14</v>
      </c>
      <c r="AH244" s="7" t="s">
        <v>14</v>
      </c>
      <c r="AI244" s="7" t="s">
        <v>14</v>
      </c>
      <c r="AJ244" s="7" t="s">
        <v>14</v>
      </c>
      <c r="AK244" s="6" t="s">
        <v>13</v>
      </c>
      <c r="AL244" s="3"/>
      <c r="AM244" s="3"/>
      <c r="AN244" s="3"/>
      <c r="AO244" s="3"/>
      <c r="AP244" s="3"/>
    </row>
    <row r="245" spans="1:42" ht="15" x14ac:dyDescent="0.2">
      <c r="A245" s="4">
        <v>244</v>
      </c>
      <c r="B245" s="5">
        <v>2364</v>
      </c>
      <c r="C245" s="5" t="s">
        <v>297</v>
      </c>
      <c r="D245" s="5" t="s">
        <v>258</v>
      </c>
      <c r="E245" s="5" t="s">
        <v>45</v>
      </c>
      <c r="F245" s="5" t="s">
        <v>107</v>
      </c>
      <c r="G245" s="5" t="s">
        <v>296</v>
      </c>
      <c r="H245" s="6" t="s">
        <v>12</v>
      </c>
      <c r="I245" s="6" t="s">
        <v>13</v>
      </c>
      <c r="J245" s="7" t="s">
        <v>14</v>
      </c>
      <c r="K245" s="7" t="s">
        <v>14</v>
      </c>
      <c r="L245" s="7" t="s">
        <v>14</v>
      </c>
      <c r="M245" s="7" t="s">
        <v>14</v>
      </c>
      <c r="N245" s="7" t="s">
        <v>14</v>
      </c>
      <c r="O245" s="7" t="s">
        <v>14</v>
      </c>
      <c r="P245" s="6" t="s">
        <v>13</v>
      </c>
      <c r="Q245" s="7" t="s">
        <v>14</v>
      </c>
      <c r="R245" s="7" t="s">
        <v>14</v>
      </c>
      <c r="S245" s="7" t="s">
        <v>14</v>
      </c>
      <c r="T245" s="7" t="s">
        <v>14</v>
      </c>
      <c r="U245" s="7" t="s">
        <v>14</v>
      </c>
      <c r="V245" s="7" t="s">
        <v>14</v>
      </c>
      <c r="W245" s="6" t="s">
        <v>13</v>
      </c>
      <c r="X245" s="7" t="s">
        <v>14</v>
      </c>
      <c r="Y245" s="7" t="s">
        <v>14</v>
      </c>
      <c r="Z245" s="7" t="s">
        <v>14</v>
      </c>
      <c r="AA245" s="7" t="s">
        <v>14</v>
      </c>
      <c r="AB245" s="7" t="s">
        <v>14</v>
      </c>
      <c r="AC245" s="7" t="s">
        <v>14</v>
      </c>
      <c r="AD245" s="6" t="s">
        <v>13</v>
      </c>
      <c r="AE245" s="7" t="s">
        <v>14</v>
      </c>
      <c r="AF245" s="7" t="s">
        <v>14</v>
      </c>
      <c r="AG245" s="7" t="s">
        <v>14</v>
      </c>
      <c r="AH245" s="7" t="s">
        <v>14</v>
      </c>
      <c r="AI245" s="7" t="s">
        <v>14</v>
      </c>
      <c r="AJ245" s="7" t="s">
        <v>14</v>
      </c>
      <c r="AK245" s="6" t="s">
        <v>13</v>
      </c>
      <c r="AL245" s="3"/>
      <c r="AM245" s="3"/>
      <c r="AN245" s="3"/>
      <c r="AO245" s="3"/>
      <c r="AP245" s="3"/>
    </row>
    <row r="246" spans="1:42" ht="15" x14ac:dyDescent="0.2">
      <c r="A246" s="4">
        <v>245</v>
      </c>
      <c r="B246" s="5">
        <v>2365</v>
      </c>
      <c r="C246" s="5" t="s">
        <v>298</v>
      </c>
      <c r="D246" s="5" t="s">
        <v>16</v>
      </c>
      <c r="E246" s="5" t="s">
        <v>45</v>
      </c>
      <c r="F246" s="5" t="s">
        <v>107</v>
      </c>
      <c r="G246" s="5" t="s">
        <v>299</v>
      </c>
      <c r="H246" s="6" t="s">
        <v>12</v>
      </c>
      <c r="I246" s="6" t="s">
        <v>13</v>
      </c>
      <c r="J246" s="9">
        <v>0.37708333333333333</v>
      </c>
      <c r="K246" s="10">
        <v>0.35416666666666669</v>
      </c>
      <c r="L246" s="7" t="s">
        <v>14</v>
      </c>
      <c r="M246" s="7" t="s">
        <v>14</v>
      </c>
      <c r="N246" s="10">
        <v>0.40138888888888891</v>
      </c>
      <c r="O246" s="10">
        <v>0.34652777777777777</v>
      </c>
      <c r="P246" s="6" t="s">
        <v>13</v>
      </c>
      <c r="Q246" s="10">
        <v>0.36805555555555558</v>
      </c>
      <c r="R246" s="7" t="s">
        <v>14</v>
      </c>
      <c r="S246" s="10">
        <v>0.21666666666666667</v>
      </c>
      <c r="T246" s="10">
        <v>0.38124999999999998</v>
      </c>
      <c r="U246" s="10">
        <v>0.3840277777777778</v>
      </c>
      <c r="V246" s="7" t="s">
        <v>14</v>
      </c>
      <c r="W246" s="6" t="s">
        <v>13</v>
      </c>
      <c r="X246" s="10">
        <v>0.39652777777777776</v>
      </c>
      <c r="Y246" s="10">
        <v>0.34791666666666665</v>
      </c>
      <c r="Z246" s="10">
        <v>0.37083333333333335</v>
      </c>
      <c r="AA246" s="10">
        <v>0</v>
      </c>
      <c r="AB246" s="10">
        <v>0.38472222222222224</v>
      </c>
      <c r="AC246" s="10">
        <v>0.38611111111111113</v>
      </c>
      <c r="AD246" s="6" t="s">
        <v>13</v>
      </c>
      <c r="AE246" s="10">
        <v>0.38680555555555557</v>
      </c>
      <c r="AF246" s="10">
        <v>0.32777777777777778</v>
      </c>
      <c r="AG246" s="10">
        <v>0.29652777777777778</v>
      </c>
      <c r="AH246" s="7" t="s">
        <v>14</v>
      </c>
      <c r="AI246" s="7" t="s">
        <v>14</v>
      </c>
      <c r="AJ246" s="7" t="s">
        <v>14</v>
      </c>
      <c r="AK246" s="6" t="s">
        <v>13</v>
      </c>
      <c r="AL246" s="3"/>
      <c r="AM246" s="3"/>
      <c r="AN246" s="3"/>
      <c r="AO246" s="3"/>
      <c r="AP246" s="3"/>
    </row>
    <row r="247" spans="1:42" ht="15" x14ac:dyDescent="0.2">
      <c r="A247" s="4">
        <v>246</v>
      </c>
      <c r="B247" s="5">
        <v>2366</v>
      </c>
      <c r="C247" s="5" t="s">
        <v>300</v>
      </c>
      <c r="D247" s="5" t="s">
        <v>258</v>
      </c>
      <c r="E247" s="5" t="s">
        <v>39</v>
      </c>
      <c r="F247" s="5" t="s">
        <v>301</v>
      </c>
      <c r="G247" s="11">
        <v>45664</v>
      </c>
      <c r="H247" s="6" t="s">
        <v>12</v>
      </c>
      <c r="I247" s="6" t="s">
        <v>13</v>
      </c>
      <c r="J247" s="9">
        <v>0.37916666666666665</v>
      </c>
      <c r="K247" s="7" t="s">
        <v>14</v>
      </c>
      <c r="L247" s="10">
        <v>0.37708333333333333</v>
      </c>
      <c r="M247" s="7" t="s">
        <v>14</v>
      </c>
      <c r="N247" s="10">
        <v>0.37430555555555556</v>
      </c>
      <c r="O247" s="7" t="s">
        <v>14</v>
      </c>
      <c r="P247" s="6" t="s">
        <v>13</v>
      </c>
      <c r="Q247" s="7" t="s">
        <v>14</v>
      </c>
      <c r="R247" s="10">
        <v>0.38263888888888886</v>
      </c>
      <c r="S247" s="10">
        <v>0.37708333333333333</v>
      </c>
      <c r="T247" s="10">
        <v>0.37638888888888888</v>
      </c>
      <c r="U247" s="7" t="s">
        <v>14</v>
      </c>
      <c r="V247" s="7" t="s">
        <v>14</v>
      </c>
      <c r="W247" s="6" t="s">
        <v>13</v>
      </c>
      <c r="X247" s="10">
        <v>0.37569444444444444</v>
      </c>
      <c r="Y247" s="10">
        <v>0.36736111111111114</v>
      </c>
      <c r="Z247" s="7" t="s">
        <v>14</v>
      </c>
      <c r="AA247" s="10">
        <v>0.37708333333333333</v>
      </c>
      <c r="AB247" s="10">
        <v>0.27847222222222223</v>
      </c>
      <c r="AC247" s="10">
        <v>0.32500000000000001</v>
      </c>
      <c r="AD247" s="6" t="s">
        <v>13</v>
      </c>
      <c r="AE247" s="10">
        <v>0.37430555555555556</v>
      </c>
      <c r="AF247" s="7" t="s">
        <v>14</v>
      </c>
      <c r="AG247" s="7" t="s">
        <v>14</v>
      </c>
      <c r="AH247" s="7" t="s">
        <v>14</v>
      </c>
      <c r="AI247" s="7" t="s">
        <v>14</v>
      </c>
      <c r="AJ247" s="7" t="s">
        <v>14</v>
      </c>
      <c r="AK247" s="6" t="s">
        <v>13</v>
      </c>
      <c r="AL247" s="3"/>
      <c r="AM247" s="3"/>
      <c r="AN247" s="3"/>
      <c r="AO247" s="3"/>
      <c r="AP247" s="3"/>
    </row>
    <row r="248" spans="1:42" ht="15" x14ac:dyDescent="0.2">
      <c r="A248" s="4">
        <v>247</v>
      </c>
      <c r="B248" s="5">
        <v>2368</v>
      </c>
      <c r="C248" s="5" t="s">
        <v>253</v>
      </c>
      <c r="D248" s="5" t="s">
        <v>38</v>
      </c>
      <c r="E248" s="5" t="s">
        <v>24</v>
      </c>
      <c r="F248" s="5" t="s">
        <v>107</v>
      </c>
      <c r="G248" s="11">
        <v>45664</v>
      </c>
      <c r="H248" s="6" t="s">
        <v>12</v>
      </c>
      <c r="I248" s="6" t="s">
        <v>13</v>
      </c>
      <c r="J248" s="7" t="s">
        <v>14</v>
      </c>
      <c r="K248" s="7" t="s">
        <v>14</v>
      </c>
      <c r="L248" s="10">
        <v>0.3347222222222222</v>
      </c>
      <c r="M248" s="10">
        <v>0.38263888888888886</v>
      </c>
      <c r="N248" s="10">
        <v>0.39305555555555555</v>
      </c>
      <c r="O248" s="7" t="s">
        <v>14</v>
      </c>
      <c r="P248" s="6" t="s">
        <v>13</v>
      </c>
      <c r="Q248" s="10">
        <v>0.37638888888888888</v>
      </c>
      <c r="R248" s="10">
        <v>0.38333333333333336</v>
      </c>
      <c r="S248" s="10">
        <v>0.38680555555555557</v>
      </c>
      <c r="T248" s="10">
        <v>0.37708333333333333</v>
      </c>
      <c r="U248" s="10">
        <v>0.38611111111111113</v>
      </c>
      <c r="V248" s="10">
        <v>0.38333333333333336</v>
      </c>
      <c r="W248" s="6" t="s">
        <v>13</v>
      </c>
      <c r="X248" s="7" t="s">
        <v>14</v>
      </c>
      <c r="Y248" s="10">
        <v>0.32361111111111113</v>
      </c>
      <c r="Z248" s="10">
        <v>0.3888888888888889</v>
      </c>
      <c r="AA248" s="10">
        <v>0.37638888888888888</v>
      </c>
      <c r="AB248" s="10">
        <v>0.38333333333333336</v>
      </c>
      <c r="AC248" s="10">
        <v>0.25277777777777777</v>
      </c>
      <c r="AD248" s="6" t="s">
        <v>13</v>
      </c>
      <c r="AE248" s="10">
        <v>0.37708333333333333</v>
      </c>
      <c r="AF248" s="10">
        <v>0.37569444444444444</v>
      </c>
      <c r="AG248" s="10">
        <v>0.13333333333333333</v>
      </c>
      <c r="AH248" s="7" t="s">
        <v>14</v>
      </c>
      <c r="AI248" s="7" t="s">
        <v>14</v>
      </c>
      <c r="AJ248" s="7" t="s">
        <v>14</v>
      </c>
      <c r="AK248" s="6" t="s">
        <v>13</v>
      </c>
      <c r="AL248" s="3"/>
      <c r="AM248" s="3"/>
      <c r="AN248" s="3"/>
      <c r="AO248" s="3"/>
      <c r="AP248" s="3"/>
    </row>
    <row r="249" spans="1:42" ht="15" x14ac:dyDescent="0.2">
      <c r="A249" s="4">
        <v>248</v>
      </c>
      <c r="B249" s="5">
        <v>2369</v>
      </c>
      <c r="C249" s="5" t="s">
        <v>302</v>
      </c>
      <c r="D249" s="5" t="s">
        <v>38</v>
      </c>
      <c r="E249" s="5" t="s">
        <v>39</v>
      </c>
      <c r="F249" s="5" t="s">
        <v>107</v>
      </c>
      <c r="G249" s="11">
        <v>45842</v>
      </c>
      <c r="H249" s="6" t="s">
        <v>12</v>
      </c>
      <c r="I249" s="6" t="s">
        <v>13</v>
      </c>
      <c r="J249" s="9">
        <v>0.33541666666666664</v>
      </c>
      <c r="K249" s="10">
        <v>0.34097222222222223</v>
      </c>
      <c r="L249" s="10">
        <v>0.37638888888888888</v>
      </c>
      <c r="M249" s="10">
        <v>0.33958333333333335</v>
      </c>
      <c r="N249" s="10">
        <v>0.37708333333333333</v>
      </c>
      <c r="O249" s="7" t="s">
        <v>14</v>
      </c>
      <c r="P249" s="6" t="s">
        <v>13</v>
      </c>
      <c r="Q249" s="10">
        <v>0.375</v>
      </c>
      <c r="R249" s="7" t="s">
        <v>14</v>
      </c>
      <c r="S249" s="7" t="s">
        <v>14</v>
      </c>
      <c r="T249" s="7" t="s">
        <v>14</v>
      </c>
      <c r="U249" s="7" t="s">
        <v>14</v>
      </c>
      <c r="V249" s="7" t="s">
        <v>14</v>
      </c>
      <c r="W249" s="6" t="s">
        <v>13</v>
      </c>
      <c r="X249" s="7" t="s">
        <v>14</v>
      </c>
      <c r="Y249" s="7" t="s">
        <v>14</v>
      </c>
      <c r="Z249" s="7" t="s">
        <v>14</v>
      </c>
      <c r="AA249" s="7" t="s">
        <v>14</v>
      </c>
      <c r="AB249" s="7" t="s">
        <v>14</v>
      </c>
      <c r="AC249" s="7" t="s">
        <v>14</v>
      </c>
      <c r="AD249" s="6" t="s">
        <v>13</v>
      </c>
      <c r="AE249" s="7" t="s">
        <v>14</v>
      </c>
      <c r="AF249" s="7" t="s">
        <v>14</v>
      </c>
      <c r="AG249" s="7" t="s">
        <v>14</v>
      </c>
      <c r="AH249" s="7" t="s">
        <v>14</v>
      </c>
      <c r="AI249" s="7" t="s">
        <v>14</v>
      </c>
      <c r="AJ249" s="7" t="s">
        <v>14</v>
      </c>
      <c r="AK249" s="6" t="s">
        <v>13</v>
      </c>
      <c r="AL249" s="3"/>
      <c r="AM249" s="3"/>
      <c r="AN249" s="3"/>
      <c r="AO249" s="3"/>
      <c r="AP249" s="3"/>
    </row>
    <row r="250" spans="1:42" ht="15" x14ac:dyDescent="0.2">
      <c r="A250" s="4">
        <v>249</v>
      </c>
      <c r="B250" s="5">
        <v>2371</v>
      </c>
      <c r="C250" s="5" t="s">
        <v>226</v>
      </c>
      <c r="D250" s="5" t="s">
        <v>303</v>
      </c>
      <c r="E250" s="5" t="s">
        <v>124</v>
      </c>
      <c r="F250" s="5" t="s">
        <v>177</v>
      </c>
      <c r="G250" s="11">
        <v>45845</v>
      </c>
      <c r="H250" s="6" t="s">
        <v>12</v>
      </c>
      <c r="I250" s="6" t="s">
        <v>13</v>
      </c>
      <c r="J250" s="9">
        <v>0.37291666666666667</v>
      </c>
      <c r="K250" s="10">
        <v>0.31944444444444442</v>
      </c>
      <c r="L250" s="10">
        <v>0.44027777777777777</v>
      </c>
      <c r="M250" s="10">
        <v>0.34305555555555556</v>
      </c>
      <c r="N250" s="10">
        <v>0.34236111111111112</v>
      </c>
      <c r="O250" s="10">
        <v>0</v>
      </c>
      <c r="P250" s="6" t="s">
        <v>13</v>
      </c>
      <c r="Q250" s="10">
        <v>0.38611111111111113</v>
      </c>
      <c r="R250" s="10">
        <v>0.34583333333333333</v>
      </c>
      <c r="S250" s="10">
        <v>0</v>
      </c>
      <c r="T250" s="10">
        <v>0.44166666666666665</v>
      </c>
      <c r="U250" s="10">
        <v>6.9444444444444447E-4</v>
      </c>
      <c r="V250" s="7" t="s">
        <v>14</v>
      </c>
      <c r="W250" s="6" t="s">
        <v>13</v>
      </c>
      <c r="X250" s="10">
        <v>0.52361111111111114</v>
      </c>
      <c r="Y250" s="10">
        <v>0.36041666666666666</v>
      </c>
      <c r="Z250" s="10">
        <v>0</v>
      </c>
      <c r="AA250" s="10">
        <v>0.30416666666666664</v>
      </c>
      <c r="AB250" s="7" t="s">
        <v>14</v>
      </c>
      <c r="AC250" s="10">
        <v>0.30416666666666664</v>
      </c>
      <c r="AD250" s="6" t="s">
        <v>13</v>
      </c>
      <c r="AE250" s="10">
        <v>0.32847222222222222</v>
      </c>
      <c r="AF250" s="10">
        <v>0.30208333333333331</v>
      </c>
      <c r="AG250" s="10">
        <v>0.26944444444444443</v>
      </c>
      <c r="AH250" s="10">
        <v>0.28055555555555556</v>
      </c>
      <c r="AI250" s="10">
        <v>0.30208333333333331</v>
      </c>
      <c r="AJ250" s="10">
        <v>0.2673611111111111</v>
      </c>
      <c r="AK250" s="6" t="s">
        <v>13</v>
      </c>
      <c r="AL250" s="3"/>
      <c r="AM250" s="3"/>
      <c r="AN250" s="3"/>
      <c r="AO250" s="3"/>
      <c r="AP250" s="3"/>
    </row>
    <row r="251" spans="1:42" ht="15" x14ac:dyDescent="0.2">
      <c r="A251" s="4">
        <v>250</v>
      </c>
      <c r="B251" s="5">
        <v>2372</v>
      </c>
      <c r="C251" s="5" t="s">
        <v>304</v>
      </c>
      <c r="D251" s="5" t="s">
        <v>38</v>
      </c>
      <c r="E251" s="5" t="s">
        <v>24</v>
      </c>
      <c r="F251" s="5" t="s">
        <v>107</v>
      </c>
      <c r="G251" s="11">
        <v>45848</v>
      </c>
      <c r="H251" s="6" t="s">
        <v>12</v>
      </c>
      <c r="I251" s="6" t="s">
        <v>13</v>
      </c>
      <c r="J251" s="9">
        <v>0.33888888888888891</v>
      </c>
      <c r="K251" s="10">
        <v>0.33680555555555558</v>
      </c>
      <c r="L251" s="10">
        <v>0.37361111111111112</v>
      </c>
      <c r="M251" s="10">
        <v>0.36736111111111114</v>
      </c>
      <c r="N251" s="10">
        <v>0.375</v>
      </c>
      <c r="O251" s="10">
        <v>0.35416666666666669</v>
      </c>
      <c r="P251" s="6" t="s">
        <v>13</v>
      </c>
      <c r="Q251" s="10">
        <v>0.31805555555555554</v>
      </c>
      <c r="R251" s="10">
        <v>0.36736111111111114</v>
      </c>
      <c r="S251" s="10">
        <v>0.33055555555555555</v>
      </c>
      <c r="T251" s="10">
        <v>0.34305555555555556</v>
      </c>
      <c r="U251" s="10">
        <v>0.37222222222222223</v>
      </c>
      <c r="V251" s="7" t="s">
        <v>14</v>
      </c>
      <c r="W251" s="6" t="s">
        <v>13</v>
      </c>
      <c r="X251" s="10">
        <v>0.36944444444444446</v>
      </c>
      <c r="Y251" s="10">
        <v>0.37222222222222223</v>
      </c>
      <c r="Z251" s="10">
        <v>0.37222222222222223</v>
      </c>
      <c r="AA251" s="10">
        <v>0.37152777777777779</v>
      </c>
      <c r="AB251" s="10">
        <v>0.3611111111111111</v>
      </c>
      <c r="AC251" s="10">
        <v>1.6666666666666666E-2</v>
      </c>
      <c r="AD251" s="6" t="s">
        <v>13</v>
      </c>
      <c r="AE251" s="10">
        <v>0.33055555555555555</v>
      </c>
      <c r="AF251" s="10">
        <v>0.37361111111111112</v>
      </c>
      <c r="AG251" s="10">
        <v>0.37222222222222223</v>
      </c>
      <c r="AH251" s="10">
        <v>0.34583333333333333</v>
      </c>
      <c r="AI251" s="10">
        <v>0.37291666666666667</v>
      </c>
      <c r="AJ251" s="10">
        <v>0.35347222222222224</v>
      </c>
      <c r="AK251" s="6" t="s">
        <v>13</v>
      </c>
      <c r="AL251" s="3"/>
      <c r="AM251" s="3"/>
      <c r="AN251" s="3"/>
      <c r="AO251" s="3"/>
      <c r="AP251" s="3"/>
    </row>
    <row r="252" spans="1:42" ht="15.75" customHeight="1" x14ac:dyDescent="0.2">
      <c r="A252" s="4">
        <v>251</v>
      </c>
      <c r="B252" s="5">
        <v>2373</v>
      </c>
      <c r="C252" s="5" t="s">
        <v>305</v>
      </c>
      <c r="D252" s="5" t="s">
        <v>176</v>
      </c>
      <c r="E252" s="5" t="s">
        <v>98</v>
      </c>
      <c r="F252" s="5" t="s">
        <v>95</v>
      </c>
      <c r="G252" s="5" t="s">
        <v>47</v>
      </c>
      <c r="H252" s="6" t="s">
        <v>12</v>
      </c>
      <c r="I252" s="6" t="s">
        <v>13</v>
      </c>
      <c r="J252" s="9">
        <v>0</v>
      </c>
      <c r="K252" s="7" t="s">
        <v>14</v>
      </c>
      <c r="L252" s="10">
        <v>0.38263888888888886</v>
      </c>
      <c r="M252" s="7" t="s">
        <v>14</v>
      </c>
      <c r="N252" s="7" t="s">
        <v>14</v>
      </c>
      <c r="O252" s="7" t="s">
        <v>14</v>
      </c>
      <c r="P252" s="6" t="s">
        <v>13</v>
      </c>
      <c r="Q252" s="7" t="s">
        <v>14</v>
      </c>
      <c r="R252" s="7" t="s">
        <v>14</v>
      </c>
      <c r="S252" s="7" t="s">
        <v>14</v>
      </c>
      <c r="T252" s="7" t="s">
        <v>14</v>
      </c>
      <c r="U252" s="7" t="s">
        <v>14</v>
      </c>
      <c r="V252" s="7" t="s">
        <v>14</v>
      </c>
      <c r="W252" s="6" t="s">
        <v>13</v>
      </c>
      <c r="X252" s="7" t="s">
        <v>14</v>
      </c>
      <c r="Y252" s="7" t="s">
        <v>14</v>
      </c>
      <c r="Z252" s="7" t="s">
        <v>14</v>
      </c>
      <c r="AA252" s="7" t="s">
        <v>14</v>
      </c>
      <c r="AB252" s="7" t="s">
        <v>14</v>
      </c>
      <c r="AC252" s="7" t="s">
        <v>14</v>
      </c>
      <c r="AD252" s="6" t="s">
        <v>13</v>
      </c>
      <c r="AE252" s="7" t="s">
        <v>14</v>
      </c>
      <c r="AF252" s="7" t="s">
        <v>14</v>
      </c>
      <c r="AG252" s="7" t="s">
        <v>14</v>
      </c>
      <c r="AH252" s="7" t="s">
        <v>14</v>
      </c>
      <c r="AI252" s="7" t="s">
        <v>14</v>
      </c>
      <c r="AJ252" s="7" t="s">
        <v>14</v>
      </c>
      <c r="AK252" s="6" t="s">
        <v>13</v>
      </c>
      <c r="AL252" s="3"/>
      <c r="AM252" s="3"/>
      <c r="AN252" s="3"/>
      <c r="AO252" s="3"/>
      <c r="AP252" s="3"/>
    </row>
    <row r="253" spans="1:42" ht="15.75" customHeight="1" x14ac:dyDescent="0.2">
      <c r="A253" s="4">
        <v>252</v>
      </c>
      <c r="B253" s="5">
        <v>2374</v>
      </c>
      <c r="C253" s="5" t="s">
        <v>306</v>
      </c>
      <c r="D253" s="5" t="s">
        <v>258</v>
      </c>
      <c r="E253" s="5" t="s">
        <v>39</v>
      </c>
      <c r="F253" s="5" t="s">
        <v>107</v>
      </c>
      <c r="G253" s="5" t="s">
        <v>307</v>
      </c>
      <c r="H253" s="6" t="s">
        <v>12</v>
      </c>
      <c r="I253" s="6" t="s">
        <v>13</v>
      </c>
      <c r="J253" s="9">
        <v>0.3888888888888889</v>
      </c>
      <c r="K253" s="10">
        <v>0.37986111111111109</v>
      </c>
      <c r="L253" s="10">
        <v>0.39513888888888887</v>
      </c>
      <c r="M253" s="10">
        <v>0.37916666666666665</v>
      </c>
      <c r="N253" s="10">
        <v>0.37986111111111109</v>
      </c>
      <c r="O253" s="10">
        <v>0.39444444444444443</v>
      </c>
      <c r="P253" s="6" t="s">
        <v>13</v>
      </c>
      <c r="Q253" s="10">
        <v>0.37569444444444444</v>
      </c>
      <c r="R253" s="10">
        <v>0.37916666666666665</v>
      </c>
      <c r="S253" s="10">
        <v>0.375</v>
      </c>
      <c r="T253" s="10">
        <v>0.37986111111111109</v>
      </c>
      <c r="U253" s="10">
        <v>0.375</v>
      </c>
      <c r="V253" s="10">
        <v>0.37638888888888888</v>
      </c>
      <c r="W253" s="6" t="s">
        <v>13</v>
      </c>
      <c r="X253" s="10">
        <v>0.37569444444444444</v>
      </c>
      <c r="Y253" s="10">
        <v>0.37291666666666667</v>
      </c>
      <c r="Z253" s="10">
        <v>0.37708333333333333</v>
      </c>
      <c r="AA253" s="10">
        <v>0.37569444444444444</v>
      </c>
      <c r="AB253" s="10">
        <v>0.37916666666666665</v>
      </c>
      <c r="AC253" s="7" t="s">
        <v>14</v>
      </c>
      <c r="AD253" s="6" t="s">
        <v>13</v>
      </c>
      <c r="AE253" s="10">
        <v>0.37708333333333333</v>
      </c>
      <c r="AF253" s="10">
        <v>0.37638888888888888</v>
      </c>
      <c r="AG253" s="10">
        <v>0.375</v>
      </c>
      <c r="AH253" s="10">
        <v>0.37777777777777777</v>
      </c>
      <c r="AI253" s="10">
        <v>0.38333333333333336</v>
      </c>
      <c r="AJ253" s="10">
        <v>0.37361111111111112</v>
      </c>
      <c r="AK253" s="6" t="s">
        <v>13</v>
      </c>
      <c r="AL253" s="3"/>
      <c r="AM253" s="3"/>
      <c r="AN253" s="3"/>
      <c r="AO253" s="3"/>
      <c r="AP253" s="3"/>
    </row>
    <row r="254" spans="1:42" ht="15.75" customHeight="1" x14ac:dyDescent="0.2">
      <c r="A254" s="4">
        <v>253</v>
      </c>
      <c r="B254" s="5">
        <v>2375</v>
      </c>
      <c r="C254" s="5" t="s">
        <v>308</v>
      </c>
      <c r="D254" s="5" t="s">
        <v>258</v>
      </c>
      <c r="E254" s="5" t="s">
        <v>39</v>
      </c>
      <c r="F254" s="5" t="s">
        <v>107</v>
      </c>
      <c r="G254" s="11">
        <v>45870</v>
      </c>
      <c r="H254" s="6" t="s">
        <v>12</v>
      </c>
      <c r="I254" s="6" t="s">
        <v>13</v>
      </c>
      <c r="J254" s="9">
        <v>0.3888888888888889</v>
      </c>
      <c r="K254" s="7" t="s">
        <v>14</v>
      </c>
      <c r="L254" s="10">
        <v>0.37847222222222221</v>
      </c>
      <c r="M254" s="10">
        <v>0.37361111111111112</v>
      </c>
      <c r="N254" s="10">
        <v>0.36736111111111114</v>
      </c>
      <c r="O254" s="10">
        <v>0.38611111111111113</v>
      </c>
      <c r="P254" s="6" t="s">
        <v>13</v>
      </c>
      <c r="Q254" s="10">
        <v>0.37430555555555556</v>
      </c>
      <c r="R254" s="10">
        <v>0.37291666666666667</v>
      </c>
      <c r="S254" s="10">
        <v>0.37361111111111112</v>
      </c>
      <c r="T254" s="10">
        <v>0.37847222222222221</v>
      </c>
      <c r="U254" s="10">
        <v>0.37569444444444444</v>
      </c>
      <c r="V254" s="10">
        <v>0.36527777777777776</v>
      </c>
      <c r="W254" s="6" t="s">
        <v>13</v>
      </c>
      <c r="X254" s="10">
        <v>0.375</v>
      </c>
      <c r="Y254" s="10">
        <v>0.37777777777777777</v>
      </c>
      <c r="Z254" s="10">
        <v>0.375</v>
      </c>
      <c r="AA254" s="10">
        <v>0.375</v>
      </c>
      <c r="AB254" s="10">
        <v>0.37777777777777777</v>
      </c>
      <c r="AC254" s="10">
        <v>0.37430555555555556</v>
      </c>
      <c r="AD254" s="6" t="s">
        <v>13</v>
      </c>
      <c r="AE254" s="10">
        <v>0.37569444444444444</v>
      </c>
      <c r="AF254" s="10">
        <v>0.32916666666666666</v>
      </c>
      <c r="AG254" s="7" t="s">
        <v>14</v>
      </c>
      <c r="AH254" s="7" t="s">
        <v>14</v>
      </c>
      <c r="AI254" s="7" t="s">
        <v>14</v>
      </c>
      <c r="AJ254" s="7" t="s">
        <v>14</v>
      </c>
      <c r="AK254" s="6" t="s">
        <v>13</v>
      </c>
      <c r="AL254" s="3"/>
      <c r="AM254" s="3"/>
      <c r="AN254" s="3"/>
      <c r="AO254" s="3"/>
      <c r="AP254" s="3"/>
    </row>
    <row r="255" spans="1:42" ht="15.75" customHeight="1" x14ac:dyDescent="0.2">
      <c r="A255" s="4">
        <v>254</v>
      </c>
      <c r="B255" s="5">
        <v>2378</v>
      </c>
      <c r="C255" s="5" t="s">
        <v>309</v>
      </c>
      <c r="D255" s="5" t="s">
        <v>44</v>
      </c>
      <c r="E255" s="5" t="s">
        <v>28</v>
      </c>
      <c r="F255" s="5" t="s">
        <v>107</v>
      </c>
      <c r="G255" s="11">
        <v>45870</v>
      </c>
      <c r="H255" s="6" t="s">
        <v>12</v>
      </c>
      <c r="I255" s="6" t="s">
        <v>13</v>
      </c>
      <c r="J255" s="9">
        <v>0.34375</v>
      </c>
      <c r="K255" s="10">
        <v>0.39374999999999999</v>
      </c>
      <c r="L255" s="10">
        <v>0.37361111111111112</v>
      </c>
      <c r="M255" s="10">
        <v>0.36944444444444446</v>
      </c>
      <c r="N255" s="10">
        <v>0.37777777777777777</v>
      </c>
      <c r="O255" s="7" t="s">
        <v>14</v>
      </c>
      <c r="P255" s="6" t="s">
        <v>13</v>
      </c>
      <c r="Q255" s="10">
        <v>0.37430555555555556</v>
      </c>
      <c r="R255" s="10">
        <v>0.37013888888888891</v>
      </c>
      <c r="S255" s="7" t="s">
        <v>14</v>
      </c>
      <c r="T255" s="10">
        <v>0.35138888888888886</v>
      </c>
      <c r="U255" s="10">
        <v>0.375</v>
      </c>
      <c r="V255" s="7" t="s">
        <v>14</v>
      </c>
      <c r="W255" s="6" t="s">
        <v>13</v>
      </c>
      <c r="X255" s="7" t="s">
        <v>14</v>
      </c>
      <c r="Y255" s="7" t="s">
        <v>14</v>
      </c>
      <c r="Z255" s="10">
        <v>0.375</v>
      </c>
      <c r="AA255" s="10">
        <v>0.22777777777777777</v>
      </c>
      <c r="AB255" s="7" t="s">
        <v>14</v>
      </c>
      <c r="AC255" s="7" t="s">
        <v>14</v>
      </c>
      <c r="AD255" s="6" t="s">
        <v>13</v>
      </c>
      <c r="AE255" s="7" t="s">
        <v>14</v>
      </c>
      <c r="AF255" s="7" t="s">
        <v>14</v>
      </c>
      <c r="AG255" s="7" t="s">
        <v>14</v>
      </c>
      <c r="AH255" s="7" t="s">
        <v>14</v>
      </c>
      <c r="AI255" s="7" t="s">
        <v>14</v>
      </c>
      <c r="AJ255" s="7" t="s">
        <v>14</v>
      </c>
      <c r="AK255" s="6" t="s">
        <v>13</v>
      </c>
      <c r="AL255" s="3"/>
      <c r="AM255" s="3"/>
      <c r="AN255" s="3"/>
      <c r="AO255" s="3"/>
      <c r="AP255" s="3"/>
    </row>
    <row r="256" spans="1:42" ht="15.75" customHeight="1" x14ac:dyDescent="0.2">
      <c r="A256" s="4">
        <v>255</v>
      </c>
      <c r="B256" s="5">
        <v>2379</v>
      </c>
      <c r="C256" s="5" t="s">
        <v>310</v>
      </c>
      <c r="D256" s="5" t="s">
        <v>311</v>
      </c>
      <c r="E256" s="5" t="s">
        <v>28</v>
      </c>
      <c r="F256" s="5" t="s">
        <v>312</v>
      </c>
      <c r="G256" s="11">
        <v>45881</v>
      </c>
      <c r="H256" s="6" t="s">
        <v>12</v>
      </c>
      <c r="I256" s="6" t="s">
        <v>13</v>
      </c>
      <c r="J256" s="9">
        <v>0.36527777777777776</v>
      </c>
      <c r="K256" s="10">
        <v>0</v>
      </c>
      <c r="L256" s="10">
        <v>0.35694444444444445</v>
      </c>
      <c r="M256" s="10">
        <v>0.36527777777777776</v>
      </c>
      <c r="N256" s="10">
        <v>0</v>
      </c>
      <c r="O256" s="10">
        <v>0.32916666666666666</v>
      </c>
      <c r="P256" s="6" t="s">
        <v>13</v>
      </c>
      <c r="Q256" s="10">
        <v>0.33680555555555558</v>
      </c>
      <c r="R256" s="7" t="s">
        <v>14</v>
      </c>
      <c r="S256" s="10">
        <v>0.3659722222222222</v>
      </c>
      <c r="T256" s="10">
        <v>0.35972222222222222</v>
      </c>
      <c r="U256" s="10">
        <v>0.37291666666666667</v>
      </c>
      <c r="V256" s="10">
        <v>0.28541666666666665</v>
      </c>
      <c r="W256" s="6" t="s">
        <v>13</v>
      </c>
      <c r="X256" s="10">
        <v>0.32222222222222224</v>
      </c>
      <c r="Y256" s="7" t="s">
        <v>14</v>
      </c>
      <c r="Z256" s="10">
        <v>0.36944444444444446</v>
      </c>
      <c r="AA256" s="10">
        <v>0.36319444444444443</v>
      </c>
      <c r="AB256" s="10">
        <v>0.37777777777777777</v>
      </c>
      <c r="AC256" s="7" t="s">
        <v>14</v>
      </c>
      <c r="AD256" s="6" t="s">
        <v>13</v>
      </c>
      <c r="AE256" s="10">
        <v>0.35555555555555557</v>
      </c>
      <c r="AF256" s="10">
        <v>0.35555555555555557</v>
      </c>
      <c r="AG256" s="10">
        <v>0.35902777777777778</v>
      </c>
      <c r="AH256" s="10">
        <v>0.3611111111111111</v>
      </c>
      <c r="AI256" s="10">
        <v>0.35833333333333334</v>
      </c>
      <c r="AJ256" s="7" t="s">
        <v>14</v>
      </c>
      <c r="AK256" s="6" t="s">
        <v>13</v>
      </c>
      <c r="AL256" s="3"/>
      <c r="AM256" s="3"/>
      <c r="AN256" s="3"/>
      <c r="AO256" s="3"/>
      <c r="AP256" s="3"/>
    </row>
    <row r="257" spans="1:42" ht="15" x14ac:dyDescent="0.2">
      <c r="A257" s="4">
        <v>256</v>
      </c>
      <c r="B257" s="5">
        <v>2381</v>
      </c>
      <c r="C257" s="5" t="s">
        <v>313</v>
      </c>
      <c r="D257" s="5" t="s">
        <v>314</v>
      </c>
      <c r="E257" s="5" t="s">
        <v>124</v>
      </c>
      <c r="F257" s="5" t="s">
        <v>315</v>
      </c>
      <c r="G257" s="5" t="s">
        <v>316</v>
      </c>
      <c r="H257" s="6" t="s">
        <v>12</v>
      </c>
      <c r="I257" s="6" t="s">
        <v>13</v>
      </c>
      <c r="J257" s="9">
        <v>0.41388888888888886</v>
      </c>
      <c r="K257" s="10">
        <v>0.37986111111111109</v>
      </c>
      <c r="L257" s="10">
        <v>0.39166666666666666</v>
      </c>
      <c r="M257" s="10">
        <v>0.39166666666666666</v>
      </c>
      <c r="N257" s="10">
        <v>0.38611111111111113</v>
      </c>
      <c r="O257" s="10">
        <v>0.34305555555555556</v>
      </c>
      <c r="P257" s="6" t="s">
        <v>13</v>
      </c>
      <c r="Q257" s="10">
        <v>0.37916666666666665</v>
      </c>
      <c r="R257" s="10">
        <v>0.3972222222222222</v>
      </c>
      <c r="S257" s="10">
        <v>0.36805555555555558</v>
      </c>
      <c r="T257" s="10">
        <v>0.40277777777777779</v>
      </c>
      <c r="U257" s="10">
        <v>0.30486111111111114</v>
      </c>
      <c r="V257" s="7" t="s">
        <v>14</v>
      </c>
      <c r="W257" s="6" t="s">
        <v>13</v>
      </c>
      <c r="X257" s="10">
        <v>0.38611111111111113</v>
      </c>
      <c r="Y257" s="10">
        <v>0.3972222222222222</v>
      </c>
      <c r="Z257" s="10">
        <v>0.37430555555555556</v>
      </c>
      <c r="AA257" s="10">
        <v>0.15763888888888888</v>
      </c>
      <c r="AB257" s="7" t="s">
        <v>14</v>
      </c>
      <c r="AC257" s="7" t="s">
        <v>14</v>
      </c>
      <c r="AD257" s="6" t="s">
        <v>13</v>
      </c>
      <c r="AE257" s="7" t="s">
        <v>14</v>
      </c>
      <c r="AF257" s="7" t="s">
        <v>14</v>
      </c>
      <c r="AG257" s="7" t="s">
        <v>14</v>
      </c>
      <c r="AH257" s="7" t="s">
        <v>14</v>
      </c>
      <c r="AI257" s="7" t="s">
        <v>14</v>
      </c>
      <c r="AJ257" s="7" t="s">
        <v>14</v>
      </c>
      <c r="AK257" s="6" t="s">
        <v>13</v>
      </c>
      <c r="AL257" s="3"/>
      <c r="AM257" s="3"/>
      <c r="AN257" s="3"/>
      <c r="AO257" s="3"/>
      <c r="AP257" s="3"/>
    </row>
    <row r="258" spans="1:42" ht="15" x14ac:dyDescent="0.2">
      <c r="A258" s="4">
        <v>257</v>
      </c>
      <c r="B258" s="5">
        <v>2382</v>
      </c>
      <c r="C258" s="5" t="s">
        <v>317</v>
      </c>
      <c r="D258" s="5" t="s">
        <v>38</v>
      </c>
      <c r="E258" s="5" t="s">
        <v>20</v>
      </c>
      <c r="F258" s="5" t="s">
        <v>107</v>
      </c>
      <c r="G258" s="5" t="s">
        <v>318</v>
      </c>
      <c r="H258" s="6" t="s">
        <v>12</v>
      </c>
      <c r="I258" s="6" t="s">
        <v>13</v>
      </c>
      <c r="J258" s="9">
        <v>0.38055555555555554</v>
      </c>
      <c r="K258" s="10">
        <v>0.40208333333333335</v>
      </c>
      <c r="L258" s="10">
        <v>0.37847222222222221</v>
      </c>
      <c r="M258" s="10">
        <v>0.36736111111111114</v>
      </c>
      <c r="N258" s="10">
        <v>0</v>
      </c>
      <c r="O258" s="10">
        <v>0.37222222222222223</v>
      </c>
      <c r="P258" s="6" t="s">
        <v>13</v>
      </c>
      <c r="Q258" s="10">
        <v>0.37013888888888891</v>
      </c>
      <c r="R258" s="7" t="s">
        <v>14</v>
      </c>
      <c r="S258" s="7" t="s">
        <v>14</v>
      </c>
      <c r="T258" s="7" t="s">
        <v>14</v>
      </c>
      <c r="U258" s="7" t="s">
        <v>14</v>
      </c>
      <c r="V258" s="7" t="s">
        <v>14</v>
      </c>
      <c r="W258" s="6" t="s">
        <v>13</v>
      </c>
      <c r="X258" s="7" t="s">
        <v>14</v>
      </c>
      <c r="Y258" s="7" t="s">
        <v>14</v>
      </c>
      <c r="Z258" s="7" t="s">
        <v>14</v>
      </c>
      <c r="AA258" s="7" t="s">
        <v>14</v>
      </c>
      <c r="AB258" s="7" t="s">
        <v>14</v>
      </c>
      <c r="AC258" s="7" t="s">
        <v>14</v>
      </c>
      <c r="AD258" s="6" t="s">
        <v>13</v>
      </c>
      <c r="AE258" s="7" t="s">
        <v>14</v>
      </c>
      <c r="AF258" s="7" t="s">
        <v>14</v>
      </c>
      <c r="AG258" s="7" t="s">
        <v>14</v>
      </c>
      <c r="AH258" s="7" t="s">
        <v>14</v>
      </c>
      <c r="AI258" s="7" t="s">
        <v>14</v>
      </c>
      <c r="AJ258" s="7" t="s">
        <v>14</v>
      </c>
      <c r="AK258" s="6" t="s">
        <v>13</v>
      </c>
      <c r="AL258" s="3"/>
      <c r="AM258" s="3"/>
      <c r="AN258" s="3"/>
      <c r="AO258" s="3"/>
      <c r="AP258" s="3"/>
    </row>
    <row r="259" spans="1:42" ht="15" x14ac:dyDescent="0.2">
      <c r="A259" s="4">
        <v>258</v>
      </c>
      <c r="B259" s="5">
        <v>2383</v>
      </c>
      <c r="C259" s="5" t="s">
        <v>319</v>
      </c>
      <c r="D259" s="5" t="s">
        <v>136</v>
      </c>
      <c r="E259" s="5" t="s">
        <v>137</v>
      </c>
      <c r="F259" s="5" t="s">
        <v>107</v>
      </c>
      <c r="G259" s="11">
        <v>45881</v>
      </c>
      <c r="H259" s="6" t="s">
        <v>12</v>
      </c>
      <c r="I259" s="6" t="s">
        <v>13</v>
      </c>
      <c r="J259" s="9">
        <v>0.3298611111111111</v>
      </c>
      <c r="K259" s="10">
        <v>0.33958333333333335</v>
      </c>
      <c r="L259" s="7" t="s">
        <v>14</v>
      </c>
      <c r="M259" s="10">
        <v>0.37430555555555556</v>
      </c>
      <c r="N259" s="10">
        <v>0.36527777777777776</v>
      </c>
      <c r="O259" s="7" t="s">
        <v>14</v>
      </c>
      <c r="P259" s="6" t="s">
        <v>13</v>
      </c>
      <c r="Q259" s="10">
        <v>0.33611111111111114</v>
      </c>
      <c r="R259" s="10">
        <v>0.35</v>
      </c>
      <c r="S259" s="10">
        <v>0.33263888888888887</v>
      </c>
      <c r="T259" s="7" t="s">
        <v>14</v>
      </c>
      <c r="U259" s="10">
        <v>0.36527777777777776</v>
      </c>
      <c r="V259" s="7" t="s">
        <v>14</v>
      </c>
      <c r="W259" s="6" t="s">
        <v>13</v>
      </c>
      <c r="X259" s="7" t="s">
        <v>14</v>
      </c>
      <c r="Y259" s="10">
        <v>0.29444444444444445</v>
      </c>
      <c r="Z259" s="10">
        <v>0.30902777777777779</v>
      </c>
      <c r="AA259" s="10">
        <v>0.34583333333333333</v>
      </c>
      <c r="AB259" s="7" t="s">
        <v>14</v>
      </c>
      <c r="AC259" s="10">
        <v>0.31736111111111109</v>
      </c>
      <c r="AD259" s="6" t="s">
        <v>13</v>
      </c>
      <c r="AE259" s="10">
        <v>0.34722222222222221</v>
      </c>
      <c r="AF259" s="10">
        <v>0.33263888888888887</v>
      </c>
      <c r="AG259" s="10">
        <v>0.34236111111111112</v>
      </c>
      <c r="AH259" s="7" t="s">
        <v>14</v>
      </c>
      <c r="AI259" s="10">
        <v>0.36388888888888887</v>
      </c>
      <c r="AJ259" s="7" t="s">
        <v>14</v>
      </c>
      <c r="AK259" s="6" t="s">
        <v>13</v>
      </c>
      <c r="AL259" s="3"/>
      <c r="AM259" s="3"/>
      <c r="AN259" s="3"/>
      <c r="AO259" s="3"/>
      <c r="AP259" s="3"/>
    </row>
    <row r="260" spans="1:42" ht="15" x14ac:dyDescent="0.2">
      <c r="A260" s="4">
        <v>259</v>
      </c>
      <c r="B260" s="5">
        <v>2384</v>
      </c>
      <c r="C260" s="5" t="s">
        <v>163</v>
      </c>
      <c r="D260" s="5" t="s">
        <v>320</v>
      </c>
      <c r="E260" s="5" t="s">
        <v>39</v>
      </c>
      <c r="F260" s="5" t="s">
        <v>107</v>
      </c>
      <c r="G260" s="5" t="s">
        <v>321</v>
      </c>
      <c r="H260" s="6" t="s">
        <v>12</v>
      </c>
      <c r="I260" s="6" t="s">
        <v>13</v>
      </c>
      <c r="J260" s="9">
        <v>5.347222222222222E-2</v>
      </c>
      <c r="K260" s="10">
        <v>0.34375</v>
      </c>
      <c r="L260" s="10">
        <v>0.37430555555555556</v>
      </c>
      <c r="M260" s="10">
        <v>0.36388888888888887</v>
      </c>
      <c r="N260" s="10">
        <v>0.37708333333333333</v>
      </c>
      <c r="O260" s="7" t="s">
        <v>14</v>
      </c>
      <c r="P260" s="6" t="s">
        <v>13</v>
      </c>
      <c r="Q260" s="10">
        <v>0.37569444444444444</v>
      </c>
      <c r="R260" s="10">
        <v>0.37013888888888891</v>
      </c>
      <c r="S260" s="10">
        <v>0.36875000000000002</v>
      </c>
      <c r="T260" s="10">
        <v>0.37430555555555556</v>
      </c>
      <c r="U260" s="10">
        <v>0.37430555555555556</v>
      </c>
      <c r="V260" s="10">
        <v>0.36319444444444443</v>
      </c>
      <c r="W260" s="6" t="s">
        <v>13</v>
      </c>
      <c r="X260" s="10">
        <v>0.38750000000000001</v>
      </c>
      <c r="Y260" s="10">
        <v>0.37708333333333333</v>
      </c>
      <c r="Z260" s="10">
        <v>0.375</v>
      </c>
      <c r="AA260" s="10">
        <v>0.38263888888888886</v>
      </c>
      <c r="AB260" s="10">
        <v>0.3888888888888889</v>
      </c>
      <c r="AC260" s="10">
        <v>0.36249999999999999</v>
      </c>
      <c r="AD260" s="6" t="s">
        <v>13</v>
      </c>
      <c r="AE260" s="10">
        <v>0.38472222222222224</v>
      </c>
      <c r="AF260" s="10">
        <v>0.39097222222222222</v>
      </c>
      <c r="AG260" s="10">
        <v>0.37986111111111109</v>
      </c>
      <c r="AH260" s="10">
        <v>0.17847222222222223</v>
      </c>
      <c r="AI260" s="7" t="s">
        <v>14</v>
      </c>
      <c r="AJ260" s="7" t="s">
        <v>14</v>
      </c>
      <c r="AK260" s="6" t="s">
        <v>13</v>
      </c>
      <c r="AL260" s="3"/>
      <c r="AM260" s="3"/>
      <c r="AN260" s="3"/>
      <c r="AO260" s="3"/>
      <c r="AP260" s="3"/>
    </row>
    <row r="261" spans="1:42" ht="15" x14ac:dyDescent="0.2">
      <c r="A261" s="4">
        <v>260</v>
      </c>
      <c r="B261" s="5">
        <v>2385</v>
      </c>
      <c r="C261" s="5" t="s">
        <v>322</v>
      </c>
      <c r="D261" s="5" t="s">
        <v>44</v>
      </c>
      <c r="E261" s="5" t="s">
        <v>39</v>
      </c>
      <c r="F261" s="5" t="s">
        <v>107</v>
      </c>
      <c r="G261" s="5" t="s">
        <v>321</v>
      </c>
      <c r="H261" s="6" t="s">
        <v>12</v>
      </c>
      <c r="I261" s="6" t="s">
        <v>13</v>
      </c>
      <c r="J261" s="9">
        <v>0.39791666666666664</v>
      </c>
      <c r="K261" s="10">
        <v>0.37361111111111112</v>
      </c>
      <c r="L261" s="10">
        <v>0.3840277777777778</v>
      </c>
      <c r="M261" s="10">
        <v>0.3840277777777778</v>
      </c>
      <c r="N261" s="10">
        <v>0.3659722222222222</v>
      </c>
      <c r="O261" s="7" t="s">
        <v>14</v>
      </c>
      <c r="P261" s="6" t="s">
        <v>13</v>
      </c>
      <c r="Q261" s="10">
        <v>0.3611111111111111</v>
      </c>
      <c r="R261" s="10">
        <v>0.40138888888888891</v>
      </c>
      <c r="S261" s="10">
        <v>0.37708333333333333</v>
      </c>
      <c r="T261" s="10">
        <v>0.37361111111111112</v>
      </c>
      <c r="U261" s="10">
        <v>0.38819444444444445</v>
      </c>
      <c r="V261" s="10">
        <v>0.32708333333333334</v>
      </c>
      <c r="W261" s="6" t="s">
        <v>13</v>
      </c>
      <c r="X261" s="10">
        <v>0.39930555555555558</v>
      </c>
      <c r="Y261" s="10">
        <v>0.3888888888888889</v>
      </c>
      <c r="Z261" s="10">
        <v>0.37638888888888888</v>
      </c>
      <c r="AA261" s="10">
        <v>0.37569444444444444</v>
      </c>
      <c r="AB261" s="10">
        <v>0.37638888888888888</v>
      </c>
      <c r="AC261" s="10">
        <v>0.31319444444444444</v>
      </c>
      <c r="AD261" s="6" t="s">
        <v>13</v>
      </c>
      <c r="AE261" s="10">
        <v>0.38194444444444442</v>
      </c>
      <c r="AF261" s="10">
        <v>0.37847222222222221</v>
      </c>
      <c r="AG261" s="10">
        <v>0.37916666666666665</v>
      </c>
      <c r="AH261" s="10">
        <v>0.36666666666666664</v>
      </c>
      <c r="AI261" s="10">
        <v>0.19097222222222221</v>
      </c>
      <c r="AJ261" s="7" t="s">
        <v>14</v>
      </c>
      <c r="AK261" s="6" t="s">
        <v>13</v>
      </c>
      <c r="AL261" s="3"/>
      <c r="AM261" s="3"/>
      <c r="AN261" s="3"/>
      <c r="AO261" s="3"/>
      <c r="AP261" s="3"/>
    </row>
    <row r="262" spans="1:42" ht="15" x14ac:dyDescent="0.2">
      <c r="A262" s="4">
        <v>261</v>
      </c>
      <c r="B262" s="5">
        <v>2386</v>
      </c>
      <c r="C262" s="5" t="s">
        <v>45</v>
      </c>
      <c r="D262" s="5" t="s">
        <v>258</v>
      </c>
      <c r="E262" s="5" t="s">
        <v>85</v>
      </c>
      <c r="F262" s="5" t="s">
        <v>125</v>
      </c>
      <c r="G262" s="11">
        <v>45666</v>
      </c>
      <c r="H262" s="6" t="s">
        <v>12</v>
      </c>
      <c r="I262" s="6" t="s">
        <v>13</v>
      </c>
      <c r="J262" s="9">
        <v>0.3840277777777778</v>
      </c>
      <c r="K262" s="10">
        <v>0.38124999999999998</v>
      </c>
      <c r="L262" s="10">
        <v>0.32222222222222224</v>
      </c>
      <c r="M262" s="10">
        <v>0.32916666666666666</v>
      </c>
      <c r="N262" s="10">
        <v>0.34513888888888888</v>
      </c>
      <c r="O262" s="7" t="s">
        <v>14</v>
      </c>
      <c r="P262" s="6" t="s">
        <v>13</v>
      </c>
      <c r="Q262" s="10">
        <v>0.36041666666666666</v>
      </c>
      <c r="R262" s="10">
        <v>8.9583333333333334E-2</v>
      </c>
      <c r="S262" s="7" t="s">
        <v>14</v>
      </c>
      <c r="T262" s="10">
        <v>0.36458333333333331</v>
      </c>
      <c r="U262" s="10">
        <v>0.37847222222222221</v>
      </c>
      <c r="V262" s="10">
        <v>0.27777777777777779</v>
      </c>
      <c r="W262" s="6" t="s">
        <v>13</v>
      </c>
      <c r="X262" s="10">
        <v>0.22013888888888888</v>
      </c>
      <c r="Y262" s="7" t="s">
        <v>14</v>
      </c>
      <c r="Z262" s="7" t="s">
        <v>14</v>
      </c>
      <c r="AA262" s="10">
        <v>0</v>
      </c>
      <c r="AB262" s="10">
        <v>0.18194444444444444</v>
      </c>
      <c r="AC262" s="7" t="s">
        <v>14</v>
      </c>
      <c r="AD262" s="6" t="s">
        <v>13</v>
      </c>
      <c r="AE262" s="10">
        <v>0</v>
      </c>
      <c r="AF262" s="7" t="s">
        <v>14</v>
      </c>
      <c r="AG262" s="10">
        <v>0.33888888888888891</v>
      </c>
      <c r="AH262" s="10">
        <v>0</v>
      </c>
      <c r="AI262" s="10">
        <v>0.39930555555555558</v>
      </c>
      <c r="AJ262" s="7" t="s">
        <v>14</v>
      </c>
      <c r="AK262" s="6" t="s">
        <v>13</v>
      </c>
      <c r="AL262" s="3"/>
      <c r="AM262" s="3"/>
      <c r="AN262" s="3"/>
      <c r="AO262" s="3"/>
      <c r="AP262" s="3"/>
    </row>
    <row r="263" spans="1:42" ht="15" x14ac:dyDescent="0.2">
      <c r="A263" s="4">
        <v>262</v>
      </c>
      <c r="B263" s="5">
        <v>2387</v>
      </c>
      <c r="C263" s="5" t="s">
        <v>323</v>
      </c>
      <c r="D263" s="5" t="s">
        <v>38</v>
      </c>
      <c r="E263" s="5" t="s">
        <v>39</v>
      </c>
      <c r="F263" s="5" t="s">
        <v>107</v>
      </c>
      <c r="G263" s="11">
        <v>45697</v>
      </c>
      <c r="H263" s="6" t="s">
        <v>12</v>
      </c>
      <c r="I263" s="6" t="s">
        <v>13</v>
      </c>
      <c r="J263" s="9">
        <v>0.38472222222222224</v>
      </c>
      <c r="K263" s="10">
        <v>0.3659722222222222</v>
      </c>
      <c r="L263" s="10">
        <v>0.37916666666666665</v>
      </c>
      <c r="M263" s="10">
        <v>0.3923611111111111</v>
      </c>
      <c r="N263" s="10">
        <v>0.35138888888888886</v>
      </c>
      <c r="O263" s="10">
        <v>0.3888888888888889</v>
      </c>
      <c r="P263" s="6" t="s">
        <v>13</v>
      </c>
      <c r="Q263" s="10">
        <v>0.38472222222222224</v>
      </c>
      <c r="R263" s="10">
        <v>0.37916666666666665</v>
      </c>
      <c r="S263" s="10">
        <v>0.37569444444444444</v>
      </c>
      <c r="T263" s="10">
        <v>0.39791666666666664</v>
      </c>
      <c r="U263" s="10">
        <v>0.37361111111111112</v>
      </c>
      <c r="V263" s="7" t="s">
        <v>14</v>
      </c>
      <c r="W263" s="6" t="s">
        <v>13</v>
      </c>
      <c r="X263" s="10">
        <v>0.39444444444444443</v>
      </c>
      <c r="Y263" s="10">
        <v>0.39791666666666664</v>
      </c>
      <c r="Z263" s="10">
        <v>0.3888888888888889</v>
      </c>
      <c r="AA263" s="10">
        <v>0.42499999999999999</v>
      </c>
      <c r="AB263" s="10">
        <v>0.39444444444444443</v>
      </c>
      <c r="AC263" s="10">
        <v>0.37777777777777777</v>
      </c>
      <c r="AD263" s="6" t="s">
        <v>13</v>
      </c>
      <c r="AE263" s="10">
        <v>0.37986111111111109</v>
      </c>
      <c r="AF263" s="10">
        <v>0.37569444444444444</v>
      </c>
      <c r="AG263" s="10">
        <v>0.40763888888888888</v>
      </c>
      <c r="AH263" s="10">
        <v>0.30208333333333331</v>
      </c>
      <c r="AI263" s="7" t="s">
        <v>14</v>
      </c>
      <c r="AJ263" s="10">
        <v>0.40486111111111112</v>
      </c>
      <c r="AK263" s="6" t="s">
        <v>13</v>
      </c>
      <c r="AL263" s="3"/>
      <c r="AM263" s="3"/>
      <c r="AN263" s="3"/>
      <c r="AO263" s="3"/>
      <c r="AP263" s="3"/>
    </row>
    <row r="264" spans="1:42" ht="15" x14ac:dyDescent="0.2">
      <c r="A264" s="4">
        <v>263</v>
      </c>
      <c r="B264" s="5">
        <v>2388</v>
      </c>
      <c r="C264" s="5" t="s">
        <v>324</v>
      </c>
      <c r="D264" s="5" t="s">
        <v>303</v>
      </c>
      <c r="E264" s="5" t="s">
        <v>226</v>
      </c>
      <c r="F264" s="5" t="s">
        <v>315</v>
      </c>
      <c r="G264" s="11">
        <v>45878</v>
      </c>
      <c r="H264" s="6" t="s">
        <v>12</v>
      </c>
      <c r="I264" s="6" t="s">
        <v>13</v>
      </c>
      <c r="J264" s="9">
        <v>0.38194444444444442</v>
      </c>
      <c r="K264" s="10">
        <v>0.36388888888888887</v>
      </c>
      <c r="L264" s="10">
        <v>0.3611111111111111</v>
      </c>
      <c r="M264" s="10">
        <v>0.3611111111111111</v>
      </c>
      <c r="N264" s="7" t="s">
        <v>14</v>
      </c>
      <c r="O264" s="7" t="s">
        <v>14</v>
      </c>
      <c r="P264" s="6" t="s">
        <v>13</v>
      </c>
      <c r="Q264" s="10">
        <v>0.36944444444444446</v>
      </c>
      <c r="R264" s="10">
        <v>0.36249999999999999</v>
      </c>
      <c r="S264" s="7" t="s">
        <v>14</v>
      </c>
      <c r="T264" s="10">
        <v>0.37430555555555556</v>
      </c>
      <c r="U264" s="10">
        <v>0.36527777777777776</v>
      </c>
      <c r="V264" s="10">
        <v>0.14444444444444443</v>
      </c>
      <c r="W264" s="6" t="s">
        <v>13</v>
      </c>
      <c r="X264" s="10">
        <v>0.36041666666666666</v>
      </c>
      <c r="Y264" s="10">
        <v>0.36527777777777776</v>
      </c>
      <c r="Z264" s="10">
        <v>0.21666666666666667</v>
      </c>
      <c r="AA264" s="7" t="s">
        <v>14</v>
      </c>
      <c r="AB264" s="7" t="s">
        <v>14</v>
      </c>
      <c r="AC264" s="7" t="s">
        <v>14</v>
      </c>
      <c r="AD264" s="6" t="s">
        <v>13</v>
      </c>
      <c r="AE264" s="7" t="s">
        <v>14</v>
      </c>
      <c r="AF264" s="7" t="s">
        <v>14</v>
      </c>
      <c r="AG264" s="7" t="s">
        <v>14</v>
      </c>
      <c r="AH264" s="10">
        <v>0.31041666666666667</v>
      </c>
      <c r="AI264" s="10">
        <v>0.33333333333333331</v>
      </c>
      <c r="AJ264" s="10">
        <v>0.15347222222222223</v>
      </c>
      <c r="AK264" s="6" t="s">
        <v>13</v>
      </c>
      <c r="AL264" s="3"/>
      <c r="AM264" s="3"/>
      <c r="AN264" s="3"/>
      <c r="AO264" s="3"/>
      <c r="AP264" s="3"/>
    </row>
    <row r="265" spans="1:42" ht="15" x14ac:dyDescent="0.2">
      <c r="A265" s="4">
        <v>264</v>
      </c>
      <c r="B265" s="5">
        <v>2389</v>
      </c>
      <c r="C265" s="5" t="s">
        <v>325</v>
      </c>
      <c r="D265" s="5" t="s">
        <v>83</v>
      </c>
      <c r="E265" s="5" t="s">
        <v>39</v>
      </c>
      <c r="F265" s="5" t="s">
        <v>107</v>
      </c>
      <c r="G265" s="8">
        <v>45740</v>
      </c>
      <c r="H265" s="6" t="s">
        <v>12</v>
      </c>
      <c r="I265" s="6" t="s">
        <v>13</v>
      </c>
      <c r="J265" s="9">
        <v>4.8611111111111112E-2</v>
      </c>
      <c r="K265" s="10">
        <v>0.38055555555555554</v>
      </c>
      <c r="L265" s="10">
        <v>0.38263888888888886</v>
      </c>
      <c r="M265" s="10">
        <v>0.38055555555555554</v>
      </c>
      <c r="N265" s="10">
        <v>0.37430555555555556</v>
      </c>
      <c r="O265" s="10">
        <v>0.38263888888888886</v>
      </c>
      <c r="P265" s="6" t="s">
        <v>13</v>
      </c>
      <c r="Q265" s="10">
        <v>0.3840277777777778</v>
      </c>
      <c r="R265" s="10">
        <v>0.39374999999999999</v>
      </c>
      <c r="S265" s="10">
        <v>0.38472222222222224</v>
      </c>
      <c r="T265" s="10">
        <v>0.38194444444444442</v>
      </c>
      <c r="U265" s="10">
        <v>0.38194444444444442</v>
      </c>
      <c r="V265" s="7" t="s">
        <v>14</v>
      </c>
      <c r="W265" s="6" t="s">
        <v>13</v>
      </c>
      <c r="X265" s="10">
        <v>0.37708333333333333</v>
      </c>
      <c r="Y265" s="10">
        <v>0.4</v>
      </c>
      <c r="Z265" s="10">
        <v>0.38124999999999998</v>
      </c>
      <c r="AA265" s="10">
        <v>0.37708333333333333</v>
      </c>
      <c r="AB265" s="10">
        <v>0.32847222222222222</v>
      </c>
      <c r="AC265" s="10">
        <v>0.37986111111111109</v>
      </c>
      <c r="AD265" s="6" t="s">
        <v>13</v>
      </c>
      <c r="AE265" s="7" t="s">
        <v>14</v>
      </c>
      <c r="AF265" s="10">
        <v>0.37430555555555556</v>
      </c>
      <c r="AG265" s="10">
        <v>0.38472222222222224</v>
      </c>
      <c r="AH265" s="10">
        <v>0.38750000000000001</v>
      </c>
      <c r="AI265" s="10">
        <v>0.38541666666666669</v>
      </c>
      <c r="AJ265" s="10">
        <v>0.33888888888888891</v>
      </c>
      <c r="AK265" s="6" t="s">
        <v>13</v>
      </c>
      <c r="AL265" s="3"/>
      <c r="AM265" s="3"/>
      <c r="AN265" s="3"/>
      <c r="AO265" s="3"/>
      <c r="AP265" s="3"/>
    </row>
    <row r="266" spans="1:42" ht="15" x14ac:dyDescent="0.2">
      <c r="A266" s="4">
        <v>265</v>
      </c>
      <c r="B266" s="12">
        <v>2390</v>
      </c>
      <c r="C266" s="12" t="s">
        <v>326</v>
      </c>
      <c r="D266" s="12" t="s">
        <v>303</v>
      </c>
      <c r="E266" s="5" t="s">
        <v>226</v>
      </c>
      <c r="F266" s="12" t="s">
        <v>107</v>
      </c>
      <c r="G266" s="5" t="s">
        <v>327</v>
      </c>
      <c r="H266" s="6" t="s">
        <v>12</v>
      </c>
      <c r="I266" s="6" t="s">
        <v>13</v>
      </c>
      <c r="J266" s="9">
        <v>0.33958333333333335</v>
      </c>
      <c r="K266" s="10">
        <v>0.33750000000000002</v>
      </c>
      <c r="L266" s="10">
        <v>0.37569444444444444</v>
      </c>
      <c r="M266" s="10">
        <v>0.37013888888888891</v>
      </c>
      <c r="N266" s="10">
        <v>0.36736111111111114</v>
      </c>
      <c r="O266" s="7" t="s">
        <v>14</v>
      </c>
      <c r="P266" s="6" t="s">
        <v>13</v>
      </c>
      <c r="Q266" s="7" t="s">
        <v>14</v>
      </c>
      <c r="R266" s="10">
        <v>0.36944444444444446</v>
      </c>
      <c r="S266" s="10">
        <v>0.37291666666666667</v>
      </c>
      <c r="T266" s="10">
        <v>0.37361111111111112</v>
      </c>
      <c r="U266" s="10">
        <v>0.37361111111111112</v>
      </c>
      <c r="V266" s="10">
        <v>0.32500000000000001</v>
      </c>
      <c r="W266" s="6" t="s">
        <v>13</v>
      </c>
      <c r="X266" s="10">
        <v>0.37083333333333335</v>
      </c>
      <c r="Y266" s="10">
        <v>0.37430555555555556</v>
      </c>
      <c r="Z266" s="10">
        <v>0.375</v>
      </c>
      <c r="AA266" s="10">
        <v>0.39652777777777776</v>
      </c>
      <c r="AB266" s="10">
        <v>0.37083333333333335</v>
      </c>
      <c r="AC266" s="10">
        <v>0.30138888888888887</v>
      </c>
      <c r="AD266" s="6" t="s">
        <v>13</v>
      </c>
      <c r="AE266" s="10">
        <v>0.37222222222222223</v>
      </c>
      <c r="AF266" s="10">
        <v>0.37430555555555556</v>
      </c>
      <c r="AG266" s="10">
        <v>0.37291666666666667</v>
      </c>
      <c r="AH266" s="7" t="s">
        <v>14</v>
      </c>
      <c r="AI266" s="10">
        <v>0.37222222222222223</v>
      </c>
      <c r="AJ266" s="7" t="s">
        <v>14</v>
      </c>
      <c r="AK266" s="6" t="s">
        <v>13</v>
      </c>
      <c r="AL266" s="3"/>
      <c r="AM266" s="3"/>
      <c r="AN266" s="3"/>
      <c r="AO266" s="3"/>
      <c r="AP266" s="3"/>
    </row>
    <row r="267" spans="1:42" ht="15" x14ac:dyDescent="0.2">
      <c r="A267" s="4">
        <v>266</v>
      </c>
      <c r="B267" s="12">
        <v>2391</v>
      </c>
      <c r="C267" s="12" t="s">
        <v>328</v>
      </c>
      <c r="D267" s="12" t="s">
        <v>31</v>
      </c>
      <c r="E267" s="5" t="s">
        <v>39</v>
      </c>
      <c r="F267" s="12" t="s">
        <v>107</v>
      </c>
      <c r="G267" s="5" t="s">
        <v>63</v>
      </c>
      <c r="H267" s="6" t="s">
        <v>12</v>
      </c>
      <c r="I267" s="6" t="s">
        <v>13</v>
      </c>
      <c r="J267" s="7" t="s">
        <v>14</v>
      </c>
      <c r="K267" s="10">
        <v>0.375</v>
      </c>
      <c r="L267" s="10">
        <v>0.38541666666666669</v>
      </c>
      <c r="M267" s="10">
        <v>0.37430555555555556</v>
      </c>
      <c r="N267" s="10">
        <v>0.37222222222222223</v>
      </c>
      <c r="O267" s="10">
        <v>0.37430555555555556</v>
      </c>
      <c r="P267" s="6" t="s">
        <v>13</v>
      </c>
      <c r="Q267" s="10">
        <v>0.35902777777777778</v>
      </c>
      <c r="R267" s="10">
        <v>0.37916666666666665</v>
      </c>
      <c r="S267" s="10">
        <v>0.375</v>
      </c>
      <c r="T267" s="10">
        <v>0.37569444444444444</v>
      </c>
      <c r="U267" s="7" t="s">
        <v>14</v>
      </c>
      <c r="V267" s="10">
        <v>0.37152777777777779</v>
      </c>
      <c r="W267" s="6" t="s">
        <v>13</v>
      </c>
      <c r="X267" s="10">
        <v>0.37361111111111112</v>
      </c>
      <c r="Y267" s="10">
        <v>0.37569444444444444</v>
      </c>
      <c r="Z267" s="10">
        <v>0.37569444444444444</v>
      </c>
      <c r="AA267" s="10">
        <v>0.37638888888888888</v>
      </c>
      <c r="AB267" s="10">
        <v>0.37569444444444444</v>
      </c>
      <c r="AC267" s="7" t="s">
        <v>14</v>
      </c>
      <c r="AD267" s="6" t="s">
        <v>13</v>
      </c>
      <c r="AE267" s="10">
        <v>0.37638888888888888</v>
      </c>
      <c r="AF267" s="10">
        <v>0.37569444444444444</v>
      </c>
      <c r="AG267" s="10">
        <v>0.37569444444444444</v>
      </c>
      <c r="AH267" s="7" t="s">
        <v>14</v>
      </c>
      <c r="AI267" s="10">
        <v>0.37916666666666665</v>
      </c>
      <c r="AJ267" s="10">
        <v>0.37986111111111109</v>
      </c>
      <c r="AK267" s="6" t="s">
        <v>13</v>
      </c>
      <c r="AL267" s="3"/>
      <c r="AM267" s="3"/>
      <c r="AN267" s="3"/>
      <c r="AO267" s="3"/>
      <c r="AP267" s="3"/>
    </row>
    <row r="268" spans="1:42" ht="15" x14ac:dyDescent="0.2">
      <c r="A268" s="4">
        <v>267</v>
      </c>
      <c r="B268" s="12">
        <v>2393</v>
      </c>
      <c r="C268" s="12" t="s">
        <v>329</v>
      </c>
      <c r="D268" s="12" t="s">
        <v>330</v>
      </c>
      <c r="E268" s="5" t="s">
        <v>45</v>
      </c>
      <c r="F268" s="12" t="s">
        <v>107</v>
      </c>
      <c r="G268" s="5" t="s">
        <v>331</v>
      </c>
      <c r="H268" s="6" t="s">
        <v>12</v>
      </c>
      <c r="I268" s="6" t="s">
        <v>13</v>
      </c>
      <c r="J268" s="9">
        <v>0.33958333333333335</v>
      </c>
      <c r="K268" s="10">
        <v>0.375</v>
      </c>
      <c r="L268" s="10">
        <v>0</v>
      </c>
      <c r="M268" s="10">
        <v>0.37430555555555556</v>
      </c>
      <c r="N268" s="10">
        <v>0.37361111111111112</v>
      </c>
      <c r="O268" s="10">
        <v>0.37430555555555556</v>
      </c>
      <c r="P268" s="6" t="s">
        <v>13</v>
      </c>
      <c r="Q268" s="10">
        <v>0.35902777777777778</v>
      </c>
      <c r="R268" s="10">
        <v>0.37986111111111109</v>
      </c>
      <c r="S268" s="10">
        <v>0.375</v>
      </c>
      <c r="T268" s="10">
        <v>0.37569444444444444</v>
      </c>
      <c r="U268" s="10">
        <v>0.38055555555555554</v>
      </c>
      <c r="V268" s="10">
        <v>0.37222222222222223</v>
      </c>
      <c r="W268" s="6" t="s">
        <v>13</v>
      </c>
      <c r="X268" s="10">
        <v>0.37361111111111112</v>
      </c>
      <c r="Y268" s="10">
        <v>0.37569444444444444</v>
      </c>
      <c r="Z268" s="10">
        <v>0.37569444444444444</v>
      </c>
      <c r="AA268" s="10">
        <v>0.37638888888888888</v>
      </c>
      <c r="AB268" s="10">
        <v>0.37569444444444444</v>
      </c>
      <c r="AC268" s="7" t="s">
        <v>14</v>
      </c>
      <c r="AD268" s="6" t="s">
        <v>13</v>
      </c>
      <c r="AE268" s="10">
        <v>0.37569444444444444</v>
      </c>
      <c r="AF268" s="10">
        <v>0.37569444444444444</v>
      </c>
      <c r="AG268" s="10">
        <v>0.37569444444444444</v>
      </c>
      <c r="AH268" s="10">
        <v>0.37777777777777777</v>
      </c>
      <c r="AI268" s="10">
        <v>0.37638888888888888</v>
      </c>
      <c r="AJ268" s="10">
        <v>0.38055555555555554</v>
      </c>
      <c r="AK268" s="6" t="s">
        <v>13</v>
      </c>
      <c r="AL268" s="3"/>
      <c r="AM268" s="3"/>
      <c r="AN268" s="3"/>
      <c r="AO268" s="3"/>
      <c r="AP268" s="3"/>
    </row>
    <row r="269" spans="1:42" ht="15" x14ac:dyDescent="0.2">
      <c r="A269" s="4">
        <v>268</v>
      </c>
      <c r="B269" s="5">
        <v>2394</v>
      </c>
      <c r="C269" s="5" t="s">
        <v>332</v>
      </c>
      <c r="D269" s="5" t="s">
        <v>41</v>
      </c>
      <c r="E269" s="5" t="s">
        <v>24</v>
      </c>
      <c r="F269" s="5" t="s">
        <v>107</v>
      </c>
      <c r="G269" s="25">
        <v>45931</v>
      </c>
      <c r="H269" s="6" t="s">
        <v>12</v>
      </c>
      <c r="I269" s="6" t="s">
        <v>13</v>
      </c>
      <c r="J269" s="7" t="s">
        <v>14</v>
      </c>
      <c r="K269" s="7" t="s">
        <v>14</v>
      </c>
      <c r="L269" s="7" t="s">
        <v>14</v>
      </c>
      <c r="M269" s="7" t="s">
        <v>14</v>
      </c>
      <c r="N269" s="7" t="s">
        <v>14</v>
      </c>
      <c r="O269" s="7" t="s">
        <v>14</v>
      </c>
      <c r="P269" s="6" t="s">
        <v>13</v>
      </c>
      <c r="Q269" s="7" t="s">
        <v>14</v>
      </c>
      <c r="R269" s="7" t="s">
        <v>14</v>
      </c>
      <c r="S269" s="7" t="s">
        <v>14</v>
      </c>
      <c r="T269" s="7" t="s">
        <v>14</v>
      </c>
      <c r="U269" s="7" t="s">
        <v>14</v>
      </c>
      <c r="V269" s="7" t="s">
        <v>14</v>
      </c>
      <c r="W269" s="6" t="s">
        <v>13</v>
      </c>
      <c r="X269" s="7" t="s">
        <v>14</v>
      </c>
      <c r="Y269" s="7" t="s">
        <v>14</v>
      </c>
      <c r="Z269" s="7" t="s">
        <v>14</v>
      </c>
      <c r="AA269" s="7" t="s">
        <v>14</v>
      </c>
      <c r="AB269" s="7" t="s">
        <v>14</v>
      </c>
      <c r="AC269" s="7" t="s">
        <v>14</v>
      </c>
      <c r="AD269" s="6" t="s">
        <v>13</v>
      </c>
      <c r="AE269" s="7" t="s">
        <v>14</v>
      </c>
      <c r="AF269" s="7" t="s">
        <v>14</v>
      </c>
      <c r="AG269" s="7" t="s">
        <v>14</v>
      </c>
      <c r="AH269" s="7" t="s">
        <v>14</v>
      </c>
      <c r="AI269" s="7" t="s">
        <v>14</v>
      </c>
      <c r="AJ269" s="7" t="s">
        <v>14</v>
      </c>
      <c r="AK269" s="6" t="s">
        <v>13</v>
      </c>
      <c r="AL269" s="3"/>
      <c r="AM269" s="3"/>
      <c r="AN269" s="3"/>
      <c r="AO269" s="3"/>
      <c r="AP269" s="3"/>
    </row>
    <row r="270" spans="1:42" ht="15" x14ac:dyDescent="0.2">
      <c r="A270" s="4">
        <v>269</v>
      </c>
      <c r="B270" s="5">
        <v>2395</v>
      </c>
      <c r="C270" s="5" t="s">
        <v>333</v>
      </c>
      <c r="D270" s="5" t="s">
        <v>334</v>
      </c>
      <c r="E270" s="5" t="s">
        <v>9</v>
      </c>
      <c r="F270" s="12" t="s">
        <v>107</v>
      </c>
      <c r="G270" s="13">
        <v>45939</v>
      </c>
      <c r="H270" s="6" t="s">
        <v>12</v>
      </c>
      <c r="I270" s="6" t="s">
        <v>13</v>
      </c>
      <c r="J270" s="7" t="s">
        <v>14</v>
      </c>
      <c r="K270" s="7" t="s">
        <v>14</v>
      </c>
      <c r="L270" s="7" t="s">
        <v>14</v>
      </c>
      <c r="M270" s="7" t="s">
        <v>14</v>
      </c>
      <c r="N270" s="7" t="s">
        <v>14</v>
      </c>
      <c r="O270" s="7" t="s">
        <v>14</v>
      </c>
      <c r="P270" s="6" t="s">
        <v>13</v>
      </c>
      <c r="Q270" s="7" t="s">
        <v>14</v>
      </c>
      <c r="R270" s="7" t="s">
        <v>14</v>
      </c>
      <c r="S270" s="7" t="s">
        <v>14</v>
      </c>
      <c r="T270" s="7" t="s">
        <v>14</v>
      </c>
      <c r="U270" s="7" t="s">
        <v>14</v>
      </c>
      <c r="V270" s="7" t="s">
        <v>14</v>
      </c>
      <c r="W270" s="6" t="s">
        <v>13</v>
      </c>
      <c r="X270" s="7" t="s">
        <v>14</v>
      </c>
      <c r="Y270" s="7" t="s">
        <v>14</v>
      </c>
      <c r="Z270" s="7" t="s">
        <v>14</v>
      </c>
      <c r="AA270" s="7" t="s">
        <v>14</v>
      </c>
      <c r="AB270" s="7" t="s">
        <v>14</v>
      </c>
      <c r="AC270" s="7" t="s">
        <v>14</v>
      </c>
      <c r="AD270" s="6" t="s">
        <v>13</v>
      </c>
      <c r="AE270" s="7" t="s">
        <v>14</v>
      </c>
      <c r="AF270" s="7" t="s">
        <v>14</v>
      </c>
      <c r="AG270" s="7" t="s">
        <v>14</v>
      </c>
      <c r="AH270" s="7" t="s">
        <v>14</v>
      </c>
      <c r="AI270" s="7" t="s">
        <v>14</v>
      </c>
      <c r="AJ270" s="7" t="s">
        <v>14</v>
      </c>
      <c r="AK270" s="6" t="s">
        <v>13</v>
      </c>
      <c r="AL270" s="28"/>
      <c r="AM270" s="3"/>
      <c r="AN270" s="3"/>
      <c r="AO270" s="3"/>
      <c r="AP270" s="3"/>
    </row>
    <row r="271" spans="1:42" ht="15" x14ac:dyDescent="0.2">
      <c r="A271" s="4">
        <v>270</v>
      </c>
      <c r="B271" s="12">
        <v>2396</v>
      </c>
      <c r="C271" s="12" t="s">
        <v>335</v>
      </c>
      <c r="D271" s="12" t="s">
        <v>336</v>
      </c>
      <c r="E271" s="5" t="s">
        <v>39</v>
      </c>
      <c r="F271" s="12" t="s">
        <v>107</v>
      </c>
      <c r="G271" s="29">
        <v>45946</v>
      </c>
      <c r="H271" s="6" t="s">
        <v>12</v>
      </c>
      <c r="I271" s="6" t="s">
        <v>13</v>
      </c>
      <c r="J271" s="9">
        <v>0.34513888888888888</v>
      </c>
      <c r="K271" s="7" t="s">
        <v>14</v>
      </c>
      <c r="L271" s="7" t="s">
        <v>14</v>
      </c>
      <c r="M271" s="7" t="s">
        <v>14</v>
      </c>
      <c r="N271" s="7" t="s">
        <v>14</v>
      </c>
      <c r="O271" s="7" t="s">
        <v>14</v>
      </c>
      <c r="P271" s="6" t="s">
        <v>13</v>
      </c>
      <c r="Q271" s="7" t="s">
        <v>14</v>
      </c>
      <c r="R271" s="10">
        <v>0</v>
      </c>
      <c r="S271" s="7" t="s">
        <v>14</v>
      </c>
      <c r="T271" s="7" t="s">
        <v>14</v>
      </c>
      <c r="U271" s="7" t="s">
        <v>14</v>
      </c>
      <c r="V271" s="7" t="s">
        <v>14</v>
      </c>
      <c r="W271" s="6" t="s">
        <v>13</v>
      </c>
      <c r="X271" s="7" t="s">
        <v>14</v>
      </c>
      <c r="Y271" s="7" t="s">
        <v>14</v>
      </c>
      <c r="Z271" s="7" t="s">
        <v>14</v>
      </c>
      <c r="AA271" s="7" t="s">
        <v>14</v>
      </c>
      <c r="AB271" s="7" t="s">
        <v>14</v>
      </c>
      <c r="AC271" s="7" t="s">
        <v>14</v>
      </c>
      <c r="AD271" s="6" t="s">
        <v>13</v>
      </c>
      <c r="AE271" s="7" t="s">
        <v>14</v>
      </c>
      <c r="AF271" s="7" t="s">
        <v>14</v>
      </c>
      <c r="AG271" s="7" t="s">
        <v>14</v>
      </c>
      <c r="AH271" s="7" t="s">
        <v>14</v>
      </c>
      <c r="AI271" s="7" t="s">
        <v>14</v>
      </c>
      <c r="AJ271" s="7" t="s">
        <v>14</v>
      </c>
      <c r="AK271" s="6" t="s">
        <v>13</v>
      </c>
      <c r="AL271" s="3"/>
      <c r="AM271" s="3"/>
      <c r="AN271" s="3"/>
      <c r="AO271" s="3"/>
      <c r="AP271" s="3"/>
    </row>
    <row r="272" spans="1:42" ht="15" x14ac:dyDescent="0.2">
      <c r="A272" s="4">
        <v>271</v>
      </c>
      <c r="B272" s="12">
        <v>2397</v>
      </c>
      <c r="C272" s="12" t="s">
        <v>20</v>
      </c>
      <c r="D272" s="12" t="s">
        <v>258</v>
      </c>
      <c r="E272" s="5" t="s">
        <v>85</v>
      </c>
      <c r="F272" s="12" t="s">
        <v>125</v>
      </c>
      <c r="G272" s="29">
        <v>45953</v>
      </c>
      <c r="H272" s="6" t="s">
        <v>12</v>
      </c>
      <c r="I272" s="6" t="s">
        <v>13</v>
      </c>
      <c r="J272" s="9">
        <v>0.36527777777777776</v>
      </c>
      <c r="K272" s="10">
        <v>0.36527777777777776</v>
      </c>
      <c r="L272" s="10">
        <v>0.36805555555555558</v>
      </c>
      <c r="M272" s="10">
        <v>0.36736111111111114</v>
      </c>
      <c r="N272" s="10">
        <v>0.37291666666666667</v>
      </c>
      <c r="O272" s="10">
        <v>0.34027777777777779</v>
      </c>
      <c r="P272" s="6" t="s">
        <v>13</v>
      </c>
      <c r="Q272" s="10">
        <v>0.36527777777777776</v>
      </c>
      <c r="R272" s="10">
        <v>0.37361111111111112</v>
      </c>
      <c r="S272" s="10">
        <v>0.33958333333333335</v>
      </c>
      <c r="T272" s="10">
        <v>0</v>
      </c>
      <c r="U272" s="10">
        <v>0.39166666666666666</v>
      </c>
      <c r="V272" s="7" t="s">
        <v>14</v>
      </c>
      <c r="W272" s="6" t="s">
        <v>13</v>
      </c>
      <c r="X272" s="10">
        <v>0.37430555555555556</v>
      </c>
      <c r="Y272" s="10">
        <v>0.3888888888888889</v>
      </c>
      <c r="Z272" s="10">
        <v>0.37083333333333335</v>
      </c>
      <c r="AA272" s="10">
        <v>0.37638888888888888</v>
      </c>
      <c r="AB272" s="10">
        <v>0.37847222222222221</v>
      </c>
      <c r="AC272" s="10">
        <v>6.9444444444444447E-4</v>
      </c>
      <c r="AD272" s="6" t="s">
        <v>13</v>
      </c>
      <c r="AE272" s="10">
        <v>0.37708333333333333</v>
      </c>
      <c r="AF272" s="10">
        <v>0.36805555555555558</v>
      </c>
      <c r="AG272" s="7" t="s">
        <v>14</v>
      </c>
      <c r="AH272" s="10">
        <v>0.37013888888888891</v>
      </c>
      <c r="AI272" s="10">
        <v>0.4</v>
      </c>
      <c r="AJ272" s="10">
        <v>0.36458333333333331</v>
      </c>
      <c r="AK272" s="6" t="s">
        <v>13</v>
      </c>
      <c r="AL272" s="3"/>
      <c r="AM272" s="3"/>
      <c r="AN272" s="3"/>
      <c r="AO272" s="3"/>
      <c r="AP272" s="3"/>
    </row>
    <row r="273" spans="1:42" ht="15" x14ac:dyDescent="0.25">
      <c r="A273" s="4">
        <v>272</v>
      </c>
      <c r="B273" s="16">
        <v>2399</v>
      </c>
      <c r="C273" s="16" t="s">
        <v>337</v>
      </c>
      <c r="D273" s="16" t="s">
        <v>19</v>
      </c>
      <c r="E273" s="16" t="s">
        <v>9</v>
      </c>
      <c r="F273" s="16" t="s">
        <v>107</v>
      </c>
      <c r="G273" s="18">
        <v>45964</v>
      </c>
      <c r="H273" s="7" t="s">
        <v>14</v>
      </c>
      <c r="I273" s="7" t="s">
        <v>14</v>
      </c>
      <c r="J273" s="7" t="s">
        <v>14</v>
      </c>
      <c r="K273" s="7" t="s">
        <v>14</v>
      </c>
      <c r="L273" s="7" t="s">
        <v>14</v>
      </c>
      <c r="M273" s="7" t="s">
        <v>14</v>
      </c>
      <c r="N273" s="7" t="s">
        <v>14</v>
      </c>
      <c r="O273" s="7" t="s">
        <v>14</v>
      </c>
      <c r="P273" s="6" t="s">
        <v>13</v>
      </c>
      <c r="Q273" s="7" t="s">
        <v>14</v>
      </c>
      <c r="R273" s="10">
        <v>0</v>
      </c>
      <c r="S273" s="10">
        <v>0.35555555555555557</v>
      </c>
      <c r="T273" s="7" t="s">
        <v>14</v>
      </c>
      <c r="U273" s="10">
        <v>0.37222222222222223</v>
      </c>
      <c r="V273" s="7" t="s">
        <v>14</v>
      </c>
      <c r="W273" s="6" t="s">
        <v>13</v>
      </c>
      <c r="X273" s="10">
        <v>0</v>
      </c>
      <c r="Y273" s="10">
        <v>0.36458333333333331</v>
      </c>
      <c r="Z273" s="10">
        <v>0.36249999999999999</v>
      </c>
      <c r="AA273" s="10">
        <v>0.36319444444444443</v>
      </c>
      <c r="AB273" s="10">
        <v>0.35833333333333334</v>
      </c>
      <c r="AC273" s="10">
        <v>0.36527777777777776</v>
      </c>
      <c r="AD273" s="6" t="s">
        <v>13</v>
      </c>
      <c r="AE273" s="10">
        <v>0.36527777777777776</v>
      </c>
      <c r="AF273" s="10">
        <v>0.36458333333333331</v>
      </c>
      <c r="AG273" s="10">
        <v>0.3659722222222222</v>
      </c>
      <c r="AH273" s="10">
        <v>0.36736111111111114</v>
      </c>
      <c r="AI273" s="10">
        <v>0.37083333333333335</v>
      </c>
      <c r="AJ273" s="7" t="s">
        <v>14</v>
      </c>
      <c r="AK273" s="6" t="s">
        <v>13</v>
      </c>
      <c r="AL273" s="3"/>
      <c r="AM273" s="3"/>
      <c r="AN273" s="3"/>
      <c r="AO273" s="3"/>
      <c r="AP273" s="3"/>
    </row>
    <row r="274" spans="1:42" ht="15" x14ac:dyDescent="0.25">
      <c r="A274" s="4">
        <v>273</v>
      </c>
      <c r="B274" s="16">
        <v>2400</v>
      </c>
      <c r="C274" s="16" t="s">
        <v>338</v>
      </c>
      <c r="D274" s="16" t="s">
        <v>38</v>
      </c>
      <c r="E274" s="16" t="s">
        <v>39</v>
      </c>
      <c r="F274" s="16" t="s">
        <v>107</v>
      </c>
      <c r="G274" s="18">
        <v>45964</v>
      </c>
      <c r="H274" s="7" t="s">
        <v>14</v>
      </c>
      <c r="I274" s="7" t="s">
        <v>14</v>
      </c>
      <c r="J274" s="7" t="s">
        <v>14</v>
      </c>
      <c r="K274" s="7" t="s">
        <v>14</v>
      </c>
      <c r="L274" s="7" t="s">
        <v>14</v>
      </c>
      <c r="M274" s="7" t="s">
        <v>14</v>
      </c>
      <c r="N274" s="7" t="s">
        <v>14</v>
      </c>
      <c r="O274" s="7" t="s">
        <v>14</v>
      </c>
      <c r="P274" s="6" t="s">
        <v>13</v>
      </c>
      <c r="Q274" s="7" t="s">
        <v>14</v>
      </c>
      <c r="R274" s="7" t="s">
        <v>14</v>
      </c>
      <c r="S274" s="7" t="s">
        <v>14</v>
      </c>
      <c r="T274" s="7" t="s">
        <v>14</v>
      </c>
      <c r="U274" s="7" t="s">
        <v>14</v>
      </c>
      <c r="V274" s="7" t="s">
        <v>14</v>
      </c>
      <c r="W274" s="6" t="s">
        <v>13</v>
      </c>
      <c r="X274" s="7" t="s">
        <v>14</v>
      </c>
      <c r="Y274" s="7" t="s">
        <v>14</v>
      </c>
      <c r="Z274" s="7" t="s">
        <v>14</v>
      </c>
      <c r="AA274" s="7" t="s">
        <v>14</v>
      </c>
      <c r="AB274" s="7" t="s">
        <v>14</v>
      </c>
      <c r="AC274" s="7" t="s">
        <v>14</v>
      </c>
      <c r="AD274" s="6" t="s">
        <v>13</v>
      </c>
      <c r="AE274" s="7" t="s">
        <v>14</v>
      </c>
      <c r="AF274" s="7" t="s">
        <v>14</v>
      </c>
      <c r="AG274" s="7" t="s">
        <v>14</v>
      </c>
      <c r="AH274" s="7" t="s">
        <v>14</v>
      </c>
      <c r="AI274" s="7" t="s">
        <v>14</v>
      </c>
      <c r="AJ274" s="7" t="s">
        <v>14</v>
      </c>
      <c r="AK274" s="6" t="s">
        <v>13</v>
      </c>
      <c r="AL274" s="3"/>
      <c r="AM274" s="3"/>
      <c r="AN274" s="3"/>
      <c r="AO274" s="3"/>
      <c r="AP274" s="3"/>
    </row>
    <row r="275" spans="1:42" ht="15" x14ac:dyDescent="0.25">
      <c r="A275" s="4">
        <v>274</v>
      </c>
      <c r="B275" s="16">
        <v>2401</v>
      </c>
      <c r="C275" s="16" t="s">
        <v>339</v>
      </c>
      <c r="D275" s="16" t="s">
        <v>38</v>
      </c>
      <c r="E275" s="16" t="s">
        <v>45</v>
      </c>
      <c r="F275" s="16" t="s">
        <v>107</v>
      </c>
      <c r="G275" s="18">
        <v>45964</v>
      </c>
      <c r="H275" s="7" t="s">
        <v>14</v>
      </c>
      <c r="I275" s="7" t="s">
        <v>14</v>
      </c>
      <c r="J275" s="7" t="s">
        <v>14</v>
      </c>
      <c r="K275" s="7" t="s">
        <v>14</v>
      </c>
      <c r="L275" s="7" t="s">
        <v>14</v>
      </c>
      <c r="M275" s="7" t="s">
        <v>14</v>
      </c>
      <c r="N275" s="7" t="s">
        <v>14</v>
      </c>
      <c r="O275" s="7" t="s">
        <v>14</v>
      </c>
      <c r="P275" s="6" t="s">
        <v>13</v>
      </c>
      <c r="Q275" s="7" t="s">
        <v>14</v>
      </c>
      <c r="R275" s="7" t="s">
        <v>14</v>
      </c>
      <c r="S275" s="7" t="s">
        <v>14</v>
      </c>
      <c r="T275" s="7" t="s">
        <v>14</v>
      </c>
      <c r="U275" s="10">
        <v>0.37361111111111112</v>
      </c>
      <c r="V275" s="10">
        <v>0.3840277777777778</v>
      </c>
      <c r="W275" s="6" t="s">
        <v>13</v>
      </c>
      <c r="X275" s="10">
        <v>0.37916666666666665</v>
      </c>
      <c r="Y275" s="10">
        <v>0.37638888888888888</v>
      </c>
      <c r="Z275" s="10">
        <v>0.37638888888888888</v>
      </c>
      <c r="AA275" s="10">
        <v>0.38472222222222224</v>
      </c>
      <c r="AB275" s="10">
        <v>0.37638888888888888</v>
      </c>
      <c r="AC275" s="7" t="s">
        <v>14</v>
      </c>
      <c r="AD275" s="6" t="s">
        <v>13</v>
      </c>
      <c r="AE275" s="10">
        <v>0.37569444444444444</v>
      </c>
      <c r="AF275" s="10">
        <v>0.375</v>
      </c>
      <c r="AG275" s="10">
        <v>0.37916666666666665</v>
      </c>
      <c r="AH275" s="10">
        <v>0.37847222222222221</v>
      </c>
      <c r="AI275" s="10">
        <v>0.38263888888888886</v>
      </c>
      <c r="AJ275" s="10">
        <v>0.3888888888888889</v>
      </c>
      <c r="AK275" s="6" t="s">
        <v>13</v>
      </c>
      <c r="AL275" s="3"/>
      <c r="AM275" s="3"/>
      <c r="AN275" s="3"/>
      <c r="AO275" s="3"/>
      <c r="AP275" s="3"/>
    </row>
    <row r="276" spans="1:42" ht="15" x14ac:dyDescent="0.25">
      <c r="A276" s="4">
        <v>275</v>
      </c>
      <c r="B276" s="16">
        <v>2403</v>
      </c>
      <c r="C276" s="16" t="s">
        <v>340</v>
      </c>
      <c r="D276" s="16" t="s">
        <v>44</v>
      </c>
      <c r="E276" s="30" t="s">
        <v>45</v>
      </c>
      <c r="F276" s="16" t="s">
        <v>107</v>
      </c>
      <c r="G276" s="18">
        <v>45967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  <c r="M276" s="7" t="s">
        <v>14</v>
      </c>
      <c r="N276" s="7" t="s">
        <v>14</v>
      </c>
      <c r="O276" s="7" t="s">
        <v>14</v>
      </c>
      <c r="P276" s="6" t="s">
        <v>13</v>
      </c>
      <c r="Q276" s="7" t="s">
        <v>14</v>
      </c>
      <c r="R276" s="7" t="s">
        <v>14</v>
      </c>
      <c r="S276" s="7" t="s">
        <v>14</v>
      </c>
      <c r="T276" s="7" t="s">
        <v>14</v>
      </c>
      <c r="U276" s="7" t="s">
        <v>14</v>
      </c>
      <c r="V276" s="7" t="s">
        <v>14</v>
      </c>
      <c r="W276" s="6" t="s">
        <v>13</v>
      </c>
      <c r="X276" s="7" t="s">
        <v>14</v>
      </c>
      <c r="Y276" s="7" t="s">
        <v>14</v>
      </c>
      <c r="Z276" s="10">
        <v>0.18541666666666667</v>
      </c>
      <c r="AA276" s="10">
        <v>0.37222222222222223</v>
      </c>
      <c r="AB276" s="10">
        <v>0.40625</v>
      </c>
      <c r="AC276" s="10">
        <v>0.37569444444444444</v>
      </c>
      <c r="AD276" s="6" t="s">
        <v>13</v>
      </c>
      <c r="AE276" s="10">
        <v>0.37222222222222223</v>
      </c>
      <c r="AF276" s="10">
        <v>0.375</v>
      </c>
      <c r="AG276" s="10">
        <v>0.37638888888888888</v>
      </c>
      <c r="AH276" s="10">
        <v>0.37777777777777777</v>
      </c>
      <c r="AI276" s="10">
        <v>0.37777777777777777</v>
      </c>
      <c r="AJ276" s="7" t="s">
        <v>14</v>
      </c>
      <c r="AK276" s="6" t="s">
        <v>13</v>
      </c>
      <c r="AL276" s="3"/>
      <c r="AM276" s="3"/>
      <c r="AN276" s="3"/>
      <c r="AO276" s="3"/>
      <c r="AP276" s="3"/>
    </row>
    <row r="277" spans="1:42" ht="15" x14ac:dyDescent="0.25">
      <c r="A277" s="4">
        <v>276</v>
      </c>
      <c r="B277" s="16">
        <v>2404</v>
      </c>
      <c r="C277" s="16" t="s">
        <v>341</v>
      </c>
      <c r="D277" s="16" t="s">
        <v>38</v>
      </c>
      <c r="E277" s="4" t="s">
        <v>28</v>
      </c>
      <c r="F277" s="16" t="s">
        <v>107</v>
      </c>
      <c r="G277" s="19">
        <v>45971</v>
      </c>
      <c r="H277" s="7" t="s">
        <v>14</v>
      </c>
      <c r="I277" s="7" t="s">
        <v>14</v>
      </c>
      <c r="J277" s="7" t="s">
        <v>14</v>
      </c>
      <c r="K277" s="7" t="s">
        <v>14</v>
      </c>
      <c r="L277" s="7" t="s">
        <v>14</v>
      </c>
      <c r="M277" s="7" t="s">
        <v>14</v>
      </c>
      <c r="N277" s="7" t="s">
        <v>14</v>
      </c>
      <c r="O277" s="7" t="s">
        <v>14</v>
      </c>
      <c r="P277" s="7" t="s">
        <v>14</v>
      </c>
      <c r="Q277" s="7" t="s">
        <v>14</v>
      </c>
      <c r="R277" s="10">
        <v>1.3888888888888889E-3</v>
      </c>
      <c r="S277" s="10">
        <v>0</v>
      </c>
      <c r="T277" s="7" t="s">
        <v>14</v>
      </c>
      <c r="U277" s="7" t="s">
        <v>14</v>
      </c>
      <c r="V277" s="7" t="s">
        <v>14</v>
      </c>
      <c r="W277" s="6" t="s">
        <v>13</v>
      </c>
      <c r="X277" s="7" t="s">
        <v>14</v>
      </c>
      <c r="Y277" s="10">
        <v>0.27500000000000002</v>
      </c>
      <c r="Z277" s="10">
        <v>0.36944444444444446</v>
      </c>
      <c r="AA277" s="10">
        <v>0.36527777777777776</v>
      </c>
      <c r="AB277" s="10">
        <v>0.15347222222222223</v>
      </c>
      <c r="AC277" s="10">
        <v>0.34652777777777777</v>
      </c>
      <c r="AD277" s="6" t="s">
        <v>13</v>
      </c>
      <c r="AE277" s="10">
        <v>0.35069444444444442</v>
      </c>
      <c r="AF277" s="10">
        <v>0.37986111111111109</v>
      </c>
      <c r="AG277" s="10">
        <v>0.375</v>
      </c>
      <c r="AH277" s="10">
        <v>0.35625000000000001</v>
      </c>
      <c r="AI277" s="10">
        <v>0.34166666666666667</v>
      </c>
      <c r="AJ277" s="10">
        <v>0.21597222222222223</v>
      </c>
      <c r="AK277" s="6" t="s">
        <v>13</v>
      </c>
      <c r="AL277" s="3"/>
      <c r="AM277" s="3"/>
      <c r="AN277" s="3"/>
      <c r="AO277" s="3"/>
      <c r="AP277" s="3"/>
    </row>
    <row r="278" spans="1:42" ht="15" x14ac:dyDescent="0.2">
      <c r="A278" s="4">
        <v>277</v>
      </c>
      <c r="B278" s="4">
        <v>2405</v>
      </c>
      <c r="C278" s="4" t="s">
        <v>342</v>
      </c>
      <c r="D278" s="4" t="s">
        <v>38</v>
      </c>
      <c r="E278" s="31" t="s">
        <v>28</v>
      </c>
      <c r="F278" s="4" t="s">
        <v>107</v>
      </c>
      <c r="G278" s="23">
        <v>45978</v>
      </c>
      <c r="H278" s="7" t="s">
        <v>14</v>
      </c>
      <c r="I278" s="7" t="s">
        <v>14</v>
      </c>
      <c r="J278" s="7" t="s">
        <v>14</v>
      </c>
      <c r="K278" s="7" t="s">
        <v>14</v>
      </c>
      <c r="L278" s="7" t="s">
        <v>14</v>
      </c>
      <c r="M278" s="7" t="s">
        <v>14</v>
      </c>
      <c r="N278" s="7" t="s">
        <v>14</v>
      </c>
      <c r="O278" s="7" t="s">
        <v>14</v>
      </c>
      <c r="P278" s="7" t="s">
        <v>14</v>
      </c>
      <c r="Q278" s="7" t="s">
        <v>14</v>
      </c>
      <c r="R278" s="7" t="s">
        <v>14</v>
      </c>
      <c r="S278" s="7" t="s">
        <v>14</v>
      </c>
      <c r="T278" s="7" t="s">
        <v>14</v>
      </c>
      <c r="U278" s="7" t="s">
        <v>14</v>
      </c>
      <c r="V278" s="7" t="s">
        <v>14</v>
      </c>
      <c r="W278" s="7" t="s">
        <v>14</v>
      </c>
      <c r="X278" s="7" t="s">
        <v>14</v>
      </c>
      <c r="Y278" s="7" t="s">
        <v>14</v>
      </c>
      <c r="Z278" s="7" t="s">
        <v>14</v>
      </c>
      <c r="AA278" s="7" t="s">
        <v>14</v>
      </c>
      <c r="AB278" s="7" t="s">
        <v>14</v>
      </c>
      <c r="AC278" s="7" t="s">
        <v>14</v>
      </c>
      <c r="AD278" s="6" t="s">
        <v>13</v>
      </c>
      <c r="AE278" s="7" t="s">
        <v>14</v>
      </c>
      <c r="AF278" s="7" t="s">
        <v>14</v>
      </c>
      <c r="AG278" s="7" t="s">
        <v>14</v>
      </c>
      <c r="AH278" s="7" t="s">
        <v>14</v>
      </c>
      <c r="AI278" s="7" t="s">
        <v>14</v>
      </c>
      <c r="AJ278" s="7" t="s">
        <v>14</v>
      </c>
      <c r="AK278" s="6" t="s">
        <v>13</v>
      </c>
      <c r="AL278" s="3"/>
      <c r="AM278" s="3"/>
      <c r="AN278" s="3"/>
      <c r="AO278" s="3"/>
      <c r="AP278" s="3"/>
    </row>
    <row r="279" spans="1:42" ht="15" x14ac:dyDescent="0.2">
      <c r="A279" s="4">
        <v>278</v>
      </c>
      <c r="B279" s="4">
        <v>2406</v>
      </c>
      <c r="C279" s="4" t="s">
        <v>343</v>
      </c>
      <c r="D279" s="4" t="s">
        <v>44</v>
      </c>
      <c r="E279" s="31" t="s">
        <v>28</v>
      </c>
      <c r="F279" s="4" t="s">
        <v>107</v>
      </c>
      <c r="G279" s="23">
        <v>45978</v>
      </c>
      <c r="H279" s="7" t="s">
        <v>14</v>
      </c>
      <c r="I279" s="7" t="s">
        <v>14</v>
      </c>
      <c r="J279" s="7" t="s">
        <v>14</v>
      </c>
      <c r="K279" s="7" t="s">
        <v>14</v>
      </c>
      <c r="L279" s="7" t="s">
        <v>14</v>
      </c>
      <c r="M279" s="7" t="s">
        <v>14</v>
      </c>
      <c r="N279" s="7" t="s">
        <v>14</v>
      </c>
      <c r="O279" s="7" t="s">
        <v>14</v>
      </c>
      <c r="P279" s="7" t="s">
        <v>14</v>
      </c>
      <c r="Q279" s="7" t="s">
        <v>14</v>
      </c>
      <c r="R279" s="7" t="s">
        <v>14</v>
      </c>
      <c r="S279" s="7" t="s">
        <v>14</v>
      </c>
      <c r="T279" s="7" t="s">
        <v>14</v>
      </c>
      <c r="U279" s="7" t="s">
        <v>14</v>
      </c>
      <c r="V279" s="7" t="s">
        <v>14</v>
      </c>
      <c r="W279" s="7" t="s">
        <v>14</v>
      </c>
      <c r="X279" s="7" t="s">
        <v>14</v>
      </c>
      <c r="Y279" s="22">
        <v>0</v>
      </c>
      <c r="Z279" s="22">
        <v>2.0833333333333333E-3</v>
      </c>
      <c r="AA279" s="22">
        <v>0.37222222222222223</v>
      </c>
      <c r="AB279" s="22">
        <v>0.37291666666666667</v>
      </c>
      <c r="AC279" s="22">
        <v>0.37013888888888891</v>
      </c>
      <c r="AD279" s="6" t="s">
        <v>13</v>
      </c>
      <c r="AE279" s="22">
        <v>0.375</v>
      </c>
      <c r="AF279" s="22">
        <v>0.37847222222222221</v>
      </c>
      <c r="AG279" s="22">
        <v>0</v>
      </c>
      <c r="AH279" s="22">
        <v>0.36736111111111114</v>
      </c>
      <c r="AI279" s="22">
        <v>0.375</v>
      </c>
      <c r="AJ279" s="22">
        <v>0.3576388888888889</v>
      </c>
      <c r="AK279" s="6" t="s">
        <v>13</v>
      </c>
      <c r="AL279" s="3"/>
      <c r="AM279" s="3"/>
      <c r="AN279" s="3"/>
      <c r="AO279" s="3"/>
      <c r="AP279" s="3"/>
    </row>
    <row r="280" spans="1:42" ht="15" x14ac:dyDescent="0.2">
      <c r="A280" s="4">
        <v>279</v>
      </c>
      <c r="B280" s="4">
        <v>2407</v>
      </c>
      <c r="C280" s="4" t="s">
        <v>344</v>
      </c>
      <c r="D280" s="4" t="s">
        <v>19</v>
      </c>
      <c r="E280" s="31" t="s">
        <v>20</v>
      </c>
      <c r="F280" s="4" t="s">
        <v>107</v>
      </c>
      <c r="G280" s="23">
        <v>45979</v>
      </c>
      <c r="H280" s="7" t="s">
        <v>14</v>
      </c>
      <c r="I280" s="7" t="s">
        <v>14</v>
      </c>
      <c r="J280" s="7" t="s">
        <v>14</v>
      </c>
      <c r="K280" s="7" t="s">
        <v>14</v>
      </c>
      <c r="L280" s="7" t="s">
        <v>14</v>
      </c>
      <c r="M280" s="7" t="s">
        <v>14</v>
      </c>
      <c r="N280" s="7" t="s">
        <v>14</v>
      </c>
      <c r="O280" s="7" t="s">
        <v>14</v>
      </c>
      <c r="P280" s="7" t="s">
        <v>14</v>
      </c>
      <c r="Q280" s="7" t="s">
        <v>14</v>
      </c>
      <c r="R280" s="7" t="s">
        <v>14</v>
      </c>
      <c r="S280" s="7" t="s">
        <v>14</v>
      </c>
      <c r="T280" s="7" t="s">
        <v>14</v>
      </c>
      <c r="U280" s="7" t="s">
        <v>14</v>
      </c>
      <c r="V280" s="7" t="s">
        <v>14</v>
      </c>
      <c r="W280" s="7" t="s">
        <v>14</v>
      </c>
      <c r="X280" s="7" t="s">
        <v>14</v>
      </c>
      <c r="Y280" s="7" t="s">
        <v>14</v>
      </c>
      <c r="Z280" s="7" t="s">
        <v>14</v>
      </c>
      <c r="AA280" s="7" t="s">
        <v>14</v>
      </c>
      <c r="AB280" s="22">
        <v>0.375</v>
      </c>
      <c r="AC280" s="22">
        <v>0.37291666666666667</v>
      </c>
      <c r="AD280" s="6" t="s">
        <v>13</v>
      </c>
      <c r="AE280" s="22">
        <v>0.37638888888888888</v>
      </c>
      <c r="AF280" s="22">
        <v>0.37430555555555556</v>
      </c>
      <c r="AG280" s="22">
        <v>0.37361111111111112</v>
      </c>
      <c r="AH280" s="22">
        <v>0.37430555555555556</v>
      </c>
      <c r="AI280" s="22">
        <v>0.42986111111111114</v>
      </c>
      <c r="AJ280" s="7" t="s">
        <v>14</v>
      </c>
      <c r="AK280" s="6" t="s">
        <v>13</v>
      </c>
      <c r="AL280" s="3"/>
      <c r="AM280" s="3"/>
      <c r="AN280" s="3"/>
      <c r="AO280" s="3"/>
      <c r="AP280" s="3"/>
    </row>
    <row r="281" spans="1:42" ht="15" x14ac:dyDescent="0.2">
      <c r="A281" s="4">
        <v>280</v>
      </c>
      <c r="B281" s="4">
        <v>2428</v>
      </c>
      <c r="C281" s="4" t="s">
        <v>373</v>
      </c>
      <c r="D281" s="4" t="s">
        <v>44</v>
      </c>
      <c r="E281" s="4" t="s">
        <v>28</v>
      </c>
      <c r="F281" s="4" t="s">
        <v>107</v>
      </c>
      <c r="G281" s="20">
        <v>45985</v>
      </c>
      <c r="H281" s="7" t="s">
        <v>14</v>
      </c>
      <c r="I281" s="7" t="s">
        <v>14</v>
      </c>
      <c r="J281" s="7" t="s">
        <v>14</v>
      </c>
      <c r="K281" s="7" t="s">
        <v>14</v>
      </c>
      <c r="L281" s="7" t="s">
        <v>14</v>
      </c>
      <c r="M281" s="7" t="s">
        <v>14</v>
      </c>
      <c r="N281" s="7" t="s">
        <v>14</v>
      </c>
      <c r="O281" s="7" t="s">
        <v>14</v>
      </c>
      <c r="P281" s="7" t="s">
        <v>14</v>
      </c>
      <c r="Q281" s="7" t="s">
        <v>14</v>
      </c>
      <c r="R281" s="7" t="s">
        <v>14</v>
      </c>
      <c r="S281" s="7" t="s">
        <v>14</v>
      </c>
      <c r="T281" s="7" t="s">
        <v>14</v>
      </c>
      <c r="U281" s="7" t="s">
        <v>14</v>
      </c>
      <c r="V281" s="7" t="s">
        <v>14</v>
      </c>
      <c r="W281" s="7" t="s">
        <v>14</v>
      </c>
      <c r="X281" s="7" t="s">
        <v>14</v>
      </c>
      <c r="Y281" s="7" t="s">
        <v>14</v>
      </c>
      <c r="Z281" s="7" t="s">
        <v>14</v>
      </c>
      <c r="AA281" s="7" t="s">
        <v>14</v>
      </c>
      <c r="AB281" s="7" t="s">
        <v>14</v>
      </c>
      <c r="AC281" s="7" t="s">
        <v>14</v>
      </c>
      <c r="AD281" s="7" t="s">
        <v>14</v>
      </c>
      <c r="AE281" s="7" t="s">
        <v>14</v>
      </c>
      <c r="AF281" s="22">
        <v>8.4027777777777785E-2</v>
      </c>
      <c r="AG281" s="22">
        <v>0</v>
      </c>
      <c r="AH281" s="22">
        <v>0.36805555555555558</v>
      </c>
      <c r="AI281" s="22">
        <v>0.37222222222222223</v>
      </c>
      <c r="AJ281" s="7" t="s">
        <v>14</v>
      </c>
      <c r="AK281" s="6" t="s">
        <v>13</v>
      </c>
      <c r="AL281" s="3"/>
      <c r="AM281" s="3"/>
      <c r="AN281" s="3"/>
      <c r="AO281" s="3"/>
      <c r="AP281" s="3"/>
    </row>
    <row r="282" spans="1:42" ht="15.75" customHeight="1" x14ac:dyDescent="0.2">
      <c r="A282" s="4">
        <v>281</v>
      </c>
      <c r="B282" s="4">
        <v>2429</v>
      </c>
      <c r="C282" s="4" t="s">
        <v>374</v>
      </c>
      <c r="D282" s="4" t="s">
        <v>375</v>
      </c>
      <c r="E282" s="4" t="s">
        <v>28</v>
      </c>
      <c r="F282" s="4" t="s">
        <v>107</v>
      </c>
      <c r="G282" s="20">
        <v>45988</v>
      </c>
      <c r="H282" s="7" t="s">
        <v>14</v>
      </c>
      <c r="I282" s="7" t="s">
        <v>14</v>
      </c>
      <c r="J282" s="7" t="s">
        <v>14</v>
      </c>
      <c r="K282" s="7" t="s">
        <v>14</v>
      </c>
      <c r="L282" s="7" t="s">
        <v>14</v>
      </c>
      <c r="M282" s="7" t="s">
        <v>14</v>
      </c>
      <c r="N282" s="7" t="s">
        <v>14</v>
      </c>
      <c r="O282" s="7" t="s">
        <v>14</v>
      </c>
      <c r="P282" s="7" t="s">
        <v>14</v>
      </c>
      <c r="Q282" s="7" t="s">
        <v>14</v>
      </c>
      <c r="R282" s="7" t="s">
        <v>14</v>
      </c>
      <c r="S282" s="7" t="s">
        <v>14</v>
      </c>
      <c r="T282" s="7" t="s">
        <v>14</v>
      </c>
      <c r="U282" s="7" t="s">
        <v>14</v>
      </c>
      <c r="V282" s="7" t="s">
        <v>14</v>
      </c>
      <c r="W282" s="7" t="s">
        <v>14</v>
      </c>
      <c r="X282" s="7" t="s">
        <v>14</v>
      </c>
      <c r="Y282" s="7" t="s">
        <v>14</v>
      </c>
      <c r="Z282" s="7" t="s">
        <v>14</v>
      </c>
      <c r="AA282" s="7" t="s">
        <v>14</v>
      </c>
      <c r="AB282" s="7" t="s">
        <v>14</v>
      </c>
      <c r="AC282" s="7" t="s">
        <v>14</v>
      </c>
      <c r="AD282" s="7" t="s">
        <v>14</v>
      </c>
      <c r="AE282" s="7" t="s">
        <v>14</v>
      </c>
      <c r="AF282" s="7" t="s">
        <v>14</v>
      </c>
      <c r="AG282" s="7" t="s">
        <v>14</v>
      </c>
      <c r="AH282" s="7" t="s">
        <v>14</v>
      </c>
      <c r="AI282" s="7" t="s">
        <v>14</v>
      </c>
      <c r="AJ282" s="7" t="s">
        <v>14</v>
      </c>
      <c r="AK282" s="6" t="s">
        <v>13</v>
      </c>
      <c r="AL282" s="3"/>
      <c r="AM282" s="3"/>
      <c r="AN282" s="3"/>
      <c r="AO282" s="3"/>
      <c r="AP282" s="3"/>
    </row>
    <row r="283" spans="1:42" ht="12.75" x14ac:dyDescent="0.2">
      <c r="A283" s="3"/>
      <c r="B283" s="3"/>
      <c r="C283" s="3"/>
      <c r="D283" s="3"/>
      <c r="E283" s="3"/>
      <c r="F283" s="3"/>
      <c r="G283" s="3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"/>
      <c r="AM283" s="3"/>
      <c r="AN283" s="3"/>
      <c r="AO283" s="3"/>
      <c r="AP283" s="3"/>
    </row>
    <row r="284" spans="1:42" ht="12.75" x14ac:dyDescent="0.2">
      <c r="A284" s="3"/>
      <c r="B284" s="3"/>
      <c r="C284" s="3"/>
      <c r="D284" s="3"/>
      <c r="E284" s="3"/>
      <c r="F284" s="3"/>
      <c r="G284" s="3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"/>
      <c r="AM284" s="3"/>
      <c r="AN284" s="3"/>
      <c r="AO284" s="3"/>
      <c r="AP284" s="3"/>
    </row>
    <row r="285" spans="1:42" ht="12.75" x14ac:dyDescent="0.2">
      <c r="A285" s="3"/>
      <c r="B285" s="3"/>
      <c r="C285" s="3"/>
      <c r="D285" s="3"/>
      <c r="E285" s="28"/>
      <c r="F285" s="3"/>
      <c r="G285" s="3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"/>
      <c r="AM285" s="3"/>
      <c r="AN285" s="3"/>
      <c r="AO285" s="3"/>
      <c r="AP285" s="3"/>
    </row>
    <row r="286" spans="1:42" ht="12.75" x14ac:dyDescent="0.2">
      <c r="A286" s="3"/>
      <c r="B286" s="3"/>
      <c r="C286" s="3"/>
      <c r="D286" s="3"/>
      <c r="E286" s="3"/>
      <c r="F286" s="3"/>
      <c r="G286" s="3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"/>
      <c r="AM286" s="3"/>
      <c r="AN286" s="3"/>
      <c r="AO286" s="3"/>
      <c r="AP286" s="3"/>
    </row>
    <row r="287" spans="1:42" ht="12.75" x14ac:dyDescent="0.2">
      <c r="A287" s="3"/>
      <c r="B287" s="3"/>
      <c r="C287" s="3"/>
      <c r="D287" s="3"/>
      <c r="E287" s="3"/>
      <c r="F287" s="3"/>
      <c r="G287" s="3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"/>
      <c r="AM287" s="3"/>
      <c r="AN287" s="3"/>
      <c r="AO287" s="3"/>
      <c r="AP287" s="3"/>
    </row>
    <row r="288" spans="1:42" ht="12.75" x14ac:dyDescent="0.2">
      <c r="A288" s="3"/>
      <c r="B288" s="3"/>
      <c r="C288" s="3"/>
      <c r="D288" s="3"/>
      <c r="E288" s="3"/>
      <c r="F288" s="3"/>
      <c r="G288" s="3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"/>
      <c r="AM288" s="3"/>
      <c r="AN288" s="3"/>
      <c r="AO288" s="3"/>
      <c r="AP288" s="3"/>
    </row>
    <row r="289" spans="1:42" ht="12.75" x14ac:dyDescent="0.2">
      <c r="A289" s="3"/>
      <c r="B289" s="3"/>
      <c r="C289" s="3"/>
      <c r="D289" s="3"/>
      <c r="E289" s="3"/>
      <c r="F289" s="3"/>
      <c r="G289" s="3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"/>
      <c r="AM289" s="3"/>
      <c r="AN289" s="3"/>
      <c r="AO289" s="3"/>
      <c r="AP289" s="3"/>
    </row>
    <row r="290" spans="1:42" ht="12.75" x14ac:dyDescent="0.2">
      <c r="A290" s="3"/>
      <c r="B290" s="3"/>
      <c r="C290" s="3"/>
      <c r="D290" s="3"/>
      <c r="E290" s="3"/>
      <c r="F290" s="3"/>
      <c r="G290" s="3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"/>
      <c r="AM290" s="3"/>
      <c r="AN290" s="3"/>
      <c r="AO290" s="3"/>
      <c r="AP290" s="3"/>
    </row>
    <row r="291" spans="1:42" ht="12.75" x14ac:dyDescent="0.2">
      <c r="A291" s="3"/>
      <c r="B291" s="3"/>
      <c r="C291" s="3"/>
      <c r="D291" s="3"/>
      <c r="E291" s="3"/>
      <c r="F291" s="3"/>
      <c r="G291" s="3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"/>
      <c r="AM291" s="3"/>
      <c r="AN291" s="3"/>
      <c r="AO291" s="3"/>
      <c r="AP291" s="3"/>
    </row>
    <row r="292" spans="1:42" ht="12.75" x14ac:dyDescent="0.2">
      <c r="A292" s="3"/>
      <c r="B292" s="3"/>
      <c r="C292" s="3"/>
      <c r="D292" s="3"/>
      <c r="E292" s="3"/>
      <c r="F292" s="3"/>
      <c r="G292" s="3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"/>
      <c r="AM292" s="3"/>
      <c r="AN292" s="3"/>
      <c r="AO292" s="3"/>
      <c r="AP292" s="3"/>
    </row>
    <row r="293" spans="1:42" ht="12.75" x14ac:dyDescent="0.2">
      <c r="A293" s="3"/>
      <c r="B293" s="3"/>
      <c r="C293" s="3"/>
      <c r="D293" s="3"/>
      <c r="E293" s="3"/>
      <c r="F293" s="3"/>
      <c r="G293" s="3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"/>
      <c r="AM293" s="3"/>
      <c r="AN293" s="3"/>
      <c r="AO293" s="3"/>
      <c r="AP293" s="3"/>
    </row>
    <row r="294" spans="1:42" ht="12.75" x14ac:dyDescent="0.2">
      <c r="A294" s="3"/>
      <c r="B294" s="3"/>
      <c r="C294" s="3"/>
      <c r="D294" s="3"/>
      <c r="E294" s="3"/>
      <c r="F294" s="3"/>
      <c r="G294" s="3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"/>
      <c r="AM294" s="3"/>
      <c r="AN294" s="3"/>
      <c r="AO294" s="3"/>
      <c r="AP294" s="3"/>
    </row>
    <row r="295" spans="1:42" ht="12.75" x14ac:dyDescent="0.2">
      <c r="A295" s="3"/>
      <c r="B295" s="3"/>
      <c r="C295" s="3"/>
      <c r="D295" s="3"/>
      <c r="E295" s="3"/>
      <c r="F295" s="3"/>
      <c r="G295" s="3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"/>
      <c r="AM295" s="3"/>
      <c r="AN295" s="3"/>
      <c r="AO295" s="3"/>
      <c r="AP295" s="3"/>
    </row>
    <row r="296" spans="1:42" ht="12.75" x14ac:dyDescent="0.2">
      <c r="A296" s="3"/>
      <c r="B296" s="3"/>
      <c r="C296" s="3"/>
      <c r="D296" s="3"/>
      <c r="E296" s="3"/>
      <c r="F296" s="3"/>
      <c r="G296" s="3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"/>
      <c r="AM296" s="3"/>
      <c r="AN296" s="3"/>
      <c r="AO296" s="3"/>
      <c r="AP296" s="3"/>
    </row>
    <row r="297" spans="1:42" ht="12.75" x14ac:dyDescent="0.2">
      <c r="A297" s="3"/>
      <c r="B297" s="3"/>
      <c r="C297" s="3"/>
      <c r="D297" s="3"/>
      <c r="E297" s="3"/>
      <c r="F297" s="3"/>
      <c r="G297" s="3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"/>
      <c r="AM297" s="3"/>
      <c r="AN297" s="3"/>
      <c r="AO297" s="3"/>
      <c r="AP297" s="3"/>
    </row>
    <row r="298" spans="1:42" ht="12.75" x14ac:dyDescent="0.2">
      <c r="A298" s="3"/>
      <c r="B298" s="3"/>
      <c r="C298" s="3"/>
      <c r="D298" s="3"/>
      <c r="E298" s="3"/>
      <c r="F298" s="3"/>
      <c r="G298" s="3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"/>
      <c r="AM298" s="3"/>
      <c r="AN298" s="3"/>
      <c r="AO298" s="3"/>
      <c r="AP298" s="3"/>
    </row>
    <row r="299" spans="1:42" ht="12.75" x14ac:dyDescent="0.2">
      <c r="A299" s="3"/>
      <c r="B299" s="3"/>
      <c r="C299" s="3"/>
      <c r="D299" s="3"/>
      <c r="E299" s="3"/>
      <c r="F299" s="3"/>
      <c r="G299" s="3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"/>
      <c r="AM299" s="3"/>
      <c r="AN299" s="3"/>
      <c r="AO299" s="3"/>
      <c r="AP299" s="3"/>
    </row>
    <row r="300" spans="1:42" ht="12.75" x14ac:dyDescent="0.2">
      <c r="A300" s="3"/>
      <c r="B300" s="3"/>
      <c r="C300" s="3"/>
      <c r="D300" s="3"/>
      <c r="E300" s="3"/>
      <c r="F300" s="3"/>
      <c r="G300" s="3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"/>
      <c r="AM300" s="3"/>
      <c r="AN300" s="3"/>
      <c r="AO300" s="3"/>
      <c r="AP300" s="3"/>
    </row>
    <row r="301" spans="1:42" ht="12.75" x14ac:dyDescent="0.2">
      <c r="A301" s="3"/>
      <c r="B301" s="3"/>
      <c r="C301" s="3"/>
      <c r="D301" s="3"/>
      <c r="E301" s="3"/>
      <c r="F301" s="3"/>
      <c r="G301" s="3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"/>
      <c r="AM301" s="3"/>
      <c r="AN301" s="3"/>
      <c r="AO301" s="3"/>
      <c r="AP301" s="3"/>
    </row>
    <row r="302" spans="1:42" ht="12.75" x14ac:dyDescent="0.2">
      <c r="A302" s="3"/>
      <c r="B302" s="3"/>
      <c r="C302" s="3"/>
      <c r="D302" s="3"/>
      <c r="E302" s="3"/>
      <c r="F302" s="3"/>
      <c r="G302" s="3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"/>
      <c r="AM302" s="3"/>
      <c r="AN302" s="3"/>
      <c r="AO302" s="3"/>
      <c r="AP302" s="3"/>
    </row>
    <row r="303" spans="1:42" ht="12.75" x14ac:dyDescent="0.2">
      <c r="A303" s="3"/>
      <c r="B303" s="3"/>
      <c r="C303" s="3"/>
      <c r="D303" s="3"/>
      <c r="E303" s="3"/>
      <c r="F303" s="3"/>
      <c r="G303" s="3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"/>
      <c r="AM303" s="3"/>
      <c r="AN303" s="3"/>
      <c r="AO303" s="3"/>
      <c r="AP303" s="3"/>
    </row>
    <row r="304" spans="1:42" ht="12.75" x14ac:dyDescent="0.2">
      <c r="A304" s="3"/>
      <c r="B304" s="3"/>
      <c r="C304" s="3"/>
      <c r="D304" s="3"/>
      <c r="E304" s="3"/>
      <c r="F304" s="3"/>
      <c r="G304" s="3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"/>
      <c r="AM304" s="3"/>
      <c r="AN304" s="3"/>
      <c r="AO304" s="3"/>
      <c r="AP304" s="3"/>
    </row>
    <row r="305" spans="1:42" ht="12.75" x14ac:dyDescent="0.2">
      <c r="A305" s="3"/>
      <c r="B305" s="3"/>
      <c r="C305" s="3"/>
      <c r="D305" s="3"/>
      <c r="E305" s="3"/>
      <c r="F305" s="3"/>
      <c r="G305" s="3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"/>
      <c r="AM305" s="3"/>
      <c r="AN305" s="3"/>
      <c r="AO305" s="3"/>
      <c r="AP305" s="3"/>
    </row>
    <row r="306" spans="1:42" ht="12.75" x14ac:dyDescent="0.2">
      <c r="A306" s="3"/>
      <c r="B306" s="3"/>
      <c r="C306" s="3"/>
      <c r="D306" s="3"/>
      <c r="E306" s="3"/>
      <c r="F306" s="3"/>
      <c r="G306" s="3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"/>
      <c r="AM306" s="3"/>
      <c r="AN306" s="3"/>
      <c r="AO306" s="3"/>
      <c r="AP306" s="3"/>
    </row>
    <row r="307" spans="1:42" ht="12.75" x14ac:dyDescent="0.2">
      <c r="A307" s="3"/>
      <c r="B307" s="3"/>
      <c r="C307" s="3"/>
      <c r="D307" s="3"/>
      <c r="E307" s="3"/>
      <c r="F307" s="3"/>
      <c r="G307" s="3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"/>
      <c r="AM307" s="3"/>
      <c r="AN307" s="3"/>
      <c r="AO307" s="3"/>
      <c r="AP307" s="3"/>
    </row>
    <row r="308" spans="1:42" ht="12.75" x14ac:dyDescent="0.2">
      <c r="A308" s="3"/>
      <c r="B308" s="3"/>
      <c r="C308" s="3"/>
      <c r="D308" s="3"/>
      <c r="E308" s="3"/>
      <c r="F308" s="3"/>
      <c r="G308" s="3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"/>
      <c r="AM308" s="3"/>
      <c r="AN308" s="3"/>
      <c r="AO308" s="3"/>
      <c r="AP308" s="3"/>
    </row>
    <row r="309" spans="1:42" ht="12.75" x14ac:dyDescent="0.2">
      <c r="A309" s="3"/>
      <c r="B309" s="3"/>
      <c r="C309" s="3"/>
      <c r="D309" s="3"/>
      <c r="E309" s="3"/>
      <c r="F309" s="3"/>
      <c r="G309" s="3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"/>
      <c r="AM309" s="3"/>
      <c r="AN309" s="3"/>
      <c r="AO309" s="3"/>
      <c r="AP309" s="3"/>
    </row>
    <row r="310" spans="1:42" ht="12.75" x14ac:dyDescent="0.2">
      <c r="A310" s="3"/>
      <c r="B310" s="3"/>
      <c r="C310" s="3"/>
      <c r="D310" s="3"/>
      <c r="E310" s="3"/>
      <c r="F310" s="3"/>
      <c r="G310" s="3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"/>
      <c r="AM310" s="3"/>
      <c r="AN310" s="3"/>
      <c r="AO310" s="3"/>
      <c r="AP310" s="3"/>
    </row>
    <row r="311" spans="1:42" ht="12.75" x14ac:dyDescent="0.2">
      <c r="A311" s="3"/>
      <c r="B311" s="3"/>
      <c r="C311" s="3"/>
      <c r="D311" s="3"/>
      <c r="E311" s="3"/>
      <c r="F311" s="3"/>
      <c r="G311" s="3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"/>
      <c r="AM311" s="3"/>
      <c r="AN311" s="3"/>
      <c r="AO311" s="3"/>
      <c r="AP311" s="3"/>
    </row>
    <row r="312" spans="1:42" ht="12.75" x14ac:dyDescent="0.2">
      <c r="A312" s="3"/>
      <c r="B312" s="3"/>
      <c r="C312" s="3"/>
      <c r="D312" s="3"/>
      <c r="E312" s="3"/>
      <c r="F312" s="3"/>
      <c r="G312" s="3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"/>
      <c r="AM312" s="3"/>
      <c r="AN312" s="3"/>
      <c r="AO312" s="3"/>
      <c r="AP312" s="3"/>
    </row>
    <row r="313" spans="1:42" ht="12.75" x14ac:dyDescent="0.2">
      <c r="A313" s="3"/>
      <c r="B313" s="3"/>
      <c r="C313" s="3"/>
      <c r="D313" s="3"/>
      <c r="E313" s="3"/>
      <c r="F313" s="3"/>
      <c r="G313" s="3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"/>
      <c r="AM313" s="3"/>
      <c r="AN313" s="3"/>
      <c r="AO313" s="3"/>
      <c r="AP313" s="3"/>
    </row>
    <row r="314" spans="1:42" ht="12.75" x14ac:dyDescent="0.2">
      <c r="A314" s="3"/>
      <c r="B314" s="3"/>
      <c r="C314" s="3"/>
      <c r="D314" s="3"/>
      <c r="E314" s="3"/>
      <c r="F314" s="3"/>
      <c r="G314" s="3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"/>
      <c r="AM314" s="3"/>
      <c r="AN314" s="3"/>
      <c r="AO314" s="3"/>
      <c r="AP314" s="3"/>
    </row>
    <row r="315" spans="1:42" ht="12.75" x14ac:dyDescent="0.2">
      <c r="A315" s="3"/>
      <c r="B315" s="3"/>
      <c r="C315" s="3"/>
      <c r="D315" s="3"/>
      <c r="E315" s="3"/>
      <c r="F315" s="3"/>
      <c r="G315" s="3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"/>
      <c r="AM315" s="3"/>
      <c r="AN315" s="3"/>
      <c r="AO315" s="3"/>
      <c r="AP315" s="3"/>
    </row>
    <row r="316" spans="1:42" ht="12.75" x14ac:dyDescent="0.2">
      <c r="A316" s="3"/>
      <c r="B316" s="3"/>
      <c r="C316" s="3"/>
      <c r="D316" s="3"/>
      <c r="E316" s="3"/>
      <c r="F316" s="3"/>
      <c r="G316" s="3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"/>
      <c r="AM316" s="3"/>
      <c r="AN316" s="3"/>
      <c r="AO316" s="3"/>
      <c r="AP316" s="3"/>
    </row>
    <row r="317" spans="1:42" ht="12.75" x14ac:dyDescent="0.2">
      <c r="A317" s="3"/>
      <c r="B317" s="3"/>
      <c r="C317" s="3"/>
      <c r="D317" s="3"/>
      <c r="E317" s="3"/>
      <c r="F317" s="3"/>
      <c r="G317" s="3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"/>
      <c r="AM317" s="3"/>
      <c r="AN317" s="3"/>
      <c r="AO317" s="3"/>
      <c r="AP317" s="3"/>
    </row>
    <row r="318" spans="1:42" ht="12.75" x14ac:dyDescent="0.2">
      <c r="A318" s="3"/>
      <c r="B318" s="3"/>
      <c r="C318" s="3"/>
      <c r="D318" s="3"/>
      <c r="E318" s="3"/>
      <c r="F318" s="3"/>
      <c r="G318" s="3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"/>
      <c r="AM318" s="3"/>
      <c r="AN318" s="3"/>
      <c r="AO318" s="3"/>
      <c r="AP318" s="3"/>
    </row>
    <row r="319" spans="1:42" ht="12.75" x14ac:dyDescent="0.2">
      <c r="A319" s="3"/>
      <c r="B319" s="3"/>
      <c r="C319" s="3"/>
      <c r="D319" s="3"/>
      <c r="E319" s="3"/>
      <c r="F319" s="3"/>
      <c r="G319" s="3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"/>
      <c r="AM319" s="3"/>
      <c r="AN319" s="3"/>
      <c r="AO319" s="3"/>
      <c r="AP319" s="3"/>
    </row>
    <row r="320" spans="1:42" ht="12.75" x14ac:dyDescent="0.2">
      <c r="A320" s="3"/>
      <c r="B320" s="3"/>
      <c r="C320" s="3"/>
      <c r="D320" s="3"/>
      <c r="E320" s="3"/>
      <c r="F320" s="3"/>
      <c r="G320" s="3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"/>
      <c r="AM320" s="3"/>
      <c r="AN320" s="3"/>
      <c r="AO320" s="3"/>
      <c r="AP320" s="3"/>
    </row>
    <row r="321" spans="1:42" ht="12.75" x14ac:dyDescent="0.2">
      <c r="A321" s="3"/>
      <c r="B321" s="3"/>
      <c r="C321" s="3"/>
      <c r="D321" s="3"/>
      <c r="E321" s="3"/>
      <c r="F321" s="3"/>
      <c r="G321" s="3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"/>
      <c r="AM321" s="3"/>
      <c r="AN321" s="3"/>
      <c r="AO321" s="3"/>
      <c r="AP321" s="3"/>
    </row>
    <row r="322" spans="1:42" ht="12.75" x14ac:dyDescent="0.2">
      <c r="A322" s="3"/>
      <c r="B322" s="3"/>
      <c r="C322" s="3"/>
      <c r="D322" s="3"/>
      <c r="E322" s="3"/>
      <c r="F322" s="3"/>
      <c r="G322" s="3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"/>
      <c r="AM322" s="3"/>
      <c r="AN322" s="3"/>
      <c r="AO322" s="3"/>
      <c r="AP322" s="3"/>
    </row>
    <row r="323" spans="1:42" ht="12.75" x14ac:dyDescent="0.2">
      <c r="A323" s="3"/>
      <c r="B323" s="3"/>
      <c r="C323" s="3"/>
      <c r="D323" s="3"/>
      <c r="E323" s="3"/>
      <c r="F323" s="3"/>
      <c r="G323" s="3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"/>
      <c r="AM323" s="3"/>
      <c r="AN323" s="3"/>
      <c r="AO323" s="3"/>
      <c r="AP323" s="3"/>
    </row>
    <row r="324" spans="1:42" ht="12.75" x14ac:dyDescent="0.2">
      <c r="A324" s="3"/>
      <c r="B324" s="3"/>
      <c r="C324" s="3"/>
      <c r="D324" s="3"/>
      <c r="E324" s="3"/>
      <c r="F324" s="3"/>
      <c r="G324" s="3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"/>
      <c r="AM324" s="3"/>
      <c r="AN324" s="3"/>
      <c r="AO324" s="3"/>
      <c r="AP324" s="3"/>
    </row>
    <row r="325" spans="1:42" ht="12.75" x14ac:dyDescent="0.2">
      <c r="A325" s="3"/>
      <c r="B325" s="3"/>
      <c r="C325" s="3"/>
      <c r="D325" s="3"/>
      <c r="E325" s="3"/>
      <c r="F325" s="3"/>
      <c r="G325" s="3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"/>
      <c r="AM325" s="3"/>
      <c r="AN325" s="3"/>
      <c r="AO325" s="3"/>
      <c r="AP325" s="3"/>
    </row>
    <row r="326" spans="1:42" ht="12.75" x14ac:dyDescent="0.2">
      <c r="A326" s="3"/>
      <c r="B326" s="3"/>
      <c r="C326" s="3"/>
      <c r="D326" s="3"/>
      <c r="E326" s="3"/>
      <c r="F326" s="3"/>
      <c r="G326" s="3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"/>
      <c r="AM326" s="3"/>
      <c r="AN326" s="3"/>
      <c r="AO326" s="3"/>
      <c r="AP326" s="3"/>
    </row>
    <row r="327" spans="1:42" ht="12.75" x14ac:dyDescent="0.2">
      <c r="A327" s="3"/>
      <c r="B327" s="3"/>
      <c r="C327" s="3"/>
      <c r="D327" s="3"/>
      <c r="E327" s="3"/>
      <c r="F327" s="3"/>
      <c r="G327" s="3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"/>
      <c r="AM327" s="3"/>
      <c r="AN327" s="3"/>
      <c r="AO327" s="3"/>
      <c r="AP327" s="3"/>
    </row>
    <row r="328" spans="1:42" ht="12.75" x14ac:dyDescent="0.2">
      <c r="A328" s="3"/>
      <c r="B328" s="3"/>
      <c r="C328" s="3"/>
      <c r="D328" s="3"/>
      <c r="E328" s="3"/>
      <c r="F328" s="3"/>
      <c r="G328" s="3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"/>
      <c r="AM328" s="3"/>
      <c r="AN328" s="3"/>
      <c r="AO328" s="3"/>
      <c r="AP328" s="3"/>
    </row>
    <row r="329" spans="1:42" ht="12.75" x14ac:dyDescent="0.2">
      <c r="A329" s="3"/>
      <c r="B329" s="3"/>
      <c r="C329" s="3"/>
      <c r="D329" s="3"/>
      <c r="E329" s="3"/>
      <c r="F329" s="3"/>
      <c r="G329" s="3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"/>
      <c r="AM329" s="3"/>
      <c r="AN329" s="3"/>
      <c r="AO329" s="3"/>
      <c r="AP329" s="3"/>
    </row>
    <row r="330" spans="1:42" ht="12.75" x14ac:dyDescent="0.2">
      <c r="A330" s="3"/>
      <c r="B330" s="3"/>
      <c r="C330" s="3"/>
      <c r="D330" s="3"/>
      <c r="E330" s="3"/>
      <c r="F330" s="3"/>
      <c r="G330" s="3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"/>
      <c r="AM330" s="3"/>
      <c r="AN330" s="3"/>
      <c r="AO330" s="3"/>
      <c r="AP330" s="3"/>
    </row>
    <row r="331" spans="1:42" ht="12.75" x14ac:dyDescent="0.2">
      <c r="A331" s="3"/>
      <c r="B331" s="3"/>
      <c r="C331" s="3"/>
      <c r="D331" s="3"/>
      <c r="E331" s="3"/>
      <c r="F331" s="3"/>
      <c r="G331" s="3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"/>
      <c r="AM331" s="3"/>
      <c r="AN331" s="3"/>
      <c r="AO331" s="3"/>
      <c r="AP331" s="3"/>
    </row>
    <row r="332" spans="1:42" ht="12.75" x14ac:dyDescent="0.2">
      <c r="A332" s="3"/>
      <c r="B332" s="3"/>
      <c r="C332" s="3"/>
      <c r="D332" s="3"/>
      <c r="E332" s="3"/>
      <c r="F332" s="3"/>
      <c r="G332" s="3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"/>
      <c r="AM332" s="3"/>
      <c r="AN332" s="3"/>
      <c r="AO332" s="3"/>
      <c r="AP332" s="3"/>
    </row>
    <row r="333" spans="1:42" ht="12.75" x14ac:dyDescent="0.2">
      <c r="A333" s="3"/>
      <c r="B333" s="3"/>
      <c r="C333" s="3"/>
      <c r="D333" s="3"/>
      <c r="E333" s="3"/>
      <c r="F333" s="3"/>
      <c r="G333" s="3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"/>
      <c r="AM333" s="3"/>
      <c r="AN333" s="3"/>
      <c r="AO333" s="3"/>
      <c r="AP333" s="3"/>
    </row>
    <row r="334" spans="1:42" ht="12.75" x14ac:dyDescent="0.2">
      <c r="A334" s="3"/>
      <c r="B334" s="3"/>
      <c r="C334" s="3"/>
      <c r="D334" s="3"/>
      <c r="E334" s="3"/>
      <c r="F334" s="3"/>
      <c r="G334" s="3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"/>
      <c r="AM334" s="3"/>
      <c r="AN334" s="3"/>
      <c r="AO334" s="3"/>
      <c r="AP334" s="3"/>
    </row>
    <row r="335" spans="1:42" ht="12.75" x14ac:dyDescent="0.2">
      <c r="A335" s="3"/>
      <c r="B335" s="3"/>
      <c r="C335" s="3"/>
      <c r="D335" s="3"/>
      <c r="E335" s="3"/>
      <c r="F335" s="3"/>
      <c r="G335" s="3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"/>
      <c r="AM335" s="3"/>
      <c r="AN335" s="3"/>
      <c r="AO335" s="3"/>
      <c r="AP335" s="3"/>
    </row>
    <row r="336" spans="1:42" ht="12.75" x14ac:dyDescent="0.2">
      <c r="A336" s="3"/>
      <c r="B336" s="3"/>
      <c r="C336" s="3"/>
      <c r="D336" s="3"/>
      <c r="E336" s="3"/>
      <c r="F336" s="3"/>
      <c r="G336" s="3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"/>
      <c r="AM336" s="3"/>
      <c r="AN336" s="3"/>
      <c r="AO336" s="3"/>
      <c r="AP336" s="3"/>
    </row>
    <row r="337" spans="1:42" ht="12.75" x14ac:dyDescent="0.2">
      <c r="A337" s="3"/>
      <c r="B337" s="3"/>
      <c r="C337" s="3"/>
      <c r="D337" s="3"/>
      <c r="E337" s="3"/>
      <c r="F337" s="3"/>
      <c r="G337" s="3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"/>
      <c r="AM337" s="3"/>
      <c r="AN337" s="3"/>
      <c r="AO337" s="3"/>
      <c r="AP337" s="3"/>
    </row>
    <row r="338" spans="1:42" ht="12.75" x14ac:dyDescent="0.2">
      <c r="A338" s="3"/>
      <c r="B338" s="3"/>
      <c r="C338" s="3"/>
      <c r="D338" s="3"/>
      <c r="E338" s="3"/>
      <c r="F338" s="3"/>
      <c r="G338" s="3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"/>
      <c r="AM338" s="3"/>
      <c r="AN338" s="3"/>
      <c r="AO338" s="3"/>
      <c r="AP338" s="3"/>
    </row>
    <row r="339" spans="1:42" ht="12.75" x14ac:dyDescent="0.2">
      <c r="A339" s="3"/>
      <c r="B339" s="3"/>
      <c r="C339" s="3"/>
      <c r="D339" s="3"/>
      <c r="E339" s="3"/>
      <c r="F339" s="3"/>
      <c r="G339" s="3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"/>
      <c r="AM339" s="3"/>
      <c r="AN339" s="3"/>
      <c r="AO339" s="3"/>
      <c r="AP339" s="3"/>
    </row>
    <row r="340" spans="1:42" ht="12.75" x14ac:dyDescent="0.2">
      <c r="A340" s="3"/>
      <c r="B340" s="3"/>
      <c r="C340" s="3"/>
      <c r="D340" s="3"/>
      <c r="E340" s="3"/>
      <c r="F340" s="3"/>
      <c r="G340" s="3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"/>
      <c r="AM340" s="3"/>
      <c r="AN340" s="3"/>
      <c r="AO340" s="3"/>
      <c r="AP340" s="3"/>
    </row>
    <row r="341" spans="1:42" ht="12.75" x14ac:dyDescent="0.2">
      <c r="A341" s="3"/>
      <c r="B341" s="3"/>
      <c r="C341" s="3"/>
      <c r="D341" s="3"/>
      <c r="E341" s="3"/>
      <c r="F341" s="3"/>
      <c r="G341" s="3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"/>
      <c r="AM341" s="3"/>
      <c r="AN341" s="3"/>
      <c r="AO341" s="3"/>
      <c r="AP341" s="3"/>
    </row>
    <row r="342" spans="1:42" ht="12.75" x14ac:dyDescent="0.2">
      <c r="A342" s="3"/>
      <c r="B342" s="3"/>
      <c r="C342" s="3"/>
      <c r="D342" s="3"/>
      <c r="E342" s="3"/>
      <c r="F342" s="3"/>
      <c r="G342" s="3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"/>
      <c r="AM342" s="3"/>
      <c r="AN342" s="3"/>
      <c r="AO342" s="3"/>
      <c r="AP342" s="3"/>
    </row>
    <row r="343" spans="1:42" ht="12.75" x14ac:dyDescent="0.2">
      <c r="A343" s="3"/>
      <c r="B343" s="3"/>
      <c r="C343" s="3"/>
      <c r="D343" s="3"/>
      <c r="E343" s="3"/>
      <c r="F343" s="3"/>
      <c r="G343" s="3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"/>
      <c r="AM343" s="3"/>
      <c r="AN343" s="3"/>
      <c r="AO343" s="3"/>
      <c r="AP343" s="3"/>
    </row>
    <row r="344" spans="1:42" ht="12.75" x14ac:dyDescent="0.2">
      <c r="A344" s="3"/>
      <c r="B344" s="3"/>
      <c r="C344" s="3"/>
      <c r="D344" s="3"/>
      <c r="E344" s="3"/>
      <c r="F344" s="3"/>
      <c r="G344" s="3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"/>
      <c r="AM344" s="3"/>
      <c r="AN344" s="3"/>
      <c r="AO344" s="3"/>
      <c r="AP344" s="3"/>
    </row>
    <row r="345" spans="1:42" ht="12.75" x14ac:dyDescent="0.2">
      <c r="A345" s="3"/>
      <c r="B345" s="3"/>
      <c r="C345" s="3"/>
      <c r="D345" s="3"/>
      <c r="E345" s="3"/>
      <c r="F345" s="3"/>
      <c r="G345" s="3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"/>
      <c r="AM345" s="3"/>
      <c r="AN345" s="3"/>
      <c r="AO345" s="3"/>
      <c r="AP345" s="3"/>
    </row>
    <row r="346" spans="1:42" ht="12.75" x14ac:dyDescent="0.2">
      <c r="A346" s="3"/>
      <c r="B346" s="3"/>
      <c r="C346" s="3"/>
      <c r="D346" s="3"/>
      <c r="E346" s="3"/>
      <c r="F346" s="3"/>
      <c r="G346" s="3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"/>
      <c r="AM346" s="3"/>
      <c r="AN346" s="3"/>
      <c r="AO346" s="3"/>
      <c r="AP346" s="3"/>
    </row>
    <row r="347" spans="1:42" ht="12.75" x14ac:dyDescent="0.2">
      <c r="A347" s="3"/>
      <c r="B347" s="3"/>
      <c r="C347" s="3"/>
      <c r="D347" s="3"/>
      <c r="E347" s="3"/>
      <c r="F347" s="3"/>
      <c r="G347" s="3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"/>
      <c r="AM347" s="3"/>
      <c r="AN347" s="3"/>
      <c r="AO347" s="3"/>
      <c r="AP347" s="3"/>
    </row>
    <row r="348" spans="1:42" ht="12.75" x14ac:dyDescent="0.2">
      <c r="A348" s="3"/>
      <c r="B348" s="3"/>
      <c r="C348" s="3"/>
      <c r="D348" s="3"/>
      <c r="E348" s="3"/>
      <c r="F348" s="3"/>
      <c r="G348" s="3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"/>
      <c r="AM348" s="3"/>
      <c r="AN348" s="3"/>
      <c r="AO348" s="3"/>
      <c r="AP348" s="3"/>
    </row>
    <row r="349" spans="1:42" ht="12.75" x14ac:dyDescent="0.2">
      <c r="A349" s="3"/>
      <c r="B349" s="3"/>
      <c r="C349" s="3"/>
      <c r="D349" s="3"/>
      <c r="E349" s="3"/>
      <c r="F349" s="3"/>
      <c r="G349" s="3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"/>
      <c r="AM349" s="3"/>
      <c r="AN349" s="3"/>
      <c r="AO349" s="3"/>
      <c r="AP349" s="3"/>
    </row>
    <row r="350" spans="1:42" ht="12.75" x14ac:dyDescent="0.2">
      <c r="A350" s="3"/>
      <c r="B350" s="3"/>
      <c r="C350" s="3"/>
      <c r="D350" s="3"/>
      <c r="E350" s="3"/>
      <c r="F350" s="3"/>
      <c r="G350" s="3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"/>
      <c r="AM350" s="3"/>
      <c r="AN350" s="3"/>
      <c r="AO350" s="3"/>
      <c r="AP350" s="3"/>
    </row>
    <row r="351" spans="1:42" ht="12.75" x14ac:dyDescent="0.2">
      <c r="A351" s="3"/>
      <c r="B351" s="3"/>
      <c r="C351" s="3"/>
      <c r="D351" s="3"/>
      <c r="E351" s="3"/>
      <c r="F351" s="3"/>
      <c r="G351" s="3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"/>
      <c r="AM351" s="3"/>
      <c r="AN351" s="3"/>
      <c r="AO351" s="3"/>
      <c r="AP351" s="3"/>
    </row>
    <row r="352" spans="1:42" ht="12.75" x14ac:dyDescent="0.2">
      <c r="A352" s="3"/>
      <c r="B352" s="3"/>
      <c r="C352" s="3"/>
      <c r="D352" s="3"/>
      <c r="E352" s="3"/>
      <c r="F352" s="3"/>
      <c r="G352" s="3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"/>
      <c r="AM352" s="3"/>
      <c r="AN352" s="3"/>
      <c r="AO352" s="3"/>
      <c r="AP352" s="3"/>
    </row>
    <row r="353" spans="1:42" ht="12.75" x14ac:dyDescent="0.2">
      <c r="A353" s="3"/>
      <c r="B353" s="3"/>
      <c r="C353" s="3"/>
      <c r="D353" s="3"/>
      <c r="E353" s="3"/>
      <c r="F353" s="3"/>
      <c r="G353" s="3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"/>
      <c r="AM353" s="3"/>
      <c r="AN353" s="3"/>
      <c r="AO353" s="3"/>
      <c r="AP353" s="3"/>
    </row>
    <row r="354" spans="1:42" ht="12.75" x14ac:dyDescent="0.2">
      <c r="A354" s="3"/>
      <c r="B354" s="3"/>
      <c r="C354" s="3"/>
      <c r="D354" s="3"/>
      <c r="E354" s="3"/>
      <c r="F354" s="3"/>
      <c r="G354" s="3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"/>
      <c r="AM354" s="3"/>
      <c r="AN354" s="3"/>
      <c r="AO354" s="3"/>
      <c r="AP354" s="3"/>
    </row>
    <row r="355" spans="1:42" ht="12.75" x14ac:dyDescent="0.2">
      <c r="A355" s="3"/>
      <c r="B355" s="3"/>
      <c r="C355" s="3"/>
      <c r="D355" s="3"/>
      <c r="E355" s="3"/>
      <c r="F355" s="3"/>
      <c r="G355" s="3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"/>
      <c r="AM355" s="3"/>
      <c r="AN355" s="3"/>
      <c r="AO355" s="3"/>
      <c r="AP355" s="3"/>
    </row>
    <row r="356" spans="1:42" ht="12.75" x14ac:dyDescent="0.2">
      <c r="A356" s="3"/>
      <c r="B356" s="3"/>
      <c r="C356" s="3"/>
      <c r="D356" s="3"/>
      <c r="E356" s="3"/>
      <c r="F356" s="3"/>
      <c r="G356" s="3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"/>
      <c r="AM356" s="3"/>
      <c r="AN356" s="3"/>
      <c r="AO356" s="3"/>
      <c r="AP356" s="3"/>
    </row>
    <row r="357" spans="1:42" ht="12.75" x14ac:dyDescent="0.2">
      <c r="A357" s="3"/>
      <c r="B357" s="3"/>
      <c r="C357" s="3"/>
      <c r="D357" s="3"/>
      <c r="E357" s="3"/>
      <c r="F357" s="3"/>
      <c r="G357" s="3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"/>
      <c r="AM357" s="3"/>
      <c r="AN357" s="3"/>
      <c r="AO357" s="3"/>
      <c r="AP357" s="3"/>
    </row>
    <row r="358" spans="1:42" ht="12.75" x14ac:dyDescent="0.2">
      <c r="A358" s="3"/>
      <c r="B358" s="3"/>
      <c r="C358" s="3"/>
      <c r="D358" s="3"/>
      <c r="E358" s="3"/>
      <c r="F358" s="3"/>
      <c r="G358" s="3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"/>
      <c r="AM358" s="3"/>
      <c r="AN358" s="3"/>
      <c r="AO358" s="3"/>
      <c r="AP358" s="3"/>
    </row>
    <row r="359" spans="1:42" ht="12.75" x14ac:dyDescent="0.2">
      <c r="A359" s="3"/>
      <c r="B359" s="3"/>
      <c r="C359" s="3"/>
      <c r="D359" s="3"/>
      <c r="E359" s="3"/>
      <c r="F359" s="3"/>
      <c r="G359" s="3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"/>
      <c r="AM359" s="3"/>
      <c r="AN359" s="3"/>
      <c r="AO359" s="3"/>
      <c r="AP359" s="3"/>
    </row>
    <row r="360" spans="1:42" ht="12.75" x14ac:dyDescent="0.2">
      <c r="A360" s="3"/>
      <c r="B360" s="3"/>
      <c r="C360" s="3"/>
      <c r="D360" s="3"/>
      <c r="E360" s="3"/>
      <c r="F360" s="3"/>
      <c r="G360" s="3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"/>
      <c r="AM360" s="3"/>
      <c r="AN360" s="3"/>
      <c r="AO360" s="3"/>
      <c r="AP360" s="3"/>
    </row>
    <row r="361" spans="1:42" ht="12.75" x14ac:dyDescent="0.2">
      <c r="A361" s="3"/>
      <c r="B361" s="3"/>
      <c r="C361" s="3"/>
      <c r="D361" s="3"/>
      <c r="E361" s="3"/>
      <c r="F361" s="3"/>
      <c r="G361" s="3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"/>
      <c r="AM361" s="3"/>
      <c r="AN361" s="3"/>
      <c r="AO361" s="3"/>
      <c r="AP361" s="3"/>
    </row>
    <row r="362" spans="1:42" ht="12.75" x14ac:dyDescent="0.2">
      <c r="A362" s="3"/>
      <c r="B362" s="3"/>
      <c r="C362" s="3"/>
      <c r="D362" s="3"/>
      <c r="E362" s="3"/>
      <c r="F362" s="3"/>
      <c r="G362" s="3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"/>
      <c r="AM362" s="3"/>
      <c r="AN362" s="3"/>
      <c r="AO362" s="3"/>
      <c r="AP362" s="3"/>
    </row>
    <row r="363" spans="1:42" ht="12.75" x14ac:dyDescent="0.2">
      <c r="A363" s="3"/>
      <c r="B363" s="3"/>
      <c r="C363" s="3"/>
      <c r="D363" s="3"/>
      <c r="E363" s="3"/>
      <c r="F363" s="3"/>
      <c r="G363" s="3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"/>
      <c r="AM363" s="3"/>
      <c r="AN363" s="3"/>
      <c r="AO363" s="3"/>
      <c r="AP363" s="3"/>
    </row>
    <row r="364" spans="1:42" ht="12.75" x14ac:dyDescent="0.2">
      <c r="A364" s="3"/>
      <c r="B364" s="3"/>
      <c r="C364" s="3"/>
      <c r="D364" s="3"/>
      <c r="E364" s="3"/>
      <c r="F364" s="3"/>
      <c r="G364" s="3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"/>
      <c r="AM364" s="3"/>
      <c r="AN364" s="3"/>
      <c r="AO364" s="3"/>
      <c r="AP364" s="3"/>
    </row>
    <row r="365" spans="1:42" ht="12.75" x14ac:dyDescent="0.2">
      <c r="A365" s="3"/>
      <c r="B365" s="3"/>
      <c r="C365" s="3"/>
      <c r="D365" s="3"/>
      <c r="E365" s="3"/>
      <c r="F365" s="3"/>
      <c r="G365" s="3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"/>
      <c r="AM365" s="3"/>
      <c r="AN365" s="3"/>
      <c r="AO365" s="3"/>
      <c r="AP365" s="3"/>
    </row>
    <row r="366" spans="1:42" ht="12.75" x14ac:dyDescent="0.2">
      <c r="A366" s="3"/>
      <c r="B366" s="3"/>
      <c r="C366" s="3"/>
      <c r="D366" s="3"/>
      <c r="E366" s="3"/>
      <c r="F366" s="3"/>
      <c r="G366" s="3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"/>
      <c r="AM366" s="3"/>
      <c r="AN366" s="3"/>
      <c r="AO366" s="3"/>
      <c r="AP366" s="3"/>
    </row>
    <row r="367" spans="1:42" ht="12.75" x14ac:dyDescent="0.2">
      <c r="A367" s="3"/>
      <c r="B367" s="3"/>
      <c r="C367" s="3"/>
      <c r="D367" s="3"/>
      <c r="E367" s="3"/>
      <c r="F367" s="3"/>
      <c r="G367" s="3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"/>
      <c r="AM367" s="3"/>
      <c r="AN367" s="3"/>
      <c r="AO367" s="3"/>
      <c r="AP367" s="3"/>
    </row>
    <row r="368" spans="1:42" ht="12.75" x14ac:dyDescent="0.2">
      <c r="A368" s="3"/>
      <c r="B368" s="3"/>
      <c r="C368" s="3"/>
      <c r="D368" s="3"/>
      <c r="E368" s="3"/>
      <c r="F368" s="3"/>
      <c r="G368" s="3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"/>
      <c r="AM368" s="3"/>
      <c r="AN368" s="3"/>
      <c r="AO368" s="3"/>
      <c r="AP368" s="3"/>
    </row>
    <row r="369" spans="1:42" ht="12.75" x14ac:dyDescent="0.2">
      <c r="A369" s="3"/>
      <c r="B369" s="3"/>
      <c r="C369" s="3"/>
      <c r="D369" s="3"/>
      <c r="E369" s="3"/>
      <c r="F369" s="3"/>
      <c r="G369" s="3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"/>
      <c r="AM369" s="3"/>
      <c r="AN369" s="3"/>
      <c r="AO369" s="3"/>
      <c r="AP369" s="3"/>
    </row>
    <row r="370" spans="1:42" ht="12.75" x14ac:dyDescent="0.2">
      <c r="A370" s="3"/>
      <c r="B370" s="3"/>
      <c r="C370" s="3"/>
      <c r="D370" s="3"/>
      <c r="E370" s="3"/>
      <c r="F370" s="3"/>
      <c r="G370" s="3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"/>
      <c r="AM370" s="3"/>
      <c r="AN370" s="3"/>
      <c r="AO370" s="3"/>
      <c r="AP370" s="3"/>
    </row>
    <row r="371" spans="1:42" ht="12.75" x14ac:dyDescent="0.2">
      <c r="A371" s="3"/>
      <c r="B371" s="3"/>
      <c r="C371" s="3"/>
      <c r="D371" s="3"/>
      <c r="E371" s="3"/>
      <c r="F371" s="3"/>
      <c r="G371" s="3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"/>
      <c r="AM371" s="3"/>
      <c r="AN371" s="3"/>
      <c r="AO371" s="3"/>
      <c r="AP371" s="3"/>
    </row>
    <row r="372" spans="1:42" ht="12.75" x14ac:dyDescent="0.2">
      <c r="A372" s="3"/>
      <c r="B372" s="3"/>
      <c r="C372" s="3"/>
      <c r="D372" s="3"/>
      <c r="E372" s="3"/>
      <c r="F372" s="3"/>
      <c r="G372" s="3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"/>
      <c r="AM372" s="3"/>
      <c r="AN372" s="3"/>
      <c r="AO372" s="3"/>
      <c r="AP372" s="3"/>
    </row>
    <row r="373" spans="1:42" ht="12.75" x14ac:dyDescent="0.2">
      <c r="A373" s="3"/>
      <c r="B373" s="3"/>
      <c r="C373" s="3"/>
      <c r="D373" s="3"/>
      <c r="E373" s="3"/>
      <c r="F373" s="3"/>
      <c r="G373" s="3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"/>
      <c r="AM373" s="3"/>
      <c r="AN373" s="3"/>
      <c r="AO373" s="3"/>
      <c r="AP373" s="3"/>
    </row>
    <row r="374" spans="1:42" ht="12.75" x14ac:dyDescent="0.2">
      <c r="A374" s="3"/>
      <c r="B374" s="3"/>
      <c r="C374" s="3"/>
      <c r="D374" s="3"/>
      <c r="E374" s="3"/>
      <c r="F374" s="3"/>
      <c r="G374" s="3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"/>
      <c r="AM374" s="3"/>
      <c r="AN374" s="3"/>
      <c r="AO374" s="3"/>
      <c r="AP374" s="3"/>
    </row>
    <row r="375" spans="1:42" ht="12.75" x14ac:dyDescent="0.2">
      <c r="A375" s="3"/>
      <c r="B375" s="3"/>
      <c r="C375" s="3"/>
      <c r="D375" s="3"/>
      <c r="E375" s="3"/>
      <c r="F375" s="3"/>
      <c r="G375" s="3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"/>
      <c r="AM375" s="3"/>
      <c r="AN375" s="3"/>
      <c r="AO375" s="3"/>
      <c r="AP375" s="3"/>
    </row>
    <row r="376" spans="1:42" ht="12.75" x14ac:dyDescent="0.2">
      <c r="A376" s="3"/>
      <c r="B376" s="3"/>
      <c r="C376" s="3"/>
      <c r="D376" s="3"/>
      <c r="E376" s="3"/>
      <c r="F376" s="3"/>
      <c r="G376" s="3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"/>
      <c r="AM376" s="3"/>
      <c r="AN376" s="3"/>
      <c r="AO376" s="3"/>
      <c r="AP376" s="3"/>
    </row>
    <row r="377" spans="1:42" ht="12.75" x14ac:dyDescent="0.2">
      <c r="A377" s="3"/>
      <c r="B377" s="3"/>
      <c r="C377" s="3"/>
      <c r="D377" s="3"/>
      <c r="E377" s="3"/>
      <c r="F377" s="3"/>
      <c r="G377" s="3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"/>
      <c r="AM377" s="3"/>
      <c r="AN377" s="3"/>
      <c r="AO377" s="3"/>
      <c r="AP377" s="3"/>
    </row>
    <row r="378" spans="1:42" ht="12.75" x14ac:dyDescent="0.2">
      <c r="A378" s="3"/>
      <c r="B378" s="3"/>
      <c r="C378" s="3"/>
      <c r="D378" s="3"/>
      <c r="E378" s="3"/>
      <c r="F378" s="3"/>
      <c r="G378" s="3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"/>
      <c r="AM378" s="3"/>
      <c r="AN378" s="3"/>
      <c r="AO378" s="3"/>
      <c r="AP378" s="3"/>
    </row>
    <row r="379" spans="1:42" ht="12.75" x14ac:dyDescent="0.2">
      <c r="A379" s="3"/>
      <c r="B379" s="3"/>
      <c r="C379" s="3"/>
      <c r="D379" s="3"/>
      <c r="E379" s="3"/>
      <c r="F379" s="3"/>
      <c r="G379" s="3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"/>
      <c r="AM379" s="3"/>
      <c r="AN379" s="3"/>
      <c r="AO379" s="3"/>
      <c r="AP379" s="3"/>
    </row>
    <row r="380" spans="1:42" ht="12.75" x14ac:dyDescent="0.2">
      <c r="A380" s="3"/>
      <c r="B380" s="3"/>
      <c r="C380" s="3"/>
      <c r="D380" s="3"/>
      <c r="E380" s="3"/>
      <c r="F380" s="3"/>
      <c r="G380" s="3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"/>
      <c r="AM380" s="3"/>
      <c r="AN380" s="3"/>
      <c r="AO380" s="3"/>
      <c r="AP380" s="3"/>
    </row>
    <row r="381" spans="1:42" ht="12.75" x14ac:dyDescent="0.2">
      <c r="A381" s="3"/>
      <c r="B381" s="3"/>
      <c r="C381" s="3"/>
      <c r="D381" s="3"/>
      <c r="E381" s="3"/>
      <c r="F381" s="3"/>
      <c r="G381" s="3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"/>
      <c r="AM381" s="3"/>
      <c r="AN381" s="3"/>
      <c r="AO381" s="3"/>
      <c r="AP381" s="3"/>
    </row>
    <row r="382" spans="1:42" ht="12.75" x14ac:dyDescent="0.2">
      <c r="A382" s="3"/>
      <c r="B382" s="3"/>
      <c r="C382" s="3"/>
      <c r="D382" s="3"/>
      <c r="E382" s="3"/>
      <c r="F382" s="3"/>
      <c r="G382" s="3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"/>
      <c r="AM382" s="3"/>
      <c r="AN382" s="3"/>
      <c r="AO382" s="3"/>
      <c r="AP382" s="3"/>
    </row>
    <row r="383" spans="1:42" ht="12.75" x14ac:dyDescent="0.2">
      <c r="A383" s="3"/>
      <c r="B383" s="3"/>
      <c r="C383" s="3"/>
      <c r="D383" s="3"/>
      <c r="E383" s="3"/>
      <c r="F383" s="3"/>
      <c r="G383" s="3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"/>
      <c r="AM383" s="3"/>
      <c r="AN383" s="3"/>
      <c r="AO383" s="3"/>
      <c r="AP383" s="3"/>
    </row>
    <row r="384" spans="1:42" ht="12.75" x14ac:dyDescent="0.2">
      <c r="A384" s="3"/>
      <c r="B384" s="3"/>
      <c r="C384" s="3"/>
      <c r="D384" s="3"/>
      <c r="E384" s="3"/>
      <c r="F384" s="3"/>
      <c r="G384" s="3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"/>
      <c r="AM384" s="3"/>
      <c r="AN384" s="3"/>
      <c r="AO384" s="3"/>
      <c r="AP384" s="3"/>
    </row>
    <row r="385" spans="1:42" ht="12.75" x14ac:dyDescent="0.2">
      <c r="A385" s="3"/>
      <c r="B385" s="3"/>
      <c r="C385" s="3"/>
      <c r="D385" s="3"/>
      <c r="E385" s="3"/>
      <c r="F385" s="3"/>
      <c r="G385" s="3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"/>
      <c r="AM385" s="3"/>
      <c r="AN385" s="3"/>
      <c r="AO385" s="3"/>
      <c r="AP385" s="3"/>
    </row>
    <row r="386" spans="1:42" ht="12.75" x14ac:dyDescent="0.2">
      <c r="A386" s="3"/>
      <c r="B386" s="3"/>
      <c r="C386" s="3"/>
      <c r="D386" s="3"/>
      <c r="E386" s="3"/>
      <c r="F386" s="3"/>
      <c r="G386" s="3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"/>
      <c r="AM386" s="3"/>
      <c r="AN386" s="3"/>
      <c r="AO386" s="3"/>
      <c r="AP386" s="3"/>
    </row>
    <row r="387" spans="1:42" ht="12.75" x14ac:dyDescent="0.2">
      <c r="A387" s="3"/>
      <c r="B387" s="3"/>
      <c r="C387" s="3"/>
      <c r="D387" s="3"/>
      <c r="E387" s="3"/>
      <c r="F387" s="3"/>
      <c r="G387" s="3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"/>
      <c r="AM387" s="3"/>
      <c r="AN387" s="3"/>
      <c r="AO387" s="3"/>
      <c r="AP387" s="3"/>
    </row>
    <row r="388" spans="1:42" ht="12.75" x14ac:dyDescent="0.2">
      <c r="A388" s="3"/>
      <c r="B388" s="3"/>
      <c r="C388" s="3"/>
      <c r="D388" s="3"/>
      <c r="E388" s="3"/>
      <c r="F388" s="3"/>
      <c r="G388" s="3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"/>
      <c r="AM388" s="3"/>
      <c r="AN388" s="3"/>
      <c r="AO388" s="3"/>
      <c r="AP388" s="3"/>
    </row>
    <row r="389" spans="1:42" ht="12.75" x14ac:dyDescent="0.2">
      <c r="A389" s="3"/>
      <c r="B389" s="3"/>
      <c r="C389" s="3"/>
      <c r="D389" s="3"/>
      <c r="E389" s="3"/>
      <c r="F389" s="3"/>
      <c r="G389" s="3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"/>
      <c r="AM389" s="3"/>
      <c r="AN389" s="3"/>
      <c r="AO389" s="3"/>
      <c r="AP389" s="3"/>
    </row>
    <row r="390" spans="1:42" ht="12.75" x14ac:dyDescent="0.2">
      <c r="A390" s="3"/>
      <c r="B390" s="3"/>
      <c r="C390" s="3"/>
      <c r="D390" s="3"/>
      <c r="E390" s="3"/>
      <c r="F390" s="3"/>
      <c r="G390" s="3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"/>
      <c r="AM390" s="3"/>
      <c r="AN390" s="3"/>
      <c r="AO390" s="3"/>
      <c r="AP390" s="3"/>
    </row>
    <row r="391" spans="1:42" ht="12.75" x14ac:dyDescent="0.2">
      <c r="A391" s="3"/>
      <c r="B391" s="3"/>
      <c r="C391" s="3"/>
      <c r="D391" s="3"/>
      <c r="E391" s="3"/>
      <c r="F391" s="3"/>
      <c r="G391" s="3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"/>
      <c r="AM391" s="3"/>
      <c r="AN391" s="3"/>
      <c r="AO391" s="3"/>
      <c r="AP391" s="3"/>
    </row>
    <row r="392" spans="1:42" ht="12.75" x14ac:dyDescent="0.2">
      <c r="A392" s="3"/>
      <c r="B392" s="3"/>
      <c r="C392" s="3"/>
      <c r="D392" s="3"/>
      <c r="E392" s="3"/>
      <c r="F392" s="3"/>
      <c r="G392" s="3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"/>
      <c r="AM392" s="3"/>
      <c r="AN392" s="3"/>
      <c r="AO392" s="3"/>
      <c r="AP392" s="3"/>
    </row>
    <row r="393" spans="1:42" ht="12.75" x14ac:dyDescent="0.2">
      <c r="A393" s="3"/>
      <c r="B393" s="3"/>
      <c r="C393" s="3"/>
      <c r="D393" s="3"/>
      <c r="E393" s="3"/>
      <c r="F393" s="3"/>
      <c r="G393" s="3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"/>
      <c r="AM393" s="3"/>
      <c r="AN393" s="3"/>
      <c r="AO393" s="3"/>
      <c r="AP393" s="3"/>
    </row>
    <row r="394" spans="1:42" ht="12.75" x14ac:dyDescent="0.2">
      <c r="A394" s="3"/>
      <c r="B394" s="3"/>
      <c r="C394" s="3"/>
      <c r="D394" s="3"/>
      <c r="E394" s="3"/>
      <c r="F394" s="3"/>
      <c r="G394" s="3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"/>
      <c r="AM394" s="3"/>
      <c r="AN394" s="3"/>
      <c r="AO394" s="3"/>
      <c r="AP394" s="3"/>
    </row>
    <row r="395" spans="1:42" ht="12.75" x14ac:dyDescent="0.2">
      <c r="A395" s="3"/>
      <c r="B395" s="3"/>
      <c r="C395" s="3"/>
      <c r="D395" s="3"/>
      <c r="E395" s="3"/>
      <c r="F395" s="3"/>
      <c r="G395" s="3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"/>
      <c r="AM395" s="3"/>
      <c r="AN395" s="3"/>
      <c r="AO395" s="3"/>
      <c r="AP395" s="3"/>
    </row>
    <row r="396" spans="1:42" ht="12.75" x14ac:dyDescent="0.2">
      <c r="A396" s="3"/>
      <c r="B396" s="3"/>
      <c r="C396" s="3"/>
      <c r="D396" s="3"/>
      <c r="E396" s="3"/>
      <c r="F396" s="3"/>
      <c r="G396" s="3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"/>
      <c r="AM396" s="3"/>
      <c r="AN396" s="3"/>
      <c r="AO396" s="3"/>
      <c r="AP396" s="3"/>
    </row>
    <row r="397" spans="1:42" ht="12.75" x14ac:dyDescent="0.2">
      <c r="A397" s="3"/>
      <c r="B397" s="3"/>
      <c r="C397" s="3"/>
      <c r="D397" s="3"/>
      <c r="E397" s="3"/>
      <c r="F397" s="3"/>
      <c r="G397" s="3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"/>
      <c r="AM397" s="3"/>
      <c r="AN397" s="3"/>
      <c r="AO397" s="3"/>
      <c r="AP397" s="3"/>
    </row>
    <row r="398" spans="1:42" ht="12.75" x14ac:dyDescent="0.2">
      <c r="A398" s="3"/>
      <c r="B398" s="3"/>
      <c r="C398" s="3"/>
      <c r="D398" s="3"/>
      <c r="E398" s="3"/>
      <c r="F398" s="3"/>
      <c r="G398" s="3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"/>
      <c r="AM398" s="3"/>
      <c r="AN398" s="3"/>
      <c r="AO398" s="3"/>
      <c r="AP398" s="3"/>
    </row>
    <row r="399" spans="1:42" ht="12.75" x14ac:dyDescent="0.2">
      <c r="A399" s="3"/>
      <c r="B399" s="3"/>
      <c r="C399" s="3"/>
      <c r="D399" s="3"/>
      <c r="E399" s="3"/>
      <c r="F399" s="3"/>
      <c r="G399" s="3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"/>
      <c r="AM399" s="3"/>
      <c r="AN399" s="3"/>
      <c r="AO399" s="3"/>
      <c r="AP399" s="3"/>
    </row>
    <row r="400" spans="1:42" ht="12.75" x14ac:dyDescent="0.2">
      <c r="A400" s="3"/>
      <c r="B400" s="3"/>
      <c r="C400" s="3"/>
      <c r="D400" s="3"/>
      <c r="E400" s="3"/>
      <c r="F400" s="3"/>
      <c r="G400" s="3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"/>
      <c r="AM400" s="3"/>
      <c r="AN400" s="3"/>
      <c r="AO400" s="3"/>
      <c r="AP400" s="3"/>
    </row>
    <row r="401" spans="1:42" ht="12.75" x14ac:dyDescent="0.2">
      <c r="A401" s="3"/>
      <c r="B401" s="3"/>
      <c r="C401" s="3"/>
      <c r="D401" s="3"/>
      <c r="E401" s="3"/>
      <c r="F401" s="3"/>
      <c r="G401" s="3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"/>
      <c r="AM401" s="3"/>
      <c r="AN401" s="3"/>
      <c r="AO401" s="3"/>
      <c r="AP401" s="3"/>
    </row>
    <row r="402" spans="1:42" ht="12.75" x14ac:dyDescent="0.2">
      <c r="A402" s="3"/>
      <c r="B402" s="3"/>
      <c r="C402" s="3"/>
      <c r="D402" s="3"/>
      <c r="E402" s="3"/>
      <c r="F402" s="3"/>
      <c r="G402" s="3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"/>
      <c r="AM402" s="3"/>
      <c r="AN402" s="3"/>
      <c r="AO402" s="3"/>
      <c r="AP402" s="3"/>
    </row>
    <row r="403" spans="1:42" ht="12.75" x14ac:dyDescent="0.2">
      <c r="A403" s="3"/>
      <c r="B403" s="3"/>
      <c r="C403" s="3"/>
      <c r="D403" s="3"/>
      <c r="E403" s="3"/>
      <c r="F403" s="3"/>
      <c r="G403" s="3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"/>
      <c r="AM403" s="3"/>
      <c r="AN403" s="3"/>
      <c r="AO403" s="3"/>
      <c r="AP403" s="3"/>
    </row>
    <row r="404" spans="1:42" ht="12.75" x14ac:dyDescent="0.2">
      <c r="A404" s="3"/>
      <c r="B404" s="3"/>
      <c r="C404" s="3"/>
      <c r="D404" s="3"/>
      <c r="E404" s="3"/>
      <c r="F404" s="3"/>
      <c r="G404" s="3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"/>
      <c r="AM404" s="3"/>
      <c r="AN404" s="3"/>
      <c r="AO404" s="3"/>
      <c r="AP404" s="3"/>
    </row>
    <row r="405" spans="1:42" ht="12.75" x14ac:dyDescent="0.2">
      <c r="A405" s="3"/>
      <c r="B405" s="3"/>
      <c r="C405" s="3"/>
      <c r="D405" s="3"/>
      <c r="E405" s="3"/>
      <c r="F405" s="3"/>
      <c r="G405" s="3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"/>
      <c r="AM405" s="3"/>
      <c r="AN405" s="3"/>
      <c r="AO405" s="3"/>
      <c r="AP405" s="3"/>
    </row>
    <row r="406" spans="1:42" ht="12.75" x14ac:dyDescent="0.2">
      <c r="A406" s="3"/>
      <c r="B406" s="3"/>
      <c r="C406" s="3"/>
      <c r="D406" s="3"/>
      <c r="E406" s="3"/>
      <c r="F406" s="3"/>
      <c r="G406" s="3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"/>
      <c r="AM406" s="3"/>
      <c r="AN406" s="3"/>
      <c r="AO406" s="3"/>
      <c r="AP406" s="3"/>
    </row>
    <row r="407" spans="1:42" ht="12.75" x14ac:dyDescent="0.2">
      <c r="A407" s="3"/>
      <c r="B407" s="3"/>
      <c r="C407" s="3"/>
      <c r="D407" s="3"/>
      <c r="E407" s="3"/>
      <c r="F407" s="3"/>
      <c r="G407" s="3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"/>
      <c r="AM407" s="3"/>
      <c r="AN407" s="3"/>
      <c r="AO407" s="3"/>
      <c r="AP407" s="3"/>
    </row>
    <row r="408" spans="1:42" ht="12.75" x14ac:dyDescent="0.2">
      <c r="A408" s="3"/>
      <c r="B408" s="3"/>
      <c r="C408" s="3"/>
      <c r="D408" s="3"/>
      <c r="E408" s="3"/>
      <c r="F408" s="3"/>
      <c r="G408" s="3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"/>
      <c r="AM408" s="3"/>
      <c r="AN408" s="3"/>
      <c r="AO408" s="3"/>
      <c r="AP408" s="3"/>
    </row>
    <row r="409" spans="1:42" ht="12.75" x14ac:dyDescent="0.2">
      <c r="A409" s="3"/>
      <c r="B409" s="3"/>
      <c r="C409" s="3"/>
      <c r="D409" s="3"/>
      <c r="E409" s="3"/>
      <c r="F409" s="3"/>
      <c r="G409" s="3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"/>
      <c r="AM409" s="3"/>
      <c r="AN409" s="3"/>
      <c r="AO409" s="3"/>
      <c r="AP409" s="3"/>
    </row>
    <row r="410" spans="1:42" ht="12.75" x14ac:dyDescent="0.2">
      <c r="A410" s="3"/>
      <c r="B410" s="3"/>
      <c r="C410" s="3"/>
      <c r="D410" s="3"/>
      <c r="E410" s="3"/>
      <c r="F410" s="3"/>
      <c r="G410" s="3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"/>
      <c r="AM410" s="3"/>
      <c r="AN410" s="3"/>
      <c r="AO410" s="3"/>
      <c r="AP410" s="3"/>
    </row>
    <row r="411" spans="1:42" ht="12.75" x14ac:dyDescent="0.2">
      <c r="A411" s="3"/>
      <c r="B411" s="3"/>
      <c r="C411" s="3"/>
      <c r="D411" s="3"/>
      <c r="E411" s="3"/>
      <c r="F411" s="3"/>
      <c r="G411" s="3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"/>
      <c r="AM411" s="3"/>
      <c r="AN411" s="3"/>
      <c r="AO411" s="3"/>
      <c r="AP411" s="3"/>
    </row>
    <row r="412" spans="1:42" ht="12.75" x14ac:dyDescent="0.2">
      <c r="A412" s="3"/>
      <c r="B412" s="3"/>
      <c r="C412" s="3"/>
      <c r="D412" s="3"/>
      <c r="E412" s="3"/>
      <c r="F412" s="3"/>
      <c r="G412" s="3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"/>
      <c r="AM412" s="3"/>
      <c r="AN412" s="3"/>
      <c r="AO412" s="3"/>
      <c r="AP412" s="3"/>
    </row>
    <row r="413" spans="1:42" ht="12.75" x14ac:dyDescent="0.2">
      <c r="A413" s="3"/>
      <c r="B413" s="3"/>
      <c r="C413" s="3"/>
      <c r="D413" s="3"/>
      <c r="E413" s="3"/>
      <c r="F413" s="3"/>
      <c r="G413" s="3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"/>
      <c r="AM413" s="3"/>
      <c r="AN413" s="3"/>
      <c r="AO413" s="3"/>
      <c r="AP413" s="3"/>
    </row>
    <row r="414" spans="1:42" ht="12.75" x14ac:dyDescent="0.2">
      <c r="A414" s="3"/>
      <c r="B414" s="3"/>
      <c r="C414" s="3"/>
      <c r="D414" s="3"/>
      <c r="E414" s="3"/>
      <c r="F414" s="3"/>
      <c r="G414" s="3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"/>
      <c r="AM414" s="3"/>
      <c r="AN414" s="3"/>
      <c r="AO414" s="3"/>
      <c r="AP414" s="3"/>
    </row>
    <row r="415" spans="1:42" ht="12.75" x14ac:dyDescent="0.2">
      <c r="A415" s="3"/>
      <c r="B415" s="3"/>
      <c r="C415" s="3"/>
      <c r="D415" s="3"/>
      <c r="E415" s="3"/>
      <c r="F415" s="3"/>
      <c r="G415" s="3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"/>
      <c r="AM415" s="3"/>
      <c r="AN415" s="3"/>
      <c r="AO415" s="3"/>
      <c r="AP415" s="3"/>
    </row>
    <row r="416" spans="1:42" ht="12.75" x14ac:dyDescent="0.2">
      <c r="A416" s="3"/>
      <c r="B416" s="3"/>
      <c r="C416" s="3"/>
      <c r="D416" s="3"/>
      <c r="E416" s="3"/>
      <c r="F416" s="3"/>
      <c r="G416" s="3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"/>
      <c r="AM416" s="3"/>
      <c r="AN416" s="3"/>
      <c r="AO416" s="3"/>
      <c r="AP416" s="3"/>
    </row>
    <row r="417" spans="1:42" ht="12.75" x14ac:dyDescent="0.2">
      <c r="A417" s="3"/>
      <c r="B417" s="3"/>
      <c r="C417" s="3"/>
      <c r="D417" s="3"/>
      <c r="E417" s="3"/>
      <c r="F417" s="3"/>
      <c r="G417" s="3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"/>
      <c r="AM417" s="3"/>
      <c r="AN417" s="3"/>
      <c r="AO417" s="3"/>
      <c r="AP417" s="3"/>
    </row>
    <row r="418" spans="1:42" ht="12.75" x14ac:dyDescent="0.2">
      <c r="A418" s="3"/>
      <c r="B418" s="3"/>
      <c r="C418" s="3"/>
      <c r="D418" s="3"/>
      <c r="E418" s="3"/>
      <c r="F418" s="3"/>
      <c r="G418" s="3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"/>
      <c r="AM418" s="3"/>
      <c r="AN418" s="3"/>
      <c r="AO418" s="3"/>
      <c r="AP418" s="3"/>
    </row>
    <row r="419" spans="1:42" ht="12.75" x14ac:dyDescent="0.2">
      <c r="A419" s="3"/>
      <c r="B419" s="3"/>
      <c r="C419" s="3"/>
      <c r="D419" s="3"/>
      <c r="E419" s="3"/>
      <c r="F419" s="3"/>
      <c r="G419" s="3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"/>
      <c r="AM419" s="3"/>
      <c r="AN419" s="3"/>
      <c r="AO419" s="3"/>
      <c r="AP419" s="3"/>
    </row>
    <row r="420" spans="1:42" ht="12.75" x14ac:dyDescent="0.2">
      <c r="A420" s="3"/>
      <c r="B420" s="3"/>
      <c r="C420" s="3"/>
      <c r="D420" s="3"/>
      <c r="E420" s="3"/>
      <c r="F420" s="3"/>
      <c r="G420" s="3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"/>
      <c r="AM420" s="3"/>
      <c r="AN420" s="3"/>
      <c r="AO420" s="3"/>
      <c r="AP420" s="3"/>
    </row>
    <row r="421" spans="1:42" ht="12.75" x14ac:dyDescent="0.2">
      <c r="A421" s="3"/>
      <c r="B421" s="3"/>
      <c r="C421" s="3"/>
      <c r="D421" s="3"/>
      <c r="E421" s="3"/>
      <c r="F421" s="3"/>
      <c r="G421" s="3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"/>
      <c r="AM421" s="3"/>
      <c r="AN421" s="3"/>
      <c r="AO421" s="3"/>
      <c r="AP421" s="3"/>
    </row>
    <row r="422" spans="1:42" ht="12.75" x14ac:dyDescent="0.2">
      <c r="A422" s="3"/>
      <c r="B422" s="3"/>
      <c r="C422" s="3"/>
      <c r="D422" s="3"/>
      <c r="E422" s="3"/>
      <c r="F422" s="3"/>
      <c r="G422" s="3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"/>
      <c r="AM422" s="3"/>
      <c r="AN422" s="3"/>
      <c r="AO422" s="3"/>
      <c r="AP422" s="3"/>
    </row>
    <row r="423" spans="1:42" ht="12.75" x14ac:dyDescent="0.2">
      <c r="A423" s="3"/>
      <c r="B423" s="3"/>
      <c r="C423" s="3"/>
      <c r="D423" s="3"/>
      <c r="E423" s="3"/>
      <c r="F423" s="3"/>
      <c r="G423" s="3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"/>
      <c r="AM423" s="3"/>
      <c r="AN423" s="3"/>
      <c r="AO423" s="3"/>
      <c r="AP423" s="3"/>
    </row>
    <row r="424" spans="1:42" ht="12.75" x14ac:dyDescent="0.2">
      <c r="A424" s="3"/>
      <c r="B424" s="3"/>
      <c r="C424" s="3"/>
      <c r="D424" s="3"/>
      <c r="E424" s="3"/>
      <c r="F424" s="3"/>
      <c r="G424" s="3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"/>
      <c r="AM424" s="3"/>
      <c r="AN424" s="3"/>
      <c r="AO424" s="3"/>
      <c r="AP424" s="3"/>
    </row>
    <row r="425" spans="1:42" ht="12.75" x14ac:dyDescent="0.2">
      <c r="A425" s="3"/>
      <c r="B425" s="3"/>
      <c r="C425" s="3"/>
      <c r="D425" s="3"/>
      <c r="E425" s="3"/>
      <c r="F425" s="3"/>
      <c r="G425" s="3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"/>
      <c r="AM425" s="3"/>
      <c r="AN425" s="3"/>
      <c r="AO425" s="3"/>
      <c r="AP425" s="3"/>
    </row>
    <row r="426" spans="1:42" ht="12.75" x14ac:dyDescent="0.2">
      <c r="A426" s="3"/>
      <c r="B426" s="3"/>
      <c r="C426" s="3"/>
      <c r="D426" s="3"/>
      <c r="E426" s="3"/>
      <c r="F426" s="3"/>
      <c r="G426" s="3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"/>
      <c r="AM426" s="3"/>
      <c r="AN426" s="3"/>
      <c r="AO426" s="3"/>
      <c r="AP426" s="3"/>
    </row>
    <row r="427" spans="1:42" ht="12.75" x14ac:dyDescent="0.2">
      <c r="A427" s="3"/>
      <c r="B427" s="3"/>
      <c r="C427" s="3"/>
      <c r="D427" s="3"/>
      <c r="E427" s="3"/>
      <c r="F427" s="3"/>
      <c r="G427" s="3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"/>
      <c r="AM427" s="3"/>
      <c r="AN427" s="3"/>
      <c r="AO427" s="3"/>
      <c r="AP427" s="3"/>
    </row>
    <row r="428" spans="1:42" ht="12.75" x14ac:dyDescent="0.2">
      <c r="A428" s="3"/>
      <c r="B428" s="3"/>
      <c r="C428" s="3"/>
      <c r="D428" s="3"/>
      <c r="E428" s="3"/>
      <c r="F428" s="3"/>
      <c r="G428" s="3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"/>
      <c r="AM428" s="3"/>
      <c r="AN428" s="3"/>
      <c r="AO428" s="3"/>
      <c r="AP428" s="3"/>
    </row>
    <row r="429" spans="1:42" ht="12.75" x14ac:dyDescent="0.2">
      <c r="A429" s="3"/>
      <c r="B429" s="3"/>
      <c r="C429" s="3"/>
      <c r="D429" s="3"/>
      <c r="E429" s="3"/>
      <c r="F429" s="3"/>
      <c r="G429" s="3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"/>
      <c r="AM429" s="3"/>
      <c r="AN429" s="3"/>
      <c r="AO429" s="3"/>
      <c r="AP429" s="3"/>
    </row>
    <row r="430" spans="1:42" ht="12.75" x14ac:dyDescent="0.2">
      <c r="A430" s="3"/>
      <c r="B430" s="3"/>
      <c r="C430" s="3"/>
      <c r="D430" s="3"/>
      <c r="E430" s="3"/>
      <c r="F430" s="3"/>
      <c r="G430" s="3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"/>
      <c r="AM430" s="3"/>
      <c r="AN430" s="3"/>
      <c r="AO430" s="3"/>
      <c r="AP430" s="3"/>
    </row>
    <row r="431" spans="1:42" ht="12.75" x14ac:dyDescent="0.2">
      <c r="A431" s="3"/>
      <c r="B431" s="3"/>
      <c r="C431" s="3"/>
      <c r="D431" s="3"/>
      <c r="E431" s="3"/>
      <c r="F431" s="3"/>
      <c r="G431" s="3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"/>
      <c r="AM431" s="3"/>
      <c r="AN431" s="3"/>
      <c r="AO431" s="3"/>
      <c r="AP431" s="3"/>
    </row>
    <row r="432" spans="1:42" ht="12.75" x14ac:dyDescent="0.2">
      <c r="A432" s="3"/>
      <c r="B432" s="3"/>
      <c r="C432" s="3"/>
      <c r="D432" s="3"/>
      <c r="E432" s="3"/>
      <c r="F432" s="3"/>
      <c r="G432" s="3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"/>
      <c r="AM432" s="3"/>
      <c r="AN432" s="3"/>
      <c r="AO432" s="3"/>
      <c r="AP432" s="3"/>
    </row>
    <row r="433" spans="1:42" ht="12.75" x14ac:dyDescent="0.2">
      <c r="A433" s="3"/>
      <c r="B433" s="3"/>
      <c r="C433" s="3"/>
      <c r="D433" s="3"/>
      <c r="E433" s="3"/>
      <c r="F433" s="3"/>
      <c r="G433" s="3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"/>
      <c r="AM433" s="3"/>
      <c r="AN433" s="3"/>
      <c r="AO433" s="3"/>
      <c r="AP433" s="3"/>
    </row>
    <row r="434" spans="1:42" ht="12.75" x14ac:dyDescent="0.2">
      <c r="A434" s="3"/>
      <c r="B434" s="3"/>
      <c r="C434" s="3"/>
      <c r="D434" s="3"/>
      <c r="E434" s="3"/>
      <c r="F434" s="3"/>
      <c r="G434" s="3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"/>
      <c r="AM434" s="3"/>
      <c r="AN434" s="3"/>
      <c r="AO434" s="3"/>
      <c r="AP434" s="3"/>
    </row>
    <row r="435" spans="1:42" ht="12.75" x14ac:dyDescent="0.2">
      <c r="A435" s="3"/>
      <c r="B435" s="3"/>
      <c r="C435" s="3"/>
      <c r="D435" s="3"/>
      <c r="E435" s="3"/>
      <c r="F435" s="3"/>
      <c r="G435" s="3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"/>
      <c r="AM435" s="3"/>
      <c r="AN435" s="3"/>
      <c r="AO435" s="3"/>
      <c r="AP435" s="3"/>
    </row>
    <row r="436" spans="1:42" ht="12.75" x14ac:dyDescent="0.2">
      <c r="A436" s="3"/>
      <c r="B436" s="3"/>
      <c r="C436" s="3"/>
      <c r="D436" s="3"/>
      <c r="E436" s="3"/>
      <c r="F436" s="3"/>
      <c r="G436" s="3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"/>
      <c r="AM436" s="3"/>
      <c r="AN436" s="3"/>
      <c r="AO436" s="3"/>
      <c r="AP436" s="3"/>
    </row>
    <row r="437" spans="1:42" ht="12.75" x14ac:dyDescent="0.2">
      <c r="A437" s="3"/>
      <c r="B437" s="3"/>
      <c r="C437" s="3"/>
      <c r="D437" s="3"/>
      <c r="E437" s="3"/>
      <c r="F437" s="3"/>
      <c r="G437" s="3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"/>
      <c r="AM437" s="3"/>
      <c r="AN437" s="3"/>
      <c r="AO437" s="3"/>
      <c r="AP437" s="3"/>
    </row>
    <row r="438" spans="1:42" ht="12.75" x14ac:dyDescent="0.2">
      <c r="A438" s="3"/>
      <c r="B438" s="3"/>
      <c r="C438" s="3"/>
      <c r="D438" s="3"/>
      <c r="E438" s="3"/>
      <c r="F438" s="3"/>
      <c r="G438" s="3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"/>
      <c r="AM438" s="3"/>
      <c r="AN438" s="3"/>
      <c r="AO438" s="3"/>
      <c r="AP438" s="3"/>
    </row>
    <row r="439" spans="1:42" ht="12.75" x14ac:dyDescent="0.2">
      <c r="A439" s="3"/>
      <c r="B439" s="3"/>
      <c r="C439" s="3"/>
      <c r="D439" s="3"/>
      <c r="E439" s="3"/>
      <c r="F439" s="3"/>
      <c r="G439" s="3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"/>
      <c r="AM439" s="3"/>
      <c r="AN439" s="3"/>
      <c r="AO439" s="3"/>
      <c r="AP439" s="3"/>
    </row>
    <row r="440" spans="1:42" ht="12.75" x14ac:dyDescent="0.2">
      <c r="A440" s="3"/>
      <c r="B440" s="3"/>
      <c r="C440" s="3"/>
      <c r="D440" s="3"/>
      <c r="E440" s="3"/>
      <c r="F440" s="3"/>
      <c r="G440" s="3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"/>
      <c r="AM440" s="3"/>
      <c r="AN440" s="3"/>
      <c r="AO440" s="3"/>
      <c r="AP440" s="3"/>
    </row>
    <row r="441" spans="1:42" ht="12.75" x14ac:dyDescent="0.2">
      <c r="A441" s="3"/>
      <c r="B441" s="3"/>
      <c r="C441" s="3"/>
      <c r="D441" s="3"/>
      <c r="E441" s="3"/>
      <c r="F441" s="3"/>
      <c r="G441" s="3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"/>
      <c r="AM441" s="3"/>
      <c r="AN441" s="3"/>
      <c r="AO441" s="3"/>
      <c r="AP441" s="3"/>
    </row>
    <row r="442" spans="1:42" ht="12.75" x14ac:dyDescent="0.2">
      <c r="A442" s="3"/>
      <c r="B442" s="3"/>
      <c r="C442" s="3"/>
      <c r="D442" s="3"/>
      <c r="E442" s="3"/>
      <c r="F442" s="3"/>
      <c r="G442" s="3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"/>
      <c r="AM442" s="3"/>
      <c r="AN442" s="3"/>
      <c r="AO442" s="3"/>
      <c r="AP442" s="3"/>
    </row>
    <row r="443" spans="1:42" ht="12.75" x14ac:dyDescent="0.2">
      <c r="A443" s="3"/>
      <c r="B443" s="3"/>
      <c r="C443" s="3"/>
      <c r="D443" s="3"/>
      <c r="E443" s="3"/>
      <c r="F443" s="3"/>
      <c r="G443" s="3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"/>
      <c r="AM443" s="3"/>
      <c r="AN443" s="3"/>
      <c r="AO443" s="3"/>
      <c r="AP443" s="3"/>
    </row>
    <row r="444" spans="1:42" ht="12.75" x14ac:dyDescent="0.2">
      <c r="A444" s="3"/>
      <c r="B444" s="3"/>
      <c r="C444" s="3"/>
      <c r="D444" s="3"/>
      <c r="E444" s="3"/>
      <c r="F444" s="3"/>
      <c r="G444" s="3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"/>
      <c r="AM444" s="3"/>
      <c r="AN444" s="3"/>
      <c r="AO444" s="3"/>
      <c r="AP444" s="3"/>
    </row>
    <row r="445" spans="1:42" ht="12.75" x14ac:dyDescent="0.2">
      <c r="A445" s="3"/>
      <c r="B445" s="3"/>
      <c r="C445" s="3"/>
      <c r="D445" s="3"/>
      <c r="E445" s="3"/>
      <c r="F445" s="3"/>
      <c r="G445" s="3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"/>
      <c r="AM445" s="3"/>
      <c r="AN445" s="3"/>
      <c r="AO445" s="3"/>
      <c r="AP445" s="3"/>
    </row>
    <row r="446" spans="1:42" ht="12.75" x14ac:dyDescent="0.2">
      <c r="A446" s="3"/>
      <c r="B446" s="3"/>
      <c r="C446" s="3"/>
      <c r="D446" s="3"/>
      <c r="E446" s="3"/>
      <c r="F446" s="3"/>
      <c r="G446" s="3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"/>
      <c r="AM446" s="3"/>
      <c r="AN446" s="3"/>
      <c r="AO446" s="3"/>
      <c r="AP446" s="3"/>
    </row>
    <row r="447" spans="1:42" ht="12.75" x14ac:dyDescent="0.2">
      <c r="A447" s="3"/>
      <c r="B447" s="3"/>
      <c r="C447" s="3"/>
      <c r="D447" s="3"/>
      <c r="E447" s="3"/>
      <c r="F447" s="3"/>
      <c r="G447" s="3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"/>
      <c r="AM447" s="3"/>
      <c r="AN447" s="3"/>
      <c r="AO447" s="3"/>
      <c r="AP447" s="3"/>
    </row>
    <row r="448" spans="1:42" ht="12.75" x14ac:dyDescent="0.2">
      <c r="A448" s="3"/>
      <c r="B448" s="3"/>
      <c r="C448" s="3"/>
      <c r="D448" s="3"/>
      <c r="E448" s="3"/>
      <c r="F448" s="3"/>
      <c r="G448" s="3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"/>
      <c r="AM448" s="3"/>
      <c r="AN448" s="3"/>
      <c r="AO448" s="3"/>
      <c r="AP448" s="3"/>
    </row>
    <row r="449" spans="1:42" ht="12.75" x14ac:dyDescent="0.2">
      <c r="A449" s="3"/>
      <c r="B449" s="3"/>
      <c r="C449" s="3"/>
      <c r="D449" s="3"/>
      <c r="E449" s="3"/>
      <c r="F449" s="3"/>
      <c r="G449" s="3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"/>
      <c r="AM449" s="3"/>
      <c r="AN449" s="3"/>
      <c r="AO449" s="3"/>
      <c r="AP449" s="3"/>
    </row>
    <row r="450" spans="1:42" ht="12.75" x14ac:dyDescent="0.2">
      <c r="A450" s="3"/>
      <c r="B450" s="3"/>
      <c r="C450" s="3"/>
      <c r="D450" s="3"/>
      <c r="E450" s="3"/>
      <c r="F450" s="3"/>
      <c r="G450" s="3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"/>
      <c r="AM450" s="3"/>
      <c r="AN450" s="3"/>
      <c r="AO450" s="3"/>
      <c r="AP450" s="3"/>
    </row>
    <row r="451" spans="1:42" ht="12.75" x14ac:dyDescent="0.2">
      <c r="A451" s="3"/>
      <c r="B451" s="3"/>
      <c r="C451" s="3"/>
      <c r="D451" s="3"/>
      <c r="E451" s="3"/>
      <c r="F451" s="3"/>
      <c r="G451" s="3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"/>
      <c r="AM451" s="3"/>
      <c r="AN451" s="3"/>
      <c r="AO451" s="3"/>
      <c r="AP451" s="3"/>
    </row>
    <row r="452" spans="1:42" ht="12.75" x14ac:dyDescent="0.2">
      <c r="A452" s="3"/>
      <c r="B452" s="3"/>
      <c r="C452" s="3"/>
      <c r="D452" s="3"/>
      <c r="E452" s="3"/>
      <c r="F452" s="3"/>
      <c r="G452" s="3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"/>
      <c r="AM452" s="3"/>
      <c r="AN452" s="3"/>
      <c r="AO452" s="3"/>
      <c r="AP452" s="3"/>
    </row>
    <row r="453" spans="1:42" ht="12.75" x14ac:dyDescent="0.2">
      <c r="A453" s="3"/>
      <c r="B453" s="3"/>
      <c r="C453" s="3"/>
      <c r="D453" s="3"/>
      <c r="E453" s="3"/>
      <c r="F453" s="3"/>
      <c r="G453" s="3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"/>
      <c r="AM453" s="3"/>
      <c r="AN453" s="3"/>
      <c r="AO453" s="3"/>
      <c r="AP453" s="3"/>
    </row>
    <row r="454" spans="1:42" ht="12.75" x14ac:dyDescent="0.2">
      <c r="A454" s="3"/>
      <c r="B454" s="3"/>
      <c r="C454" s="3"/>
      <c r="D454" s="3"/>
      <c r="E454" s="3"/>
      <c r="F454" s="3"/>
      <c r="G454" s="3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"/>
      <c r="AM454" s="3"/>
      <c r="AN454" s="3"/>
      <c r="AO454" s="3"/>
      <c r="AP454" s="3"/>
    </row>
    <row r="455" spans="1:42" ht="12.75" x14ac:dyDescent="0.2">
      <c r="A455" s="3"/>
      <c r="B455" s="3"/>
      <c r="C455" s="3"/>
      <c r="D455" s="3"/>
      <c r="E455" s="3"/>
      <c r="F455" s="3"/>
      <c r="G455" s="3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"/>
      <c r="AM455" s="3"/>
      <c r="AN455" s="3"/>
      <c r="AO455" s="3"/>
      <c r="AP455" s="3"/>
    </row>
    <row r="456" spans="1:42" ht="12.75" x14ac:dyDescent="0.2">
      <c r="A456" s="3"/>
      <c r="B456" s="3"/>
      <c r="C456" s="3"/>
      <c r="D456" s="3"/>
      <c r="E456" s="3"/>
      <c r="F456" s="3"/>
      <c r="G456" s="3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"/>
      <c r="AM456" s="3"/>
      <c r="AN456" s="3"/>
      <c r="AO456" s="3"/>
      <c r="AP456" s="3"/>
    </row>
    <row r="457" spans="1:42" ht="12.75" x14ac:dyDescent="0.2">
      <c r="A457" s="3"/>
      <c r="B457" s="3"/>
      <c r="C457" s="3"/>
      <c r="D457" s="3"/>
      <c r="E457" s="3"/>
      <c r="F457" s="3"/>
      <c r="G457" s="3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"/>
      <c r="AM457" s="3"/>
      <c r="AN457" s="3"/>
      <c r="AO457" s="3"/>
      <c r="AP457" s="3"/>
    </row>
    <row r="458" spans="1:42" ht="12.75" x14ac:dyDescent="0.2">
      <c r="A458" s="3"/>
      <c r="B458" s="3"/>
      <c r="C458" s="3"/>
      <c r="D458" s="3"/>
      <c r="E458" s="3"/>
      <c r="F458" s="3"/>
      <c r="G458" s="3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"/>
      <c r="AM458" s="3"/>
      <c r="AN458" s="3"/>
      <c r="AO458" s="3"/>
      <c r="AP458" s="3"/>
    </row>
    <row r="459" spans="1:42" ht="12.75" x14ac:dyDescent="0.2">
      <c r="A459" s="3"/>
      <c r="B459" s="3"/>
      <c r="C459" s="3"/>
      <c r="D459" s="3"/>
      <c r="E459" s="3"/>
      <c r="F459" s="3"/>
      <c r="G459" s="3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"/>
      <c r="AM459" s="3"/>
      <c r="AN459" s="3"/>
      <c r="AO459" s="3"/>
      <c r="AP459" s="3"/>
    </row>
    <row r="460" spans="1:42" ht="12.75" x14ac:dyDescent="0.2">
      <c r="A460" s="3"/>
      <c r="B460" s="3"/>
      <c r="C460" s="3"/>
      <c r="D460" s="3"/>
      <c r="E460" s="3"/>
      <c r="F460" s="3"/>
      <c r="G460" s="3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"/>
      <c r="AM460" s="3"/>
      <c r="AN460" s="3"/>
      <c r="AO460" s="3"/>
      <c r="AP460" s="3"/>
    </row>
    <row r="461" spans="1:42" ht="12.75" x14ac:dyDescent="0.2">
      <c r="A461" s="3"/>
      <c r="B461" s="3"/>
      <c r="C461" s="3"/>
      <c r="D461" s="3"/>
      <c r="E461" s="3"/>
      <c r="F461" s="3"/>
      <c r="G461" s="3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"/>
      <c r="AM461" s="3"/>
      <c r="AN461" s="3"/>
      <c r="AO461" s="3"/>
      <c r="AP461" s="3"/>
    </row>
    <row r="462" spans="1:42" ht="12.75" x14ac:dyDescent="0.2">
      <c r="A462" s="3"/>
      <c r="B462" s="3"/>
      <c r="C462" s="3"/>
      <c r="D462" s="3"/>
      <c r="E462" s="3"/>
      <c r="F462" s="3"/>
      <c r="G462" s="3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"/>
      <c r="AM462" s="3"/>
      <c r="AN462" s="3"/>
      <c r="AO462" s="3"/>
      <c r="AP462" s="3"/>
    </row>
    <row r="463" spans="1:42" ht="12.75" x14ac:dyDescent="0.2">
      <c r="A463" s="3"/>
      <c r="B463" s="3"/>
      <c r="C463" s="3"/>
      <c r="D463" s="3"/>
      <c r="E463" s="3"/>
      <c r="F463" s="3"/>
      <c r="G463" s="3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"/>
      <c r="AM463" s="3"/>
      <c r="AN463" s="3"/>
      <c r="AO463" s="3"/>
      <c r="AP463" s="3"/>
    </row>
    <row r="464" spans="1:42" ht="12.75" x14ac:dyDescent="0.2">
      <c r="A464" s="3"/>
      <c r="B464" s="3"/>
      <c r="C464" s="3"/>
      <c r="D464" s="3"/>
      <c r="E464" s="3"/>
      <c r="F464" s="3"/>
      <c r="G464" s="3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"/>
      <c r="AM464" s="3"/>
      <c r="AN464" s="3"/>
      <c r="AO464" s="3"/>
      <c r="AP464" s="3"/>
    </row>
    <row r="465" spans="1:42" ht="12.75" x14ac:dyDescent="0.2">
      <c r="A465" s="3"/>
      <c r="B465" s="3"/>
      <c r="C465" s="3"/>
      <c r="D465" s="3"/>
      <c r="E465" s="3"/>
      <c r="F465" s="3"/>
      <c r="G465" s="3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"/>
      <c r="AM465" s="3"/>
      <c r="AN465" s="3"/>
      <c r="AO465" s="3"/>
      <c r="AP465" s="3"/>
    </row>
    <row r="466" spans="1:42" ht="12.75" x14ac:dyDescent="0.2">
      <c r="A466" s="3"/>
      <c r="B466" s="3"/>
      <c r="C466" s="3"/>
      <c r="D466" s="3"/>
      <c r="E466" s="3"/>
      <c r="F466" s="3"/>
      <c r="G466" s="3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"/>
      <c r="AM466" s="3"/>
      <c r="AN466" s="3"/>
      <c r="AO466" s="3"/>
      <c r="AP466" s="3"/>
    </row>
    <row r="467" spans="1:42" ht="12.75" x14ac:dyDescent="0.2">
      <c r="A467" s="3"/>
      <c r="B467" s="3"/>
      <c r="C467" s="3"/>
      <c r="D467" s="3"/>
      <c r="E467" s="3"/>
      <c r="F467" s="3"/>
      <c r="G467" s="3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"/>
      <c r="AM467" s="3"/>
      <c r="AN467" s="3"/>
      <c r="AO467" s="3"/>
      <c r="AP467" s="3"/>
    </row>
    <row r="468" spans="1:42" ht="12.75" x14ac:dyDescent="0.2">
      <c r="A468" s="3"/>
      <c r="B468" s="3"/>
      <c r="C468" s="3"/>
      <c r="D468" s="3"/>
      <c r="E468" s="3"/>
      <c r="F468" s="3"/>
      <c r="G468" s="3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"/>
      <c r="AM468" s="3"/>
      <c r="AN468" s="3"/>
      <c r="AO468" s="3"/>
      <c r="AP468" s="3"/>
    </row>
    <row r="469" spans="1:42" ht="12.75" x14ac:dyDescent="0.2">
      <c r="A469" s="3"/>
      <c r="B469" s="3"/>
      <c r="C469" s="3"/>
      <c r="D469" s="3"/>
      <c r="E469" s="3"/>
      <c r="F469" s="3"/>
      <c r="G469" s="3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"/>
      <c r="AM469" s="3"/>
      <c r="AN469" s="3"/>
      <c r="AO469" s="3"/>
      <c r="AP469" s="3"/>
    </row>
    <row r="470" spans="1:42" ht="12.75" x14ac:dyDescent="0.2">
      <c r="A470" s="3"/>
      <c r="B470" s="3"/>
      <c r="C470" s="3"/>
      <c r="D470" s="3"/>
      <c r="E470" s="3"/>
      <c r="F470" s="3"/>
      <c r="G470" s="3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"/>
      <c r="AM470" s="3"/>
      <c r="AN470" s="3"/>
      <c r="AO470" s="3"/>
      <c r="AP470" s="3"/>
    </row>
    <row r="471" spans="1:42" ht="12.75" x14ac:dyDescent="0.2">
      <c r="A471" s="3"/>
      <c r="B471" s="3"/>
      <c r="C471" s="3"/>
      <c r="D471" s="3"/>
      <c r="E471" s="3"/>
      <c r="F471" s="3"/>
      <c r="G471" s="3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"/>
      <c r="AM471" s="3"/>
      <c r="AN471" s="3"/>
      <c r="AO471" s="3"/>
      <c r="AP471" s="3"/>
    </row>
    <row r="472" spans="1:42" ht="12.75" x14ac:dyDescent="0.2">
      <c r="A472" s="3"/>
      <c r="B472" s="3"/>
      <c r="C472" s="3"/>
      <c r="D472" s="3"/>
      <c r="E472" s="3"/>
      <c r="F472" s="3"/>
      <c r="G472" s="3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"/>
      <c r="AM472" s="3"/>
      <c r="AN472" s="3"/>
      <c r="AO472" s="3"/>
      <c r="AP472" s="3"/>
    </row>
    <row r="473" spans="1:42" ht="12.75" x14ac:dyDescent="0.2">
      <c r="A473" s="3"/>
      <c r="B473" s="3"/>
      <c r="C473" s="3"/>
      <c r="D473" s="3"/>
      <c r="E473" s="3"/>
      <c r="F473" s="3"/>
      <c r="G473" s="3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"/>
      <c r="AM473" s="3"/>
      <c r="AN473" s="3"/>
      <c r="AO473" s="3"/>
      <c r="AP473" s="3"/>
    </row>
    <row r="474" spans="1:42" ht="12.75" x14ac:dyDescent="0.2">
      <c r="A474" s="3"/>
      <c r="B474" s="3"/>
      <c r="C474" s="3"/>
      <c r="D474" s="3"/>
      <c r="E474" s="3"/>
      <c r="F474" s="3"/>
      <c r="G474" s="3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"/>
      <c r="AM474" s="3"/>
      <c r="AN474" s="3"/>
      <c r="AO474" s="3"/>
      <c r="AP474" s="3"/>
    </row>
    <row r="475" spans="1:42" ht="12.75" x14ac:dyDescent="0.2">
      <c r="A475" s="3"/>
      <c r="B475" s="3"/>
      <c r="C475" s="3"/>
      <c r="D475" s="3"/>
      <c r="E475" s="3"/>
      <c r="F475" s="3"/>
      <c r="G475" s="3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"/>
      <c r="AM475" s="3"/>
      <c r="AN475" s="3"/>
      <c r="AO475" s="3"/>
      <c r="AP475" s="3"/>
    </row>
    <row r="476" spans="1:42" ht="12.75" x14ac:dyDescent="0.2">
      <c r="A476" s="3"/>
      <c r="B476" s="3"/>
      <c r="C476" s="3"/>
      <c r="D476" s="3"/>
      <c r="E476" s="3"/>
      <c r="F476" s="3"/>
      <c r="G476" s="3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"/>
      <c r="AM476" s="3"/>
      <c r="AN476" s="3"/>
      <c r="AO476" s="3"/>
      <c r="AP476" s="3"/>
    </row>
    <row r="477" spans="1:42" ht="12.75" x14ac:dyDescent="0.2">
      <c r="A477" s="3"/>
      <c r="B477" s="3"/>
      <c r="C477" s="3"/>
      <c r="D477" s="3"/>
      <c r="E477" s="3"/>
      <c r="F477" s="3"/>
      <c r="G477" s="3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"/>
      <c r="AM477" s="3"/>
      <c r="AN477" s="3"/>
      <c r="AO477" s="3"/>
      <c r="AP477" s="3"/>
    </row>
    <row r="478" spans="1:42" ht="12.75" x14ac:dyDescent="0.2">
      <c r="A478" s="3"/>
      <c r="B478" s="3"/>
      <c r="C478" s="3"/>
      <c r="D478" s="3"/>
      <c r="E478" s="3"/>
      <c r="F478" s="3"/>
      <c r="G478" s="3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"/>
      <c r="AM478" s="3"/>
      <c r="AN478" s="3"/>
      <c r="AO478" s="3"/>
      <c r="AP478" s="3"/>
    </row>
    <row r="479" spans="1:42" ht="12.75" x14ac:dyDescent="0.2">
      <c r="A479" s="3"/>
      <c r="B479" s="3"/>
      <c r="C479" s="3"/>
      <c r="D479" s="3"/>
      <c r="E479" s="3"/>
      <c r="F479" s="3"/>
      <c r="G479" s="3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"/>
      <c r="AM479" s="3"/>
      <c r="AN479" s="3"/>
      <c r="AO479" s="3"/>
      <c r="AP479" s="3"/>
    </row>
    <row r="480" spans="1:42" ht="12.75" x14ac:dyDescent="0.2">
      <c r="A480" s="3"/>
      <c r="B480" s="3"/>
      <c r="C480" s="3"/>
      <c r="D480" s="3"/>
      <c r="E480" s="3"/>
      <c r="F480" s="3"/>
      <c r="G480" s="3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"/>
      <c r="AM480" s="3"/>
      <c r="AN480" s="3"/>
      <c r="AO480" s="3"/>
      <c r="AP480" s="3"/>
    </row>
    <row r="481" spans="1:42" ht="12.75" x14ac:dyDescent="0.2">
      <c r="A481" s="3"/>
      <c r="B481" s="3"/>
      <c r="C481" s="3"/>
      <c r="D481" s="3"/>
      <c r="E481" s="3"/>
      <c r="F481" s="3"/>
      <c r="G481" s="3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"/>
      <c r="AM481" s="3"/>
      <c r="AN481" s="3"/>
      <c r="AO481" s="3"/>
      <c r="AP481" s="3"/>
    </row>
    <row r="482" spans="1:42" ht="12.75" x14ac:dyDescent="0.2">
      <c r="A482" s="3"/>
      <c r="B482" s="3"/>
      <c r="C482" s="3"/>
      <c r="D482" s="3"/>
      <c r="E482" s="3"/>
      <c r="F482" s="3"/>
      <c r="G482" s="3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"/>
      <c r="AM482" s="3"/>
      <c r="AN482" s="3"/>
      <c r="AO482" s="3"/>
      <c r="AP482" s="3"/>
    </row>
    <row r="483" spans="1:42" ht="12.75" x14ac:dyDescent="0.2">
      <c r="A483" s="3"/>
      <c r="B483" s="3"/>
      <c r="C483" s="3"/>
      <c r="D483" s="3"/>
      <c r="E483" s="3"/>
      <c r="F483" s="3"/>
      <c r="G483" s="3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"/>
      <c r="AM483" s="3"/>
      <c r="AN483" s="3"/>
      <c r="AO483" s="3"/>
      <c r="AP483" s="3"/>
    </row>
    <row r="484" spans="1:42" ht="12.75" x14ac:dyDescent="0.2">
      <c r="A484" s="3"/>
      <c r="B484" s="3"/>
      <c r="C484" s="3"/>
      <c r="D484" s="3"/>
      <c r="E484" s="3"/>
      <c r="F484" s="3"/>
      <c r="G484" s="3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"/>
      <c r="AM484" s="3"/>
      <c r="AN484" s="3"/>
      <c r="AO484" s="3"/>
      <c r="AP484" s="3"/>
    </row>
    <row r="485" spans="1:42" ht="12.75" x14ac:dyDescent="0.2">
      <c r="A485" s="3"/>
      <c r="B485" s="3"/>
      <c r="C485" s="3"/>
      <c r="D485" s="3"/>
      <c r="E485" s="3"/>
      <c r="F485" s="3"/>
      <c r="G485" s="3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"/>
      <c r="AM485" s="3"/>
      <c r="AN485" s="3"/>
      <c r="AO485" s="3"/>
      <c r="AP485" s="3"/>
    </row>
    <row r="486" spans="1:42" ht="12.75" x14ac:dyDescent="0.2">
      <c r="A486" s="3"/>
      <c r="B486" s="3"/>
      <c r="C486" s="3"/>
      <c r="D486" s="3"/>
      <c r="E486" s="3"/>
      <c r="F486" s="3"/>
      <c r="G486" s="3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"/>
      <c r="AM486" s="3"/>
      <c r="AN486" s="3"/>
      <c r="AO486" s="3"/>
      <c r="AP486" s="3"/>
    </row>
    <row r="487" spans="1:42" ht="12.75" x14ac:dyDescent="0.2">
      <c r="A487" s="3"/>
      <c r="B487" s="3"/>
      <c r="C487" s="3"/>
      <c r="D487" s="3"/>
      <c r="E487" s="3"/>
      <c r="F487" s="3"/>
      <c r="G487" s="3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"/>
      <c r="AM487" s="3"/>
      <c r="AN487" s="3"/>
      <c r="AO487" s="3"/>
      <c r="AP487" s="3"/>
    </row>
    <row r="488" spans="1:42" ht="12.75" x14ac:dyDescent="0.2">
      <c r="A488" s="3"/>
      <c r="B488" s="3"/>
      <c r="C488" s="3"/>
      <c r="D488" s="3"/>
      <c r="E488" s="3"/>
      <c r="F488" s="3"/>
      <c r="G488" s="3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"/>
      <c r="AM488" s="3"/>
      <c r="AN488" s="3"/>
      <c r="AO488" s="3"/>
      <c r="AP488" s="3"/>
    </row>
    <row r="489" spans="1:42" ht="12.75" x14ac:dyDescent="0.2">
      <c r="A489" s="3"/>
      <c r="B489" s="3"/>
      <c r="C489" s="3"/>
      <c r="D489" s="3"/>
      <c r="E489" s="3"/>
      <c r="F489" s="3"/>
      <c r="G489" s="3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"/>
      <c r="AM489" s="3"/>
      <c r="AN489" s="3"/>
      <c r="AO489" s="3"/>
      <c r="AP489" s="3"/>
    </row>
    <row r="490" spans="1:42" ht="12.75" x14ac:dyDescent="0.2">
      <c r="A490" s="3"/>
      <c r="B490" s="3"/>
      <c r="C490" s="3"/>
      <c r="D490" s="3"/>
      <c r="E490" s="3"/>
      <c r="F490" s="3"/>
      <c r="G490" s="3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"/>
      <c r="AM490" s="3"/>
      <c r="AN490" s="3"/>
      <c r="AO490" s="3"/>
      <c r="AP490" s="3"/>
    </row>
    <row r="491" spans="1:42" ht="12.75" x14ac:dyDescent="0.2">
      <c r="A491" s="3"/>
      <c r="B491" s="3"/>
      <c r="C491" s="3"/>
      <c r="D491" s="3"/>
      <c r="E491" s="3"/>
      <c r="F491" s="3"/>
      <c r="G491" s="3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"/>
      <c r="AM491" s="3"/>
      <c r="AN491" s="3"/>
      <c r="AO491" s="3"/>
      <c r="AP491" s="3"/>
    </row>
    <row r="492" spans="1:42" ht="12.75" x14ac:dyDescent="0.2">
      <c r="A492" s="3"/>
      <c r="B492" s="3"/>
      <c r="C492" s="3"/>
      <c r="D492" s="3"/>
      <c r="E492" s="3"/>
      <c r="F492" s="3"/>
      <c r="G492" s="3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"/>
      <c r="AM492" s="3"/>
      <c r="AN492" s="3"/>
      <c r="AO492" s="3"/>
      <c r="AP492" s="3"/>
    </row>
    <row r="493" spans="1:42" ht="12.75" x14ac:dyDescent="0.2">
      <c r="A493" s="3"/>
      <c r="B493" s="3"/>
      <c r="C493" s="3"/>
      <c r="D493" s="3"/>
      <c r="E493" s="3"/>
      <c r="F493" s="3"/>
      <c r="G493" s="3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"/>
      <c r="AM493" s="3"/>
      <c r="AN493" s="3"/>
      <c r="AO493" s="3"/>
      <c r="AP493" s="3"/>
    </row>
    <row r="494" spans="1:42" ht="12.75" x14ac:dyDescent="0.2">
      <c r="A494" s="3"/>
      <c r="B494" s="3"/>
      <c r="C494" s="3"/>
      <c r="D494" s="3"/>
      <c r="E494" s="3"/>
      <c r="F494" s="3"/>
      <c r="G494" s="3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"/>
      <c r="AM494" s="3"/>
      <c r="AN494" s="3"/>
      <c r="AO494" s="3"/>
      <c r="AP494" s="3"/>
    </row>
    <row r="495" spans="1:42" ht="12.75" x14ac:dyDescent="0.2">
      <c r="A495" s="3"/>
      <c r="B495" s="3"/>
      <c r="C495" s="3"/>
      <c r="D495" s="3"/>
      <c r="E495" s="3"/>
      <c r="F495" s="3"/>
      <c r="G495" s="3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"/>
      <c r="AM495" s="3"/>
      <c r="AN495" s="3"/>
      <c r="AO495" s="3"/>
      <c r="AP495" s="3"/>
    </row>
    <row r="496" spans="1:42" ht="12.75" x14ac:dyDescent="0.2">
      <c r="A496" s="3"/>
      <c r="B496" s="3"/>
      <c r="C496" s="3"/>
      <c r="D496" s="3"/>
      <c r="E496" s="3"/>
      <c r="F496" s="3"/>
      <c r="G496" s="3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"/>
      <c r="AM496" s="3"/>
      <c r="AN496" s="3"/>
      <c r="AO496" s="3"/>
      <c r="AP496" s="3"/>
    </row>
    <row r="497" spans="1:42" ht="12.75" x14ac:dyDescent="0.2">
      <c r="A497" s="3"/>
      <c r="B497" s="3"/>
      <c r="C497" s="3"/>
      <c r="D497" s="3"/>
      <c r="E497" s="3"/>
      <c r="F497" s="3"/>
      <c r="G497" s="3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"/>
      <c r="AM497" s="3"/>
      <c r="AN497" s="3"/>
      <c r="AO497" s="3"/>
      <c r="AP497" s="3"/>
    </row>
    <row r="498" spans="1:42" ht="12.75" x14ac:dyDescent="0.2">
      <c r="A498" s="3"/>
      <c r="B498" s="3"/>
      <c r="C498" s="3"/>
      <c r="D498" s="3"/>
      <c r="E498" s="3"/>
      <c r="F498" s="3"/>
      <c r="G498" s="3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"/>
      <c r="AM498" s="3"/>
      <c r="AN498" s="3"/>
      <c r="AO498" s="3"/>
      <c r="AP498" s="3"/>
    </row>
    <row r="499" spans="1:42" ht="12.75" x14ac:dyDescent="0.2">
      <c r="A499" s="3"/>
      <c r="B499" s="3"/>
      <c r="C499" s="3"/>
      <c r="D499" s="3"/>
      <c r="E499" s="3"/>
      <c r="F499" s="3"/>
      <c r="G499" s="3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"/>
      <c r="AM499" s="3"/>
      <c r="AN499" s="3"/>
      <c r="AO499" s="3"/>
      <c r="AP499" s="3"/>
    </row>
    <row r="500" spans="1:42" ht="12.75" x14ac:dyDescent="0.2">
      <c r="A500" s="3"/>
      <c r="B500" s="3"/>
      <c r="C500" s="3"/>
      <c r="D500" s="3"/>
      <c r="E500" s="3"/>
      <c r="F500" s="3"/>
      <c r="G500" s="3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"/>
      <c r="AM500" s="3"/>
      <c r="AN500" s="3"/>
      <c r="AO500" s="3"/>
      <c r="AP500" s="3"/>
    </row>
    <row r="501" spans="1:42" ht="12.75" x14ac:dyDescent="0.2">
      <c r="A501" s="3"/>
      <c r="B501" s="3"/>
      <c r="C501" s="3"/>
      <c r="D501" s="3"/>
      <c r="E501" s="3"/>
      <c r="F501" s="3"/>
      <c r="G501" s="3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"/>
      <c r="AM501" s="3"/>
      <c r="AN501" s="3"/>
      <c r="AO501" s="3"/>
      <c r="AP501" s="3"/>
    </row>
    <row r="502" spans="1:42" ht="12.75" x14ac:dyDescent="0.2">
      <c r="A502" s="3"/>
      <c r="B502" s="3"/>
      <c r="C502" s="3"/>
      <c r="D502" s="3"/>
      <c r="E502" s="3"/>
      <c r="F502" s="3"/>
      <c r="G502" s="3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"/>
      <c r="AM502" s="3"/>
      <c r="AN502" s="3"/>
      <c r="AO502" s="3"/>
      <c r="AP502" s="3"/>
    </row>
    <row r="503" spans="1:42" ht="12.75" x14ac:dyDescent="0.2">
      <c r="A503" s="3"/>
      <c r="B503" s="3"/>
      <c r="C503" s="3"/>
      <c r="D503" s="3"/>
      <c r="E503" s="3"/>
      <c r="F503" s="3"/>
      <c r="G503" s="3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"/>
      <c r="AM503" s="3"/>
      <c r="AN503" s="3"/>
      <c r="AO503" s="3"/>
      <c r="AP503" s="3"/>
    </row>
    <row r="504" spans="1:42" ht="12.75" x14ac:dyDescent="0.2">
      <c r="A504" s="3"/>
      <c r="B504" s="3"/>
      <c r="C504" s="3"/>
      <c r="D504" s="3"/>
      <c r="E504" s="3"/>
      <c r="F504" s="3"/>
      <c r="G504" s="3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"/>
      <c r="AM504" s="3"/>
      <c r="AN504" s="3"/>
      <c r="AO504" s="3"/>
      <c r="AP504" s="3"/>
    </row>
    <row r="505" spans="1:42" ht="12.75" x14ac:dyDescent="0.2">
      <c r="A505" s="3"/>
      <c r="B505" s="3"/>
      <c r="C505" s="3"/>
      <c r="D505" s="3"/>
      <c r="E505" s="3"/>
      <c r="F505" s="3"/>
      <c r="G505" s="3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"/>
      <c r="AM505" s="3"/>
      <c r="AN505" s="3"/>
      <c r="AO505" s="3"/>
      <c r="AP505" s="3"/>
    </row>
    <row r="506" spans="1:42" ht="12.75" x14ac:dyDescent="0.2">
      <c r="A506" s="3"/>
      <c r="B506" s="3"/>
      <c r="C506" s="3"/>
      <c r="D506" s="3"/>
      <c r="E506" s="3"/>
      <c r="F506" s="3"/>
      <c r="G506" s="3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"/>
      <c r="AM506" s="3"/>
      <c r="AN506" s="3"/>
      <c r="AO506" s="3"/>
      <c r="AP506" s="3"/>
    </row>
    <row r="507" spans="1:42" ht="12.75" x14ac:dyDescent="0.2">
      <c r="A507" s="3"/>
      <c r="B507" s="3"/>
      <c r="C507" s="3"/>
      <c r="D507" s="3"/>
      <c r="E507" s="3"/>
      <c r="F507" s="3"/>
      <c r="G507" s="3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"/>
      <c r="AM507" s="3"/>
      <c r="AN507" s="3"/>
      <c r="AO507" s="3"/>
      <c r="AP507" s="3"/>
    </row>
    <row r="508" spans="1:42" ht="12.75" x14ac:dyDescent="0.2">
      <c r="A508" s="3"/>
      <c r="B508" s="3"/>
      <c r="C508" s="3"/>
      <c r="D508" s="3"/>
      <c r="E508" s="3"/>
      <c r="F508" s="3"/>
      <c r="G508" s="3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"/>
      <c r="AM508" s="3"/>
      <c r="AN508" s="3"/>
      <c r="AO508" s="3"/>
      <c r="AP508" s="3"/>
    </row>
    <row r="509" spans="1:42" ht="12.75" x14ac:dyDescent="0.2">
      <c r="A509" s="3"/>
      <c r="B509" s="3"/>
      <c r="C509" s="3"/>
      <c r="D509" s="3"/>
      <c r="E509" s="3"/>
      <c r="F509" s="3"/>
      <c r="G509" s="3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"/>
      <c r="AM509" s="3"/>
      <c r="AN509" s="3"/>
      <c r="AO509" s="3"/>
      <c r="AP509" s="3"/>
    </row>
    <row r="510" spans="1:42" ht="12.75" x14ac:dyDescent="0.2">
      <c r="A510" s="3"/>
      <c r="B510" s="3"/>
      <c r="C510" s="3"/>
      <c r="D510" s="3"/>
      <c r="E510" s="3"/>
      <c r="F510" s="3"/>
      <c r="G510" s="3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"/>
      <c r="AM510" s="3"/>
      <c r="AN510" s="3"/>
      <c r="AO510" s="3"/>
      <c r="AP510" s="3"/>
    </row>
    <row r="511" spans="1:42" ht="12.75" x14ac:dyDescent="0.2">
      <c r="A511" s="3"/>
      <c r="B511" s="3"/>
      <c r="C511" s="3"/>
      <c r="D511" s="3"/>
      <c r="E511" s="3"/>
      <c r="F511" s="3"/>
      <c r="G511" s="3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"/>
      <c r="AM511" s="3"/>
      <c r="AN511" s="3"/>
      <c r="AO511" s="3"/>
      <c r="AP511" s="3"/>
    </row>
    <row r="512" spans="1:42" ht="12.75" x14ac:dyDescent="0.2">
      <c r="A512" s="3"/>
      <c r="B512" s="3"/>
      <c r="C512" s="3"/>
      <c r="D512" s="3"/>
      <c r="E512" s="3"/>
      <c r="F512" s="3"/>
      <c r="G512" s="3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"/>
      <c r="AM512" s="3"/>
      <c r="AN512" s="3"/>
      <c r="AO512" s="3"/>
      <c r="AP512" s="3"/>
    </row>
    <row r="513" spans="1:42" ht="12.75" x14ac:dyDescent="0.2">
      <c r="A513" s="3"/>
      <c r="B513" s="3"/>
      <c r="C513" s="3"/>
      <c r="D513" s="3"/>
      <c r="E513" s="3"/>
      <c r="F513" s="3"/>
      <c r="G513" s="3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"/>
      <c r="AM513" s="3"/>
      <c r="AN513" s="3"/>
      <c r="AO513" s="3"/>
      <c r="AP513" s="3"/>
    </row>
    <row r="514" spans="1:42" ht="12.75" x14ac:dyDescent="0.2">
      <c r="A514" s="3"/>
      <c r="B514" s="3"/>
      <c r="C514" s="3"/>
      <c r="D514" s="3"/>
      <c r="E514" s="3"/>
      <c r="F514" s="3"/>
      <c r="G514" s="3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"/>
      <c r="AM514" s="3"/>
      <c r="AN514" s="3"/>
      <c r="AO514" s="3"/>
      <c r="AP514" s="3"/>
    </row>
    <row r="515" spans="1:42" ht="12.75" x14ac:dyDescent="0.2">
      <c r="A515" s="3"/>
      <c r="B515" s="3"/>
      <c r="C515" s="3"/>
      <c r="D515" s="3"/>
      <c r="E515" s="3"/>
      <c r="F515" s="3"/>
      <c r="G515" s="3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"/>
      <c r="AM515" s="3"/>
      <c r="AN515" s="3"/>
      <c r="AO515" s="3"/>
      <c r="AP515" s="3"/>
    </row>
    <row r="516" spans="1:42" ht="12.75" x14ac:dyDescent="0.2">
      <c r="A516" s="3"/>
      <c r="B516" s="3"/>
      <c r="C516" s="3"/>
      <c r="D516" s="3"/>
      <c r="E516" s="3"/>
      <c r="F516" s="3"/>
      <c r="G516" s="3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"/>
      <c r="AM516" s="3"/>
      <c r="AN516" s="3"/>
      <c r="AO516" s="3"/>
      <c r="AP516" s="3"/>
    </row>
    <row r="517" spans="1:42" ht="12.75" x14ac:dyDescent="0.2">
      <c r="A517" s="3"/>
      <c r="B517" s="3"/>
      <c r="C517" s="3"/>
      <c r="D517" s="3"/>
      <c r="E517" s="3"/>
      <c r="F517" s="3"/>
      <c r="G517" s="3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"/>
      <c r="AM517" s="3"/>
      <c r="AN517" s="3"/>
      <c r="AO517" s="3"/>
      <c r="AP517" s="3"/>
    </row>
    <row r="518" spans="1:42" ht="12.75" x14ac:dyDescent="0.2">
      <c r="A518" s="3"/>
      <c r="B518" s="3"/>
      <c r="C518" s="3"/>
      <c r="D518" s="3"/>
      <c r="E518" s="3"/>
      <c r="F518" s="3"/>
      <c r="G518" s="3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"/>
      <c r="AM518" s="3"/>
      <c r="AN518" s="3"/>
      <c r="AO518" s="3"/>
      <c r="AP518" s="3"/>
    </row>
    <row r="519" spans="1:42" ht="12.75" x14ac:dyDescent="0.2">
      <c r="A519" s="3"/>
      <c r="B519" s="3"/>
      <c r="C519" s="3"/>
      <c r="D519" s="3"/>
      <c r="E519" s="3"/>
      <c r="F519" s="3"/>
      <c r="G519" s="3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"/>
      <c r="AM519" s="3"/>
      <c r="AN519" s="3"/>
      <c r="AO519" s="3"/>
      <c r="AP519" s="3"/>
    </row>
    <row r="520" spans="1:42" ht="12.75" x14ac:dyDescent="0.2">
      <c r="A520" s="3"/>
      <c r="B520" s="3"/>
      <c r="C520" s="3"/>
      <c r="D520" s="3"/>
      <c r="E520" s="3"/>
      <c r="F520" s="3"/>
      <c r="G520" s="3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"/>
      <c r="AM520" s="3"/>
      <c r="AN520" s="3"/>
      <c r="AO520" s="3"/>
      <c r="AP520" s="3"/>
    </row>
    <row r="521" spans="1:42" ht="12.75" x14ac:dyDescent="0.2">
      <c r="A521" s="3"/>
      <c r="B521" s="3"/>
      <c r="C521" s="3"/>
      <c r="D521" s="3"/>
      <c r="E521" s="3"/>
      <c r="F521" s="3"/>
      <c r="G521" s="3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"/>
      <c r="AM521" s="3"/>
      <c r="AN521" s="3"/>
      <c r="AO521" s="3"/>
      <c r="AP521" s="3"/>
    </row>
    <row r="522" spans="1:42" ht="12.75" x14ac:dyDescent="0.2">
      <c r="A522" s="3"/>
      <c r="B522" s="3"/>
      <c r="C522" s="3"/>
      <c r="D522" s="3"/>
      <c r="E522" s="3"/>
      <c r="F522" s="3"/>
      <c r="G522" s="3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"/>
      <c r="AM522" s="3"/>
      <c r="AN522" s="3"/>
      <c r="AO522" s="3"/>
      <c r="AP522" s="3"/>
    </row>
    <row r="523" spans="1:42" ht="12.75" x14ac:dyDescent="0.2">
      <c r="A523" s="3"/>
      <c r="B523" s="3"/>
      <c r="C523" s="3"/>
      <c r="D523" s="3"/>
      <c r="E523" s="3"/>
      <c r="F523" s="3"/>
      <c r="G523" s="3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"/>
      <c r="AM523" s="3"/>
      <c r="AN523" s="3"/>
      <c r="AO523" s="3"/>
      <c r="AP523" s="3"/>
    </row>
    <row r="524" spans="1:42" ht="12.75" x14ac:dyDescent="0.2">
      <c r="A524" s="3"/>
      <c r="B524" s="3"/>
      <c r="C524" s="3"/>
      <c r="D524" s="3"/>
      <c r="E524" s="3"/>
      <c r="F524" s="3"/>
      <c r="G524" s="3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"/>
      <c r="AM524" s="3"/>
      <c r="AN524" s="3"/>
      <c r="AO524" s="3"/>
      <c r="AP524" s="3"/>
    </row>
    <row r="525" spans="1:42" ht="12.75" x14ac:dyDescent="0.2">
      <c r="A525" s="3"/>
      <c r="B525" s="3"/>
      <c r="C525" s="3"/>
      <c r="D525" s="3"/>
      <c r="E525" s="3"/>
      <c r="F525" s="3"/>
      <c r="G525" s="3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"/>
      <c r="AM525" s="3"/>
      <c r="AN525" s="3"/>
      <c r="AO525" s="3"/>
      <c r="AP525" s="3"/>
    </row>
    <row r="526" spans="1:42" ht="12.75" x14ac:dyDescent="0.2">
      <c r="A526" s="3"/>
      <c r="B526" s="3"/>
      <c r="C526" s="3"/>
      <c r="D526" s="3"/>
      <c r="E526" s="3"/>
      <c r="F526" s="3"/>
      <c r="G526" s="3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"/>
      <c r="AM526" s="3"/>
      <c r="AN526" s="3"/>
      <c r="AO526" s="3"/>
      <c r="AP526" s="3"/>
    </row>
    <row r="527" spans="1:42" ht="12.75" x14ac:dyDescent="0.2">
      <c r="A527" s="3"/>
      <c r="B527" s="3"/>
      <c r="C527" s="3"/>
      <c r="D527" s="3"/>
      <c r="E527" s="3"/>
      <c r="F527" s="3"/>
      <c r="G527" s="3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"/>
      <c r="AM527" s="3"/>
      <c r="AN527" s="3"/>
      <c r="AO527" s="3"/>
      <c r="AP527" s="3"/>
    </row>
    <row r="528" spans="1:42" ht="12.75" x14ac:dyDescent="0.2">
      <c r="A528" s="3"/>
      <c r="B528" s="3"/>
      <c r="C528" s="3"/>
      <c r="D528" s="3"/>
      <c r="E528" s="3"/>
      <c r="F528" s="3"/>
      <c r="G528" s="3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"/>
      <c r="AM528" s="3"/>
      <c r="AN528" s="3"/>
      <c r="AO528" s="3"/>
      <c r="AP528" s="3"/>
    </row>
    <row r="529" spans="1:42" ht="12.75" x14ac:dyDescent="0.2">
      <c r="A529" s="3"/>
      <c r="B529" s="3"/>
      <c r="C529" s="3"/>
      <c r="D529" s="3"/>
      <c r="E529" s="3"/>
      <c r="F529" s="3"/>
      <c r="G529" s="3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"/>
      <c r="AM529" s="3"/>
      <c r="AN529" s="3"/>
      <c r="AO529" s="3"/>
      <c r="AP529" s="3"/>
    </row>
    <row r="530" spans="1:42" ht="12.75" x14ac:dyDescent="0.2">
      <c r="A530" s="3"/>
      <c r="B530" s="3"/>
      <c r="C530" s="3"/>
      <c r="D530" s="3"/>
      <c r="E530" s="3"/>
      <c r="F530" s="3"/>
      <c r="G530" s="3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"/>
      <c r="AM530" s="3"/>
      <c r="AN530" s="3"/>
      <c r="AO530" s="3"/>
      <c r="AP530" s="3"/>
    </row>
    <row r="531" spans="1:42" ht="12.75" x14ac:dyDescent="0.2">
      <c r="A531" s="3"/>
      <c r="B531" s="3"/>
      <c r="C531" s="3"/>
      <c r="D531" s="3"/>
      <c r="E531" s="3"/>
      <c r="F531" s="3"/>
      <c r="G531" s="3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"/>
      <c r="AM531" s="3"/>
      <c r="AN531" s="3"/>
      <c r="AO531" s="3"/>
      <c r="AP531" s="3"/>
    </row>
    <row r="532" spans="1:42" ht="12.75" x14ac:dyDescent="0.2">
      <c r="A532" s="3"/>
      <c r="B532" s="3"/>
      <c r="C532" s="3"/>
      <c r="D532" s="3"/>
      <c r="E532" s="3"/>
      <c r="F532" s="3"/>
      <c r="G532" s="3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"/>
      <c r="AM532" s="3"/>
      <c r="AN532" s="3"/>
      <c r="AO532" s="3"/>
      <c r="AP532" s="3"/>
    </row>
    <row r="533" spans="1:42" ht="12.75" x14ac:dyDescent="0.2">
      <c r="A533" s="3"/>
      <c r="B533" s="3"/>
      <c r="C533" s="3"/>
      <c r="D533" s="3"/>
      <c r="E533" s="3"/>
      <c r="F533" s="3"/>
      <c r="G533" s="3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"/>
      <c r="AM533" s="3"/>
      <c r="AN533" s="3"/>
      <c r="AO533" s="3"/>
      <c r="AP533" s="3"/>
    </row>
    <row r="534" spans="1:42" ht="12.75" x14ac:dyDescent="0.2">
      <c r="A534" s="3"/>
      <c r="B534" s="3"/>
      <c r="C534" s="3"/>
      <c r="D534" s="3"/>
      <c r="E534" s="3"/>
      <c r="F534" s="3"/>
      <c r="G534" s="3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"/>
      <c r="AM534" s="3"/>
      <c r="AN534" s="3"/>
      <c r="AO534" s="3"/>
      <c r="AP534" s="3"/>
    </row>
    <row r="535" spans="1:42" ht="12.75" x14ac:dyDescent="0.2">
      <c r="A535" s="3"/>
      <c r="B535" s="3"/>
      <c r="C535" s="3"/>
      <c r="D535" s="3"/>
      <c r="E535" s="3"/>
      <c r="F535" s="3"/>
      <c r="G535" s="3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"/>
      <c r="AM535" s="3"/>
      <c r="AN535" s="3"/>
      <c r="AO535" s="3"/>
      <c r="AP535" s="3"/>
    </row>
    <row r="536" spans="1:42" ht="12.75" x14ac:dyDescent="0.2">
      <c r="A536" s="3"/>
      <c r="B536" s="3"/>
      <c r="C536" s="3"/>
      <c r="D536" s="3"/>
      <c r="E536" s="3"/>
      <c r="F536" s="3"/>
      <c r="G536" s="3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"/>
      <c r="AM536" s="3"/>
      <c r="AN536" s="3"/>
      <c r="AO536" s="3"/>
      <c r="AP536" s="3"/>
    </row>
    <row r="537" spans="1:42" ht="12.75" x14ac:dyDescent="0.2">
      <c r="A537" s="3"/>
      <c r="B537" s="3"/>
      <c r="C537" s="3"/>
      <c r="D537" s="3"/>
      <c r="E537" s="3"/>
      <c r="F537" s="3"/>
      <c r="G537" s="3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"/>
      <c r="AM537" s="3"/>
      <c r="AN537" s="3"/>
      <c r="AO537" s="3"/>
      <c r="AP537" s="3"/>
    </row>
    <row r="538" spans="1:42" ht="12.75" x14ac:dyDescent="0.2">
      <c r="A538" s="3"/>
      <c r="B538" s="3"/>
      <c r="C538" s="3"/>
      <c r="D538" s="3"/>
      <c r="E538" s="3"/>
      <c r="F538" s="3"/>
      <c r="G538" s="3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"/>
      <c r="AM538" s="3"/>
      <c r="AN538" s="3"/>
      <c r="AO538" s="3"/>
      <c r="AP538" s="3"/>
    </row>
    <row r="539" spans="1:42" ht="12.75" x14ac:dyDescent="0.2">
      <c r="A539" s="3"/>
      <c r="B539" s="3"/>
      <c r="C539" s="3"/>
      <c r="D539" s="3"/>
      <c r="E539" s="3"/>
      <c r="F539" s="3"/>
      <c r="G539" s="3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"/>
      <c r="AM539" s="3"/>
      <c r="AN539" s="3"/>
      <c r="AO539" s="3"/>
      <c r="AP539" s="3"/>
    </row>
    <row r="540" spans="1:42" ht="12.75" x14ac:dyDescent="0.2">
      <c r="A540" s="3"/>
      <c r="B540" s="3"/>
      <c r="C540" s="3"/>
      <c r="D540" s="3"/>
      <c r="E540" s="3"/>
      <c r="F540" s="3"/>
      <c r="G540" s="3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"/>
      <c r="AM540" s="3"/>
      <c r="AN540" s="3"/>
      <c r="AO540" s="3"/>
      <c r="AP540" s="3"/>
    </row>
    <row r="541" spans="1:42" ht="12.75" x14ac:dyDescent="0.2">
      <c r="A541" s="3"/>
      <c r="B541" s="3"/>
      <c r="C541" s="3"/>
      <c r="D541" s="3"/>
      <c r="E541" s="3"/>
      <c r="F541" s="3"/>
      <c r="G541" s="3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"/>
      <c r="AM541" s="3"/>
      <c r="AN541" s="3"/>
      <c r="AO541" s="3"/>
      <c r="AP541" s="3"/>
    </row>
    <row r="542" spans="1:42" ht="12.75" x14ac:dyDescent="0.2">
      <c r="A542" s="3"/>
      <c r="B542" s="3"/>
      <c r="C542" s="3"/>
      <c r="D542" s="3"/>
      <c r="E542" s="3"/>
      <c r="F542" s="3"/>
      <c r="G542" s="3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"/>
      <c r="AM542" s="3"/>
      <c r="AN542" s="3"/>
      <c r="AO542" s="3"/>
      <c r="AP542" s="3"/>
    </row>
    <row r="543" spans="1:42" ht="12.75" x14ac:dyDescent="0.2">
      <c r="A543" s="3"/>
      <c r="B543" s="3"/>
      <c r="C543" s="3"/>
      <c r="D543" s="3"/>
      <c r="E543" s="3"/>
      <c r="F543" s="3"/>
      <c r="G543" s="3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"/>
      <c r="AM543" s="3"/>
      <c r="AN543" s="3"/>
      <c r="AO543" s="3"/>
      <c r="AP543" s="3"/>
    </row>
    <row r="544" spans="1:42" ht="12.75" x14ac:dyDescent="0.2">
      <c r="A544" s="3"/>
      <c r="B544" s="3"/>
      <c r="C544" s="3"/>
      <c r="D544" s="3"/>
      <c r="E544" s="3"/>
      <c r="F544" s="3"/>
      <c r="G544" s="3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"/>
      <c r="AM544" s="3"/>
      <c r="AN544" s="3"/>
      <c r="AO544" s="3"/>
      <c r="AP544" s="3"/>
    </row>
    <row r="545" spans="1:42" ht="12.75" x14ac:dyDescent="0.2">
      <c r="A545" s="3"/>
      <c r="B545" s="3"/>
      <c r="C545" s="3"/>
      <c r="D545" s="3"/>
      <c r="E545" s="3"/>
      <c r="F545" s="3"/>
      <c r="G545" s="3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"/>
      <c r="AM545" s="3"/>
      <c r="AN545" s="3"/>
      <c r="AO545" s="3"/>
      <c r="AP545" s="3"/>
    </row>
    <row r="546" spans="1:42" ht="12.75" x14ac:dyDescent="0.2">
      <c r="A546" s="3"/>
      <c r="B546" s="3"/>
      <c r="C546" s="3"/>
      <c r="D546" s="3"/>
      <c r="E546" s="3"/>
      <c r="F546" s="3"/>
      <c r="G546" s="3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"/>
      <c r="AM546" s="3"/>
      <c r="AN546" s="3"/>
      <c r="AO546" s="3"/>
      <c r="AP546" s="3"/>
    </row>
    <row r="547" spans="1:42" ht="12.75" x14ac:dyDescent="0.2">
      <c r="A547" s="3"/>
      <c r="B547" s="3"/>
      <c r="C547" s="3"/>
      <c r="D547" s="3"/>
      <c r="E547" s="3"/>
      <c r="F547" s="3"/>
      <c r="G547" s="3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"/>
      <c r="AM547" s="3"/>
      <c r="AN547" s="3"/>
      <c r="AO547" s="3"/>
      <c r="AP547" s="3"/>
    </row>
    <row r="548" spans="1:42" ht="12.75" x14ac:dyDescent="0.2">
      <c r="A548" s="3"/>
      <c r="B548" s="3"/>
      <c r="C548" s="3"/>
      <c r="D548" s="3"/>
      <c r="E548" s="3"/>
      <c r="F548" s="3"/>
      <c r="G548" s="3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"/>
      <c r="AM548" s="3"/>
      <c r="AN548" s="3"/>
      <c r="AO548" s="3"/>
      <c r="AP548" s="3"/>
    </row>
    <row r="549" spans="1:42" ht="12.75" x14ac:dyDescent="0.2">
      <c r="A549" s="3"/>
      <c r="B549" s="3"/>
      <c r="C549" s="3"/>
      <c r="D549" s="3"/>
      <c r="E549" s="3"/>
      <c r="F549" s="3"/>
      <c r="G549" s="3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"/>
      <c r="AM549" s="3"/>
      <c r="AN549" s="3"/>
      <c r="AO549" s="3"/>
      <c r="AP549" s="3"/>
    </row>
    <row r="550" spans="1:42" ht="12.75" x14ac:dyDescent="0.2">
      <c r="A550" s="3"/>
      <c r="B550" s="3"/>
      <c r="C550" s="3"/>
      <c r="D550" s="3"/>
      <c r="E550" s="3"/>
      <c r="F550" s="3"/>
      <c r="G550" s="3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"/>
      <c r="AM550" s="3"/>
      <c r="AN550" s="3"/>
      <c r="AO550" s="3"/>
      <c r="AP550" s="3"/>
    </row>
    <row r="551" spans="1:42" ht="12.75" x14ac:dyDescent="0.2">
      <c r="A551" s="3"/>
      <c r="B551" s="3"/>
      <c r="C551" s="3"/>
      <c r="D551" s="3"/>
      <c r="E551" s="3"/>
      <c r="F551" s="3"/>
      <c r="G551" s="3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"/>
      <c r="AM551" s="3"/>
      <c r="AN551" s="3"/>
      <c r="AO551" s="3"/>
      <c r="AP551" s="3"/>
    </row>
    <row r="552" spans="1:42" ht="12.75" x14ac:dyDescent="0.2">
      <c r="A552" s="3"/>
      <c r="B552" s="3"/>
      <c r="C552" s="3"/>
      <c r="D552" s="3"/>
      <c r="E552" s="3"/>
      <c r="F552" s="3"/>
      <c r="G552" s="3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"/>
      <c r="AM552" s="3"/>
      <c r="AN552" s="3"/>
      <c r="AO552" s="3"/>
      <c r="AP552" s="3"/>
    </row>
    <row r="553" spans="1:42" ht="12.75" x14ac:dyDescent="0.2">
      <c r="A553" s="3"/>
      <c r="B553" s="3"/>
      <c r="C553" s="3"/>
      <c r="D553" s="3"/>
      <c r="E553" s="3"/>
      <c r="F553" s="3"/>
      <c r="G553" s="3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"/>
      <c r="AM553" s="3"/>
      <c r="AN553" s="3"/>
      <c r="AO553" s="3"/>
      <c r="AP553" s="3"/>
    </row>
    <row r="554" spans="1:42" ht="12.75" x14ac:dyDescent="0.2">
      <c r="A554" s="3"/>
      <c r="B554" s="3"/>
      <c r="C554" s="3"/>
      <c r="D554" s="3"/>
      <c r="E554" s="3"/>
      <c r="F554" s="3"/>
      <c r="G554" s="3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"/>
      <c r="AM554" s="3"/>
      <c r="AN554" s="3"/>
      <c r="AO554" s="3"/>
      <c r="AP554" s="3"/>
    </row>
    <row r="555" spans="1:42" ht="12.75" x14ac:dyDescent="0.2">
      <c r="A555" s="3"/>
      <c r="B555" s="3"/>
      <c r="C555" s="3"/>
      <c r="D555" s="3"/>
      <c r="E555" s="3"/>
      <c r="F555" s="3"/>
      <c r="G555" s="3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"/>
      <c r="AM555" s="3"/>
      <c r="AN555" s="3"/>
      <c r="AO555" s="3"/>
      <c r="AP555" s="3"/>
    </row>
    <row r="556" spans="1:42" ht="12.75" x14ac:dyDescent="0.2">
      <c r="A556" s="3"/>
      <c r="B556" s="3"/>
      <c r="C556" s="3"/>
      <c r="D556" s="3"/>
      <c r="E556" s="3"/>
      <c r="F556" s="3"/>
      <c r="G556" s="3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"/>
      <c r="AM556" s="3"/>
      <c r="AN556" s="3"/>
      <c r="AO556" s="3"/>
      <c r="AP556" s="3"/>
    </row>
    <row r="557" spans="1:42" ht="12.75" x14ac:dyDescent="0.2">
      <c r="A557" s="3"/>
      <c r="B557" s="3"/>
      <c r="C557" s="3"/>
      <c r="D557" s="3"/>
      <c r="E557" s="3"/>
      <c r="F557" s="3"/>
      <c r="G557" s="3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"/>
      <c r="AM557" s="3"/>
      <c r="AN557" s="3"/>
      <c r="AO557" s="3"/>
      <c r="AP557" s="3"/>
    </row>
    <row r="558" spans="1:42" ht="12.75" x14ac:dyDescent="0.2">
      <c r="A558" s="3"/>
      <c r="B558" s="3"/>
      <c r="C558" s="3"/>
      <c r="D558" s="3"/>
      <c r="E558" s="3"/>
      <c r="F558" s="3"/>
      <c r="G558" s="3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"/>
      <c r="AM558" s="3"/>
      <c r="AN558" s="3"/>
      <c r="AO558" s="3"/>
      <c r="AP558" s="3"/>
    </row>
    <row r="559" spans="1:42" ht="12.75" x14ac:dyDescent="0.2">
      <c r="A559" s="3"/>
      <c r="B559" s="3"/>
      <c r="C559" s="3"/>
      <c r="D559" s="3"/>
      <c r="E559" s="3"/>
      <c r="F559" s="3"/>
      <c r="G559" s="3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"/>
      <c r="AM559" s="3"/>
      <c r="AN559" s="3"/>
      <c r="AO559" s="3"/>
      <c r="AP559" s="3"/>
    </row>
    <row r="560" spans="1:42" ht="12.75" x14ac:dyDescent="0.2">
      <c r="A560" s="3"/>
      <c r="B560" s="3"/>
      <c r="C560" s="3"/>
      <c r="D560" s="3"/>
      <c r="E560" s="3"/>
      <c r="F560" s="3"/>
      <c r="G560" s="3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"/>
      <c r="AM560" s="3"/>
      <c r="AN560" s="3"/>
      <c r="AO560" s="3"/>
      <c r="AP560" s="3"/>
    </row>
    <row r="561" spans="1:42" ht="12.75" x14ac:dyDescent="0.2">
      <c r="A561" s="3"/>
      <c r="B561" s="3"/>
      <c r="C561" s="3"/>
      <c r="D561" s="3"/>
      <c r="E561" s="3"/>
      <c r="F561" s="3"/>
      <c r="G561" s="3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"/>
      <c r="AM561" s="3"/>
      <c r="AN561" s="3"/>
      <c r="AO561" s="3"/>
      <c r="AP561" s="3"/>
    </row>
    <row r="562" spans="1:42" ht="12.75" x14ac:dyDescent="0.2">
      <c r="A562" s="3"/>
      <c r="B562" s="3"/>
      <c r="C562" s="3"/>
      <c r="D562" s="3"/>
      <c r="E562" s="3"/>
      <c r="F562" s="3"/>
      <c r="G562" s="3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"/>
      <c r="AM562" s="3"/>
      <c r="AN562" s="3"/>
      <c r="AO562" s="3"/>
      <c r="AP562" s="3"/>
    </row>
    <row r="563" spans="1:42" ht="12.75" x14ac:dyDescent="0.2">
      <c r="A563" s="3"/>
      <c r="B563" s="3"/>
      <c r="C563" s="3"/>
      <c r="D563" s="3"/>
      <c r="E563" s="3"/>
      <c r="F563" s="3"/>
      <c r="G563" s="3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"/>
      <c r="AM563" s="3"/>
      <c r="AN563" s="3"/>
      <c r="AO563" s="3"/>
      <c r="AP563" s="3"/>
    </row>
    <row r="564" spans="1:42" ht="12.75" x14ac:dyDescent="0.2">
      <c r="A564" s="3"/>
      <c r="B564" s="3"/>
      <c r="C564" s="3"/>
      <c r="D564" s="3"/>
      <c r="E564" s="3"/>
      <c r="F564" s="3"/>
      <c r="G564" s="3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"/>
      <c r="AM564" s="3"/>
      <c r="AN564" s="3"/>
      <c r="AO564" s="3"/>
      <c r="AP564" s="3"/>
    </row>
    <row r="565" spans="1:42" ht="12.75" x14ac:dyDescent="0.2">
      <c r="A565" s="3"/>
      <c r="B565" s="3"/>
      <c r="C565" s="3"/>
      <c r="D565" s="3"/>
      <c r="E565" s="3"/>
      <c r="F565" s="3"/>
      <c r="G565" s="3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"/>
      <c r="AM565" s="3"/>
      <c r="AN565" s="3"/>
      <c r="AO565" s="3"/>
      <c r="AP565" s="3"/>
    </row>
    <row r="566" spans="1:42" ht="12.75" x14ac:dyDescent="0.2">
      <c r="A566" s="3"/>
      <c r="B566" s="3"/>
      <c r="C566" s="3"/>
      <c r="D566" s="3"/>
      <c r="E566" s="3"/>
      <c r="F566" s="3"/>
      <c r="G566" s="3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"/>
      <c r="AM566" s="3"/>
      <c r="AN566" s="3"/>
      <c r="AO566" s="3"/>
      <c r="AP566" s="3"/>
    </row>
    <row r="567" spans="1:42" ht="12.75" x14ac:dyDescent="0.2">
      <c r="A567" s="3"/>
      <c r="B567" s="3"/>
      <c r="C567" s="3"/>
      <c r="D567" s="3"/>
      <c r="E567" s="3"/>
      <c r="F567" s="3"/>
      <c r="G567" s="3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"/>
      <c r="AM567" s="3"/>
      <c r="AN567" s="3"/>
      <c r="AO567" s="3"/>
      <c r="AP567" s="3"/>
    </row>
    <row r="568" spans="1:42" ht="12.75" x14ac:dyDescent="0.2">
      <c r="A568" s="3"/>
      <c r="B568" s="3"/>
      <c r="C568" s="3"/>
      <c r="D568" s="3"/>
      <c r="E568" s="3"/>
      <c r="F568" s="3"/>
      <c r="G568" s="3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"/>
      <c r="AM568" s="3"/>
      <c r="AN568" s="3"/>
      <c r="AO568" s="3"/>
      <c r="AP568" s="3"/>
    </row>
    <row r="569" spans="1:42" ht="12.75" x14ac:dyDescent="0.2">
      <c r="A569" s="3"/>
      <c r="B569" s="3"/>
      <c r="C569" s="3"/>
      <c r="D569" s="3"/>
      <c r="E569" s="3"/>
      <c r="F569" s="3"/>
      <c r="G569" s="3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"/>
      <c r="AM569" s="3"/>
      <c r="AN569" s="3"/>
      <c r="AO569" s="3"/>
      <c r="AP569" s="3"/>
    </row>
    <row r="570" spans="1:42" ht="12.75" x14ac:dyDescent="0.2">
      <c r="A570" s="3"/>
      <c r="B570" s="3"/>
      <c r="C570" s="3"/>
      <c r="D570" s="3"/>
      <c r="E570" s="3"/>
      <c r="F570" s="3"/>
      <c r="G570" s="3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"/>
      <c r="AM570" s="3"/>
      <c r="AN570" s="3"/>
      <c r="AO570" s="3"/>
      <c r="AP570" s="3"/>
    </row>
    <row r="571" spans="1:42" ht="12.75" x14ac:dyDescent="0.2">
      <c r="A571" s="3"/>
      <c r="B571" s="3"/>
      <c r="C571" s="3"/>
      <c r="D571" s="3"/>
      <c r="E571" s="3"/>
      <c r="F571" s="3"/>
      <c r="G571" s="3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"/>
      <c r="AM571" s="3"/>
      <c r="AN571" s="3"/>
      <c r="AO571" s="3"/>
      <c r="AP571" s="3"/>
    </row>
    <row r="572" spans="1:42" ht="12.75" x14ac:dyDescent="0.2">
      <c r="A572" s="3"/>
      <c r="B572" s="3"/>
      <c r="C572" s="3"/>
      <c r="D572" s="3"/>
      <c r="E572" s="3"/>
      <c r="F572" s="3"/>
      <c r="G572" s="3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"/>
      <c r="AM572" s="3"/>
      <c r="AN572" s="3"/>
      <c r="AO572" s="3"/>
      <c r="AP572" s="3"/>
    </row>
    <row r="573" spans="1:42" ht="12.75" x14ac:dyDescent="0.2">
      <c r="A573" s="3"/>
      <c r="B573" s="3"/>
      <c r="C573" s="3"/>
      <c r="D573" s="3"/>
      <c r="E573" s="3"/>
      <c r="F573" s="3"/>
      <c r="G573" s="3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"/>
      <c r="AM573" s="3"/>
      <c r="AN573" s="3"/>
      <c r="AO573" s="3"/>
      <c r="AP573" s="3"/>
    </row>
    <row r="574" spans="1:42" ht="12.75" x14ac:dyDescent="0.2">
      <c r="A574" s="3"/>
      <c r="B574" s="3"/>
      <c r="C574" s="3"/>
      <c r="D574" s="3"/>
      <c r="E574" s="3"/>
      <c r="F574" s="3"/>
      <c r="G574" s="3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"/>
      <c r="AM574" s="3"/>
      <c r="AN574" s="3"/>
      <c r="AO574" s="3"/>
      <c r="AP574" s="3"/>
    </row>
    <row r="575" spans="1:42" ht="12.75" x14ac:dyDescent="0.2">
      <c r="A575" s="3"/>
      <c r="B575" s="3"/>
      <c r="C575" s="3"/>
      <c r="D575" s="3"/>
      <c r="E575" s="3"/>
      <c r="F575" s="3"/>
      <c r="G575" s="3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"/>
      <c r="AM575" s="3"/>
      <c r="AN575" s="3"/>
      <c r="AO575" s="3"/>
      <c r="AP575" s="3"/>
    </row>
    <row r="576" spans="1:42" ht="12.75" x14ac:dyDescent="0.2">
      <c r="A576" s="3"/>
      <c r="B576" s="3"/>
      <c r="C576" s="3"/>
      <c r="D576" s="3"/>
      <c r="E576" s="3"/>
      <c r="F576" s="3"/>
      <c r="G576" s="3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"/>
      <c r="AM576" s="3"/>
      <c r="AN576" s="3"/>
      <c r="AO576" s="3"/>
      <c r="AP576" s="3"/>
    </row>
    <row r="577" spans="1:42" ht="12.75" x14ac:dyDescent="0.2">
      <c r="A577" s="3"/>
      <c r="B577" s="3"/>
      <c r="C577" s="3"/>
      <c r="D577" s="3"/>
      <c r="E577" s="3"/>
      <c r="F577" s="3"/>
      <c r="G577" s="3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"/>
      <c r="AM577" s="3"/>
      <c r="AN577" s="3"/>
      <c r="AO577" s="3"/>
      <c r="AP577" s="3"/>
    </row>
    <row r="578" spans="1:42" ht="12.75" x14ac:dyDescent="0.2">
      <c r="A578" s="3"/>
      <c r="B578" s="3"/>
      <c r="C578" s="3"/>
      <c r="D578" s="3"/>
      <c r="E578" s="3"/>
      <c r="F578" s="3"/>
      <c r="G578" s="3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"/>
      <c r="AM578" s="3"/>
      <c r="AN578" s="3"/>
      <c r="AO578" s="3"/>
      <c r="AP578" s="3"/>
    </row>
    <row r="579" spans="1:42" ht="12.75" x14ac:dyDescent="0.2">
      <c r="A579" s="3"/>
      <c r="B579" s="3"/>
      <c r="C579" s="3"/>
      <c r="D579" s="3"/>
      <c r="E579" s="3"/>
      <c r="F579" s="3"/>
      <c r="G579" s="3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"/>
      <c r="AM579" s="3"/>
      <c r="AN579" s="3"/>
      <c r="AO579" s="3"/>
      <c r="AP579" s="3"/>
    </row>
    <row r="580" spans="1:42" ht="12.75" x14ac:dyDescent="0.2">
      <c r="A580" s="3"/>
      <c r="B580" s="3"/>
      <c r="C580" s="3"/>
      <c r="D580" s="3"/>
      <c r="E580" s="3"/>
      <c r="F580" s="3"/>
      <c r="G580" s="3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"/>
      <c r="AM580" s="3"/>
      <c r="AN580" s="3"/>
      <c r="AO580" s="3"/>
      <c r="AP580" s="3"/>
    </row>
    <row r="581" spans="1:42" ht="12.75" x14ac:dyDescent="0.2">
      <c r="A581" s="3"/>
      <c r="B581" s="3"/>
      <c r="C581" s="3"/>
      <c r="D581" s="3"/>
      <c r="E581" s="3"/>
      <c r="F581" s="3"/>
      <c r="G581" s="3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"/>
      <c r="AM581" s="3"/>
      <c r="AN581" s="3"/>
      <c r="AO581" s="3"/>
      <c r="AP581" s="3"/>
    </row>
    <row r="582" spans="1:42" ht="12.75" x14ac:dyDescent="0.2">
      <c r="A582" s="3"/>
      <c r="B582" s="3"/>
      <c r="C582" s="3"/>
      <c r="D582" s="3"/>
      <c r="E582" s="3"/>
      <c r="F582" s="3"/>
      <c r="G582" s="3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"/>
      <c r="AM582" s="3"/>
      <c r="AN582" s="3"/>
      <c r="AO582" s="3"/>
      <c r="AP582" s="3"/>
    </row>
    <row r="583" spans="1:42" ht="12.75" x14ac:dyDescent="0.2">
      <c r="A583" s="3"/>
      <c r="B583" s="3"/>
      <c r="C583" s="3"/>
      <c r="D583" s="3"/>
      <c r="E583" s="3"/>
      <c r="F583" s="3"/>
      <c r="G583" s="3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"/>
      <c r="AM583" s="3"/>
      <c r="AN583" s="3"/>
      <c r="AO583" s="3"/>
      <c r="AP583" s="3"/>
    </row>
    <row r="584" spans="1:42" ht="12.75" x14ac:dyDescent="0.2">
      <c r="A584" s="3"/>
      <c r="B584" s="3"/>
      <c r="C584" s="3"/>
      <c r="D584" s="3"/>
      <c r="E584" s="3"/>
      <c r="F584" s="3"/>
      <c r="G584" s="3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"/>
      <c r="AM584" s="3"/>
      <c r="AN584" s="3"/>
      <c r="AO584" s="3"/>
      <c r="AP584" s="3"/>
    </row>
    <row r="585" spans="1:42" ht="12.75" x14ac:dyDescent="0.2">
      <c r="A585" s="3"/>
      <c r="B585" s="3"/>
      <c r="C585" s="3"/>
      <c r="D585" s="3"/>
      <c r="E585" s="3"/>
      <c r="F585" s="3"/>
      <c r="G585" s="3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"/>
      <c r="AM585" s="3"/>
      <c r="AN585" s="3"/>
      <c r="AO585" s="3"/>
      <c r="AP585" s="3"/>
    </row>
    <row r="586" spans="1:42" ht="12.75" x14ac:dyDescent="0.2">
      <c r="A586" s="3"/>
      <c r="B586" s="3"/>
      <c r="C586" s="3"/>
      <c r="D586" s="3"/>
      <c r="E586" s="3"/>
      <c r="F586" s="3"/>
      <c r="G586" s="3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"/>
      <c r="AM586" s="3"/>
      <c r="AN586" s="3"/>
      <c r="AO586" s="3"/>
      <c r="AP586" s="3"/>
    </row>
    <row r="587" spans="1:42" ht="12.75" x14ac:dyDescent="0.2">
      <c r="A587" s="3"/>
      <c r="B587" s="3"/>
      <c r="C587" s="3"/>
      <c r="D587" s="3"/>
      <c r="E587" s="3"/>
      <c r="F587" s="3"/>
      <c r="G587" s="3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"/>
      <c r="AM587" s="3"/>
      <c r="AN587" s="3"/>
      <c r="AO587" s="3"/>
      <c r="AP587" s="3"/>
    </row>
    <row r="588" spans="1:42" ht="12.75" x14ac:dyDescent="0.2">
      <c r="A588" s="3"/>
      <c r="B588" s="3"/>
      <c r="C588" s="3"/>
      <c r="D588" s="3"/>
      <c r="E588" s="3"/>
      <c r="F588" s="3"/>
      <c r="G588" s="3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"/>
      <c r="AM588" s="3"/>
      <c r="AN588" s="3"/>
      <c r="AO588" s="3"/>
      <c r="AP588" s="3"/>
    </row>
    <row r="589" spans="1:42" ht="12.75" x14ac:dyDescent="0.2">
      <c r="A589" s="3"/>
      <c r="B589" s="3"/>
      <c r="C589" s="3"/>
      <c r="D589" s="3"/>
      <c r="E589" s="3"/>
      <c r="F589" s="3"/>
      <c r="G589" s="3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"/>
      <c r="AM589" s="3"/>
      <c r="AN589" s="3"/>
      <c r="AO589" s="3"/>
      <c r="AP589" s="3"/>
    </row>
    <row r="590" spans="1:42" ht="12.75" x14ac:dyDescent="0.2">
      <c r="A590" s="3"/>
      <c r="B590" s="3"/>
      <c r="C590" s="3"/>
      <c r="D590" s="3"/>
      <c r="E590" s="3"/>
      <c r="F590" s="3"/>
      <c r="G590" s="3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"/>
      <c r="AM590" s="3"/>
      <c r="AN590" s="3"/>
      <c r="AO590" s="3"/>
      <c r="AP590" s="3"/>
    </row>
    <row r="591" spans="1:42" ht="12.75" x14ac:dyDescent="0.2">
      <c r="A591" s="3"/>
      <c r="B591" s="3"/>
      <c r="C591" s="3"/>
      <c r="D591" s="3"/>
      <c r="E591" s="3"/>
      <c r="F591" s="3"/>
      <c r="G591" s="3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"/>
      <c r="AM591" s="3"/>
      <c r="AN591" s="3"/>
      <c r="AO591" s="3"/>
      <c r="AP591" s="3"/>
    </row>
    <row r="592" spans="1:42" ht="12.75" x14ac:dyDescent="0.2">
      <c r="A592" s="3"/>
      <c r="B592" s="3"/>
      <c r="C592" s="3"/>
      <c r="D592" s="3"/>
      <c r="E592" s="3"/>
      <c r="F592" s="3"/>
      <c r="G592" s="3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"/>
      <c r="AM592" s="3"/>
      <c r="AN592" s="3"/>
      <c r="AO592" s="3"/>
      <c r="AP592" s="3"/>
    </row>
    <row r="593" spans="1:42" ht="12.75" x14ac:dyDescent="0.2">
      <c r="A593" s="3"/>
      <c r="B593" s="3"/>
      <c r="C593" s="3"/>
      <c r="D593" s="3"/>
      <c r="E593" s="3"/>
      <c r="F593" s="3"/>
      <c r="G593" s="3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"/>
      <c r="AM593" s="3"/>
      <c r="AN593" s="3"/>
      <c r="AO593" s="3"/>
      <c r="AP593" s="3"/>
    </row>
    <row r="594" spans="1:42" ht="12.75" x14ac:dyDescent="0.2">
      <c r="A594" s="3"/>
      <c r="B594" s="3"/>
      <c r="C594" s="3"/>
      <c r="D594" s="3"/>
      <c r="E594" s="3"/>
      <c r="F594" s="3"/>
      <c r="G594" s="3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"/>
      <c r="AM594" s="3"/>
      <c r="AN594" s="3"/>
      <c r="AO594" s="3"/>
      <c r="AP594" s="3"/>
    </row>
    <row r="595" spans="1:42" ht="12.75" x14ac:dyDescent="0.2">
      <c r="A595" s="3"/>
      <c r="B595" s="3"/>
      <c r="C595" s="3"/>
      <c r="D595" s="3"/>
      <c r="E595" s="3"/>
      <c r="F595" s="3"/>
      <c r="G595" s="3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"/>
      <c r="AM595" s="3"/>
      <c r="AN595" s="3"/>
      <c r="AO595" s="3"/>
      <c r="AP595" s="3"/>
    </row>
    <row r="596" spans="1:42" ht="12.75" x14ac:dyDescent="0.2">
      <c r="A596" s="3"/>
      <c r="B596" s="3"/>
      <c r="C596" s="3"/>
      <c r="D596" s="3"/>
      <c r="E596" s="3"/>
      <c r="F596" s="3"/>
      <c r="G596" s="3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"/>
      <c r="AM596" s="3"/>
      <c r="AN596" s="3"/>
      <c r="AO596" s="3"/>
      <c r="AP596" s="3"/>
    </row>
    <row r="597" spans="1:42" ht="12.75" x14ac:dyDescent="0.2">
      <c r="A597" s="3"/>
      <c r="B597" s="3"/>
      <c r="C597" s="3"/>
      <c r="D597" s="3"/>
      <c r="E597" s="3"/>
      <c r="F597" s="3"/>
      <c r="G597" s="3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"/>
      <c r="AM597" s="3"/>
      <c r="AN597" s="3"/>
      <c r="AO597" s="3"/>
      <c r="AP597" s="3"/>
    </row>
    <row r="598" spans="1:42" ht="12.75" x14ac:dyDescent="0.2">
      <c r="A598" s="3"/>
      <c r="B598" s="3"/>
      <c r="C598" s="3"/>
      <c r="D598" s="3"/>
      <c r="E598" s="3"/>
      <c r="F598" s="3"/>
      <c r="G598" s="3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"/>
      <c r="AM598" s="3"/>
      <c r="AN598" s="3"/>
      <c r="AO598" s="3"/>
      <c r="AP598" s="3"/>
    </row>
    <row r="599" spans="1:42" ht="12.75" x14ac:dyDescent="0.2">
      <c r="A599" s="3"/>
      <c r="B599" s="3"/>
      <c r="C599" s="3"/>
      <c r="D599" s="3"/>
      <c r="E599" s="3"/>
      <c r="F599" s="3"/>
      <c r="G599" s="3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"/>
      <c r="AM599" s="3"/>
      <c r="AN599" s="3"/>
      <c r="AO599" s="3"/>
      <c r="AP599" s="3"/>
    </row>
    <row r="600" spans="1:42" ht="12.75" x14ac:dyDescent="0.2">
      <c r="A600" s="3"/>
      <c r="B600" s="3"/>
      <c r="C600" s="3"/>
      <c r="D600" s="3"/>
      <c r="E600" s="3"/>
      <c r="F600" s="3"/>
      <c r="G600" s="3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"/>
      <c r="AM600" s="3"/>
      <c r="AN600" s="3"/>
      <c r="AO600" s="3"/>
      <c r="AP600" s="3"/>
    </row>
    <row r="601" spans="1:42" ht="12.75" x14ac:dyDescent="0.2">
      <c r="A601" s="3"/>
      <c r="B601" s="3"/>
      <c r="C601" s="3"/>
      <c r="D601" s="3"/>
      <c r="E601" s="3"/>
      <c r="F601" s="3"/>
      <c r="G601" s="3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"/>
      <c r="AM601" s="3"/>
      <c r="AN601" s="3"/>
      <c r="AO601" s="3"/>
      <c r="AP601" s="3"/>
    </row>
    <row r="602" spans="1:42" ht="12.75" x14ac:dyDescent="0.2">
      <c r="A602" s="3"/>
      <c r="B602" s="3"/>
      <c r="C602" s="3"/>
      <c r="D602" s="3"/>
      <c r="E602" s="3"/>
      <c r="F602" s="3"/>
      <c r="G602" s="3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"/>
      <c r="AM602" s="3"/>
      <c r="AN602" s="3"/>
      <c r="AO602" s="3"/>
      <c r="AP602" s="3"/>
    </row>
    <row r="603" spans="1:42" ht="12.75" x14ac:dyDescent="0.2">
      <c r="A603" s="3"/>
      <c r="B603" s="3"/>
      <c r="C603" s="3"/>
      <c r="D603" s="3"/>
      <c r="E603" s="3"/>
      <c r="F603" s="3"/>
      <c r="G603" s="3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"/>
      <c r="AM603" s="3"/>
      <c r="AN603" s="3"/>
      <c r="AO603" s="3"/>
      <c r="AP603" s="3"/>
    </row>
    <row r="604" spans="1:42" ht="12.75" x14ac:dyDescent="0.2">
      <c r="A604" s="3"/>
      <c r="B604" s="3"/>
      <c r="C604" s="3"/>
      <c r="D604" s="3"/>
      <c r="E604" s="3"/>
      <c r="F604" s="3"/>
      <c r="G604" s="3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"/>
      <c r="AM604" s="3"/>
      <c r="AN604" s="3"/>
      <c r="AO604" s="3"/>
      <c r="AP604" s="3"/>
    </row>
    <row r="605" spans="1:42" ht="12.75" x14ac:dyDescent="0.2">
      <c r="A605" s="3"/>
      <c r="B605" s="3"/>
      <c r="C605" s="3"/>
      <c r="D605" s="3"/>
      <c r="E605" s="3"/>
      <c r="F605" s="3"/>
      <c r="G605" s="3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"/>
      <c r="AM605" s="3"/>
      <c r="AN605" s="3"/>
      <c r="AO605" s="3"/>
      <c r="AP605" s="3"/>
    </row>
    <row r="606" spans="1:42" ht="12.75" x14ac:dyDescent="0.2">
      <c r="A606" s="3"/>
      <c r="B606" s="3"/>
      <c r="C606" s="3"/>
      <c r="D606" s="3"/>
      <c r="E606" s="3"/>
      <c r="F606" s="3"/>
      <c r="G606" s="3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"/>
      <c r="AM606" s="3"/>
      <c r="AN606" s="3"/>
      <c r="AO606" s="3"/>
      <c r="AP606" s="3"/>
    </row>
    <row r="607" spans="1:42" ht="12.75" x14ac:dyDescent="0.2">
      <c r="A607" s="3"/>
      <c r="B607" s="3"/>
      <c r="C607" s="3"/>
      <c r="D607" s="3"/>
      <c r="E607" s="3"/>
      <c r="F607" s="3"/>
      <c r="G607" s="3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"/>
      <c r="AM607" s="3"/>
      <c r="AN607" s="3"/>
      <c r="AO607" s="3"/>
      <c r="AP607" s="3"/>
    </row>
    <row r="608" spans="1:42" ht="12.75" x14ac:dyDescent="0.2">
      <c r="A608" s="3"/>
      <c r="B608" s="3"/>
      <c r="C608" s="3"/>
      <c r="D608" s="3"/>
      <c r="E608" s="3"/>
      <c r="F608" s="3"/>
      <c r="G608" s="3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"/>
      <c r="AM608" s="3"/>
      <c r="AN608" s="3"/>
      <c r="AO608" s="3"/>
      <c r="AP608" s="3"/>
    </row>
    <row r="609" spans="1:42" ht="12.75" x14ac:dyDescent="0.2">
      <c r="A609" s="3"/>
      <c r="B609" s="3"/>
      <c r="C609" s="3"/>
      <c r="D609" s="3"/>
      <c r="E609" s="3"/>
      <c r="F609" s="3"/>
      <c r="G609" s="3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"/>
      <c r="AM609" s="3"/>
      <c r="AN609" s="3"/>
      <c r="AO609" s="3"/>
      <c r="AP609" s="3"/>
    </row>
    <row r="610" spans="1:42" ht="12.75" x14ac:dyDescent="0.2">
      <c r="A610" s="3"/>
      <c r="B610" s="3"/>
      <c r="C610" s="3"/>
      <c r="D610" s="3"/>
      <c r="E610" s="3"/>
      <c r="F610" s="3"/>
      <c r="G610" s="3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"/>
      <c r="AM610" s="3"/>
      <c r="AN610" s="3"/>
      <c r="AO610" s="3"/>
      <c r="AP610" s="3"/>
    </row>
    <row r="611" spans="1:42" ht="12.75" x14ac:dyDescent="0.2">
      <c r="A611" s="3"/>
      <c r="B611" s="3"/>
      <c r="C611" s="3"/>
      <c r="D611" s="3"/>
      <c r="E611" s="3"/>
      <c r="F611" s="3"/>
      <c r="G611" s="3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"/>
      <c r="AM611" s="3"/>
      <c r="AN611" s="3"/>
      <c r="AO611" s="3"/>
      <c r="AP611" s="3"/>
    </row>
    <row r="612" spans="1:42" ht="12.75" x14ac:dyDescent="0.2">
      <c r="A612" s="3"/>
      <c r="B612" s="3"/>
      <c r="C612" s="3"/>
      <c r="D612" s="3"/>
      <c r="E612" s="3"/>
      <c r="F612" s="3"/>
      <c r="G612" s="3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"/>
      <c r="AM612" s="3"/>
      <c r="AN612" s="3"/>
      <c r="AO612" s="3"/>
      <c r="AP612" s="3"/>
    </row>
    <row r="613" spans="1:42" ht="12.75" x14ac:dyDescent="0.2">
      <c r="A613" s="3"/>
      <c r="B613" s="3"/>
      <c r="C613" s="3"/>
      <c r="D613" s="3"/>
      <c r="E613" s="3"/>
      <c r="F613" s="3"/>
      <c r="G613" s="3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"/>
      <c r="AM613" s="3"/>
      <c r="AN613" s="3"/>
      <c r="AO613" s="3"/>
      <c r="AP613" s="3"/>
    </row>
    <row r="614" spans="1:42" ht="12.75" x14ac:dyDescent="0.2">
      <c r="A614" s="3"/>
      <c r="B614" s="3"/>
      <c r="C614" s="3"/>
      <c r="D614" s="3"/>
      <c r="E614" s="3"/>
      <c r="F614" s="3"/>
      <c r="G614" s="3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"/>
      <c r="AM614" s="3"/>
      <c r="AN614" s="3"/>
      <c r="AO614" s="3"/>
      <c r="AP614" s="3"/>
    </row>
    <row r="615" spans="1:42" ht="12.75" x14ac:dyDescent="0.2">
      <c r="A615" s="3"/>
      <c r="B615" s="3"/>
      <c r="C615" s="3"/>
      <c r="D615" s="3"/>
      <c r="E615" s="3"/>
      <c r="F615" s="3"/>
      <c r="G615" s="3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"/>
      <c r="AM615" s="3"/>
      <c r="AN615" s="3"/>
      <c r="AO615" s="3"/>
      <c r="AP615" s="3"/>
    </row>
    <row r="616" spans="1:42" ht="12.75" x14ac:dyDescent="0.2">
      <c r="A616" s="3"/>
      <c r="B616" s="3"/>
      <c r="C616" s="3"/>
      <c r="D616" s="3"/>
      <c r="E616" s="3"/>
      <c r="F616" s="3"/>
      <c r="G616" s="3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"/>
      <c r="AM616" s="3"/>
      <c r="AN616" s="3"/>
      <c r="AO616" s="3"/>
      <c r="AP616" s="3"/>
    </row>
    <row r="617" spans="1:42" ht="12.75" x14ac:dyDescent="0.2">
      <c r="A617" s="3"/>
      <c r="B617" s="3"/>
      <c r="C617" s="3"/>
      <c r="D617" s="3"/>
      <c r="E617" s="3"/>
      <c r="F617" s="3"/>
      <c r="G617" s="3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"/>
      <c r="AM617" s="3"/>
      <c r="AN617" s="3"/>
      <c r="AO617" s="3"/>
      <c r="AP617" s="3"/>
    </row>
    <row r="618" spans="1:42" ht="12.75" x14ac:dyDescent="0.2">
      <c r="A618" s="3"/>
      <c r="B618" s="3"/>
      <c r="C618" s="3"/>
      <c r="D618" s="3"/>
      <c r="E618" s="3"/>
      <c r="F618" s="3"/>
      <c r="G618" s="3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"/>
      <c r="AM618" s="3"/>
      <c r="AN618" s="3"/>
      <c r="AO618" s="3"/>
      <c r="AP618" s="3"/>
    </row>
    <row r="619" spans="1:42" ht="12.75" x14ac:dyDescent="0.2">
      <c r="A619" s="3"/>
      <c r="B619" s="3"/>
      <c r="C619" s="3"/>
      <c r="D619" s="3"/>
      <c r="E619" s="3"/>
      <c r="F619" s="3"/>
      <c r="G619" s="3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"/>
      <c r="AM619" s="3"/>
      <c r="AN619" s="3"/>
      <c r="AO619" s="3"/>
      <c r="AP619" s="3"/>
    </row>
    <row r="620" spans="1:42" ht="12.75" x14ac:dyDescent="0.2">
      <c r="A620" s="3"/>
      <c r="B620" s="3"/>
      <c r="C620" s="3"/>
      <c r="D620" s="3"/>
      <c r="E620" s="3"/>
      <c r="F620" s="3"/>
      <c r="G620" s="3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"/>
      <c r="AM620" s="3"/>
      <c r="AN620" s="3"/>
      <c r="AO620" s="3"/>
      <c r="AP620" s="3"/>
    </row>
    <row r="621" spans="1:42" ht="12.75" x14ac:dyDescent="0.2">
      <c r="A621" s="3"/>
      <c r="B621" s="3"/>
      <c r="C621" s="3"/>
      <c r="D621" s="3"/>
      <c r="E621" s="3"/>
      <c r="F621" s="3"/>
      <c r="G621" s="3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"/>
      <c r="AM621" s="3"/>
      <c r="AN621" s="3"/>
      <c r="AO621" s="3"/>
      <c r="AP621" s="3"/>
    </row>
    <row r="622" spans="1:42" ht="12.75" x14ac:dyDescent="0.2">
      <c r="A622" s="3"/>
      <c r="B622" s="3"/>
      <c r="C622" s="3"/>
      <c r="D622" s="3"/>
      <c r="E622" s="3"/>
      <c r="F622" s="3"/>
      <c r="G622" s="3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"/>
      <c r="AM622" s="3"/>
      <c r="AN622" s="3"/>
      <c r="AO622" s="3"/>
      <c r="AP622" s="3"/>
    </row>
    <row r="623" spans="1:42" ht="12.75" x14ac:dyDescent="0.2">
      <c r="A623" s="3"/>
      <c r="B623" s="3"/>
      <c r="C623" s="3"/>
      <c r="D623" s="3"/>
      <c r="E623" s="3"/>
      <c r="F623" s="3"/>
      <c r="G623" s="3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"/>
      <c r="AM623" s="3"/>
      <c r="AN623" s="3"/>
      <c r="AO623" s="3"/>
      <c r="AP623" s="3"/>
    </row>
    <row r="624" spans="1:42" ht="12.75" x14ac:dyDescent="0.2">
      <c r="A624" s="3"/>
      <c r="B624" s="3"/>
      <c r="C624" s="3"/>
      <c r="D624" s="3"/>
      <c r="E624" s="3"/>
      <c r="F624" s="3"/>
      <c r="G624" s="3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"/>
      <c r="AM624" s="3"/>
      <c r="AN624" s="3"/>
      <c r="AO624" s="3"/>
      <c r="AP624" s="3"/>
    </row>
    <row r="625" spans="1:42" ht="12.75" x14ac:dyDescent="0.2">
      <c r="A625" s="3"/>
      <c r="B625" s="3"/>
      <c r="C625" s="3"/>
      <c r="D625" s="3"/>
      <c r="E625" s="3"/>
      <c r="F625" s="3"/>
      <c r="G625" s="3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"/>
      <c r="AM625" s="3"/>
      <c r="AN625" s="3"/>
      <c r="AO625" s="3"/>
      <c r="AP625" s="3"/>
    </row>
    <row r="626" spans="1:42" ht="12.75" x14ac:dyDescent="0.2">
      <c r="A626" s="3"/>
      <c r="B626" s="3"/>
      <c r="C626" s="3"/>
      <c r="D626" s="3"/>
      <c r="E626" s="3"/>
      <c r="F626" s="3"/>
      <c r="G626" s="3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"/>
      <c r="AM626" s="3"/>
      <c r="AN626" s="3"/>
      <c r="AO626" s="3"/>
      <c r="AP626" s="3"/>
    </row>
    <row r="627" spans="1:42" ht="12.75" x14ac:dyDescent="0.2">
      <c r="A627" s="3"/>
      <c r="B627" s="3"/>
      <c r="C627" s="3"/>
      <c r="D627" s="3"/>
      <c r="E627" s="3"/>
      <c r="F627" s="3"/>
      <c r="G627" s="3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"/>
      <c r="AM627" s="3"/>
      <c r="AN627" s="3"/>
      <c r="AO627" s="3"/>
      <c r="AP627" s="3"/>
    </row>
    <row r="628" spans="1:42" ht="12.75" x14ac:dyDescent="0.2">
      <c r="A628" s="3"/>
      <c r="B628" s="3"/>
      <c r="C628" s="3"/>
      <c r="D628" s="3"/>
      <c r="E628" s="3"/>
      <c r="F628" s="3"/>
      <c r="G628" s="3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"/>
      <c r="AM628" s="3"/>
      <c r="AN628" s="3"/>
      <c r="AO628" s="3"/>
      <c r="AP628" s="3"/>
    </row>
    <row r="629" spans="1:42" ht="12.75" x14ac:dyDescent="0.2">
      <c r="A629" s="3"/>
      <c r="B629" s="3"/>
      <c r="C629" s="3"/>
      <c r="D629" s="3"/>
      <c r="E629" s="3"/>
      <c r="F629" s="3"/>
      <c r="G629" s="3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"/>
      <c r="AM629" s="3"/>
      <c r="AN629" s="3"/>
      <c r="AO629" s="3"/>
      <c r="AP629" s="3"/>
    </row>
    <row r="630" spans="1:42" ht="12.75" x14ac:dyDescent="0.2">
      <c r="A630" s="3"/>
      <c r="B630" s="3"/>
      <c r="C630" s="3"/>
      <c r="D630" s="3"/>
      <c r="E630" s="3"/>
      <c r="F630" s="3"/>
      <c r="G630" s="3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"/>
      <c r="AM630" s="3"/>
      <c r="AN630" s="3"/>
      <c r="AO630" s="3"/>
      <c r="AP630" s="3"/>
    </row>
    <row r="631" spans="1:42" ht="12.75" x14ac:dyDescent="0.2">
      <c r="A631" s="3"/>
      <c r="B631" s="3"/>
      <c r="C631" s="3"/>
      <c r="D631" s="3"/>
      <c r="E631" s="3"/>
      <c r="F631" s="3"/>
      <c r="G631" s="3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"/>
      <c r="AM631" s="3"/>
      <c r="AN631" s="3"/>
      <c r="AO631" s="3"/>
      <c r="AP631" s="3"/>
    </row>
    <row r="632" spans="1:42" ht="12.75" x14ac:dyDescent="0.2">
      <c r="A632" s="3"/>
      <c r="B632" s="3"/>
      <c r="C632" s="3"/>
      <c r="D632" s="3"/>
      <c r="E632" s="3"/>
      <c r="F632" s="3"/>
      <c r="G632" s="3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"/>
      <c r="AM632" s="3"/>
      <c r="AN632" s="3"/>
      <c r="AO632" s="3"/>
      <c r="AP632" s="3"/>
    </row>
    <row r="633" spans="1:42" ht="12.75" x14ac:dyDescent="0.2">
      <c r="A633" s="3"/>
      <c r="B633" s="3"/>
      <c r="C633" s="3"/>
      <c r="D633" s="3"/>
      <c r="E633" s="3"/>
      <c r="F633" s="3"/>
      <c r="G633" s="3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"/>
      <c r="AM633" s="3"/>
      <c r="AN633" s="3"/>
      <c r="AO633" s="3"/>
      <c r="AP633" s="3"/>
    </row>
    <row r="634" spans="1:42" ht="12.75" x14ac:dyDescent="0.2">
      <c r="A634" s="3"/>
      <c r="B634" s="3"/>
      <c r="C634" s="3"/>
      <c r="D634" s="3"/>
      <c r="E634" s="3"/>
      <c r="F634" s="3"/>
      <c r="G634" s="3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"/>
      <c r="AM634" s="3"/>
      <c r="AN634" s="3"/>
      <c r="AO634" s="3"/>
      <c r="AP634" s="3"/>
    </row>
    <row r="635" spans="1:42" ht="12.75" x14ac:dyDescent="0.2">
      <c r="A635" s="3"/>
      <c r="B635" s="3"/>
      <c r="C635" s="3"/>
      <c r="D635" s="3"/>
      <c r="E635" s="3"/>
      <c r="F635" s="3"/>
      <c r="G635" s="3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"/>
      <c r="AM635" s="3"/>
      <c r="AN635" s="3"/>
      <c r="AO635" s="3"/>
      <c r="AP635" s="3"/>
    </row>
    <row r="636" spans="1:42" ht="12.75" x14ac:dyDescent="0.2">
      <c r="A636" s="3"/>
      <c r="B636" s="3"/>
      <c r="C636" s="3"/>
      <c r="D636" s="3"/>
      <c r="E636" s="3"/>
      <c r="F636" s="3"/>
      <c r="G636" s="3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"/>
      <c r="AM636" s="3"/>
      <c r="AN636" s="3"/>
      <c r="AO636" s="3"/>
      <c r="AP636" s="3"/>
    </row>
    <row r="637" spans="1:42" ht="12.75" x14ac:dyDescent="0.2">
      <c r="A637" s="3"/>
      <c r="B637" s="3"/>
      <c r="C637" s="3"/>
      <c r="D637" s="3"/>
      <c r="E637" s="3"/>
      <c r="F637" s="3"/>
      <c r="G637" s="3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"/>
      <c r="AM637" s="3"/>
      <c r="AN637" s="3"/>
      <c r="AO637" s="3"/>
      <c r="AP637" s="3"/>
    </row>
    <row r="638" spans="1:42" ht="12.75" x14ac:dyDescent="0.2">
      <c r="A638" s="3"/>
      <c r="B638" s="3"/>
      <c r="C638" s="3"/>
      <c r="D638" s="3"/>
      <c r="E638" s="3"/>
      <c r="F638" s="3"/>
      <c r="G638" s="3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"/>
      <c r="AM638" s="3"/>
      <c r="AN638" s="3"/>
      <c r="AO638" s="3"/>
      <c r="AP638" s="3"/>
    </row>
    <row r="639" spans="1:42" ht="12.75" x14ac:dyDescent="0.2">
      <c r="A639" s="3"/>
      <c r="B639" s="3"/>
      <c r="C639" s="3"/>
      <c r="D639" s="3"/>
      <c r="E639" s="3"/>
      <c r="F639" s="3"/>
      <c r="G639" s="3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"/>
      <c r="AM639" s="3"/>
      <c r="AN639" s="3"/>
      <c r="AO639" s="3"/>
      <c r="AP639" s="3"/>
    </row>
    <row r="640" spans="1:42" ht="12.75" x14ac:dyDescent="0.2">
      <c r="A640" s="3"/>
      <c r="B640" s="3"/>
      <c r="C640" s="3"/>
      <c r="D640" s="3"/>
      <c r="E640" s="3"/>
      <c r="F640" s="3"/>
      <c r="G640" s="3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"/>
      <c r="AM640" s="3"/>
      <c r="AN640" s="3"/>
      <c r="AO640" s="3"/>
      <c r="AP640" s="3"/>
    </row>
    <row r="641" spans="1:42" ht="12.75" x14ac:dyDescent="0.2">
      <c r="A641" s="3"/>
      <c r="B641" s="3"/>
      <c r="C641" s="3"/>
      <c r="D641" s="3"/>
      <c r="E641" s="3"/>
      <c r="F641" s="3"/>
      <c r="G641" s="3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"/>
      <c r="AM641" s="3"/>
      <c r="AN641" s="3"/>
      <c r="AO641" s="3"/>
      <c r="AP641" s="3"/>
    </row>
    <row r="642" spans="1:42" ht="12.75" x14ac:dyDescent="0.2">
      <c r="A642" s="3"/>
      <c r="B642" s="3"/>
      <c r="C642" s="3"/>
      <c r="D642" s="3"/>
      <c r="E642" s="3"/>
      <c r="F642" s="3"/>
      <c r="G642" s="3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"/>
      <c r="AM642" s="3"/>
      <c r="AN642" s="3"/>
      <c r="AO642" s="3"/>
      <c r="AP642" s="3"/>
    </row>
    <row r="643" spans="1:42" ht="12.75" x14ac:dyDescent="0.2">
      <c r="A643" s="3"/>
      <c r="B643" s="3"/>
      <c r="C643" s="3"/>
      <c r="D643" s="3"/>
      <c r="E643" s="3"/>
      <c r="F643" s="3"/>
      <c r="G643" s="3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"/>
      <c r="AM643" s="3"/>
      <c r="AN643" s="3"/>
      <c r="AO643" s="3"/>
      <c r="AP643" s="3"/>
    </row>
    <row r="644" spans="1:42" ht="12.75" x14ac:dyDescent="0.2">
      <c r="A644" s="3"/>
      <c r="B644" s="3"/>
      <c r="C644" s="3"/>
      <c r="D644" s="3"/>
      <c r="E644" s="3"/>
      <c r="F644" s="3"/>
      <c r="G644" s="3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"/>
      <c r="AM644" s="3"/>
      <c r="AN644" s="3"/>
      <c r="AO644" s="3"/>
      <c r="AP644" s="3"/>
    </row>
    <row r="645" spans="1:42" ht="12.75" x14ac:dyDescent="0.2">
      <c r="A645" s="3"/>
      <c r="B645" s="3"/>
      <c r="C645" s="3"/>
      <c r="D645" s="3"/>
      <c r="E645" s="3"/>
      <c r="F645" s="3"/>
      <c r="G645" s="3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"/>
      <c r="AM645" s="3"/>
      <c r="AN645" s="3"/>
      <c r="AO645" s="3"/>
      <c r="AP645" s="3"/>
    </row>
    <row r="646" spans="1:42" ht="12.75" x14ac:dyDescent="0.2">
      <c r="A646" s="3"/>
      <c r="B646" s="3"/>
      <c r="C646" s="3"/>
      <c r="D646" s="3"/>
      <c r="E646" s="3"/>
      <c r="F646" s="3"/>
      <c r="G646" s="3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"/>
      <c r="AM646" s="3"/>
      <c r="AN646" s="3"/>
      <c r="AO646" s="3"/>
      <c r="AP646" s="3"/>
    </row>
    <row r="647" spans="1:42" ht="12.75" x14ac:dyDescent="0.2">
      <c r="A647" s="3"/>
      <c r="B647" s="3"/>
      <c r="C647" s="3"/>
      <c r="D647" s="3"/>
      <c r="E647" s="3"/>
      <c r="F647" s="3"/>
      <c r="G647" s="3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"/>
      <c r="AM647" s="3"/>
      <c r="AN647" s="3"/>
      <c r="AO647" s="3"/>
      <c r="AP647" s="3"/>
    </row>
    <row r="648" spans="1:42" ht="12.75" x14ac:dyDescent="0.2">
      <c r="A648" s="3"/>
      <c r="B648" s="3"/>
      <c r="C648" s="3"/>
      <c r="D648" s="3"/>
      <c r="E648" s="3"/>
      <c r="F648" s="3"/>
      <c r="G648" s="3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"/>
      <c r="AM648" s="3"/>
      <c r="AN648" s="3"/>
      <c r="AO648" s="3"/>
      <c r="AP648" s="3"/>
    </row>
    <row r="649" spans="1:42" ht="12.75" x14ac:dyDescent="0.2">
      <c r="A649" s="3"/>
      <c r="B649" s="3"/>
      <c r="C649" s="3"/>
      <c r="D649" s="3"/>
      <c r="E649" s="3"/>
      <c r="F649" s="3"/>
      <c r="G649" s="3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"/>
      <c r="AM649" s="3"/>
      <c r="AN649" s="3"/>
      <c r="AO649" s="3"/>
      <c r="AP649" s="3"/>
    </row>
    <row r="650" spans="1:42" ht="12.75" x14ac:dyDescent="0.2">
      <c r="A650" s="3"/>
      <c r="B650" s="3"/>
      <c r="C650" s="3"/>
      <c r="D650" s="3"/>
      <c r="E650" s="3"/>
      <c r="F650" s="3"/>
      <c r="G650" s="3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"/>
      <c r="AM650" s="3"/>
      <c r="AN650" s="3"/>
      <c r="AO650" s="3"/>
      <c r="AP650" s="3"/>
    </row>
    <row r="651" spans="1:42" ht="12.75" x14ac:dyDescent="0.2">
      <c r="A651" s="3"/>
      <c r="B651" s="3"/>
      <c r="C651" s="3"/>
      <c r="D651" s="3"/>
      <c r="E651" s="3"/>
      <c r="F651" s="3"/>
      <c r="G651" s="3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"/>
      <c r="AM651" s="3"/>
      <c r="AN651" s="3"/>
      <c r="AO651" s="3"/>
      <c r="AP651" s="3"/>
    </row>
    <row r="652" spans="1:42" ht="12.75" x14ac:dyDescent="0.2">
      <c r="A652" s="3"/>
      <c r="B652" s="3"/>
      <c r="C652" s="3"/>
      <c r="D652" s="3"/>
      <c r="E652" s="3"/>
      <c r="F652" s="3"/>
      <c r="G652" s="3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"/>
      <c r="AM652" s="3"/>
      <c r="AN652" s="3"/>
      <c r="AO652" s="3"/>
      <c r="AP652" s="3"/>
    </row>
    <row r="653" spans="1:42" ht="12.75" x14ac:dyDescent="0.2">
      <c r="A653" s="3"/>
      <c r="B653" s="3"/>
      <c r="C653" s="3"/>
      <c r="D653" s="3"/>
      <c r="E653" s="3"/>
      <c r="F653" s="3"/>
      <c r="G653" s="3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"/>
      <c r="AM653" s="3"/>
      <c r="AN653" s="3"/>
      <c r="AO653" s="3"/>
      <c r="AP653" s="3"/>
    </row>
    <row r="654" spans="1:42" ht="12.75" x14ac:dyDescent="0.2">
      <c r="A654" s="3"/>
      <c r="B654" s="3"/>
      <c r="C654" s="3"/>
      <c r="D654" s="3"/>
      <c r="E654" s="3"/>
      <c r="F654" s="3"/>
      <c r="G654" s="3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"/>
      <c r="AM654" s="3"/>
      <c r="AN654" s="3"/>
      <c r="AO654" s="3"/>
      <c r="AP654" s="3"/>
    </row>
    <row r="655" spans="1:42" ht="12.75" x14ac:dyDescent="0.2">
      <c r="A655" s="3"/>
      <c r="B655" s="3"/>
      <c r="C655" s="3"/>
      <c r="D655" s="3"/>
      <c r="E655" s="3"/>
      <c r="F655" s="3"/>
      <c r="G655" s="3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"/>
      <c r="AM655" s="3"/>
      <c r="AN655" s="3"/>
      <c r="AO655" s="3"/>
      <c r="AP655" s="3"/>
    </row>
    <row r="656" spans="1:42" ht="12.75" x14ac:dyDescent="0.2">
      <c r="A656" s="3"/>
      <c r="B656" s="3"/>
      <c r="C656" s="3"/>
      <c r="D656" s="3"/>
      <c r="E656" s="3"/>
      <c r="F656" s="3"/>
      <c r="G656" s="3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"/>
      <c r="AM656" s="3"/>
      <c r="AN656" s="3"/>
      <c r="AO656" s="3"/>
      <c r="AP656" s="3"/>
    </row>
    <row r="657" spans="1:42" ht="12.75" x14ac:dyDescent="0.2">
      <c r="A657" s="3"/>
      <c r="B657" s="3"/>
      <c r="C657" s="3"/>
      <c r="D657" s="3"/>
      <c r="E657" s="3"/>
      <c r="F657" s="3"/>
      <c r="G657" s="3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"/>
      <c r="AM657" s="3"/>
      <c r="AN657" s="3"/>
      <c r="AO657" s="3"/>
      <c r="AP657" s="3"/>
    </row>
    <row r="658" spans="1:42" ht="12.75" x14ac:dyDescent="0.2">
      <c r="A658" s="3"/>
      <c r="B658" s="3"/>
      <c r="C658" s="3"/>
      <c r="D658" s="3"/>
      <c r="E658" s="3"/>
      <c r="F658" s="3"/>
      <c r="G658" s="3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"/>
      <c r="AM658" s="3"/>
      <c r="AN658" s="3"/>
      <c r="AO658" s="3"/>
      <c r="AP658" s="3"/>
    </row>
    <row r="659" spans="1:42" ht="12.75" x14ac:dyDescent="0.2">
      <c r="A659" s="3"/>
      <c r="B659" s="3"/>
      <c r="C659" s="3"/>
      <c r="D659" s="3"/>
      <c r="E659" s="3"/>
      <c r="F659" s="3"/>
      <c r="G659" s="3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"/>
      <c r="AM659" s="3"/>
      <c r="AN659" s="3"/>
      <c r="AO659" s="3"/>
      <c r="AP659" s="3"/>
    </row>
    <row r="660" spans="1:42" ht="12.75" x14ac:dyDescent="0.2">
      <c r="A660" s="3"/>
      <c r="B660" s="3"/>
      <c r="C660" s="3"/>
      <c r="D660" s="3"/>
      <c r="E660" s="3"/>
      <c r="F660" s="3"/>
      <c r="G660" s="3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"/>
      <c r="AM660" s="3"/>
      <c r="AN660" s="3"/>
      <c r="AO660" s="3"/>
      <c r="AP660" s="3"/>
    </row>
    <row r="661" spans="1:42" ht="12.75" x14ac:dyDescent="0.2">
      <c r="A661" s="3"/>
      <c r="B661" s="3"/>
      <c r="C661" s="3"/>
      <c r="D661" s="3"/>
      <c r="E661" s="3"/>
      <c r="F661" s="3"/>
      <c r="G661" s="3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"/>
      <c r="AM661" s="3"/>
      <c r="AN661" s="3"/>
      <c r="AO661" s="3"/>
      <c r="AP661" s="3"/>
    </row>
    <row r="662" spans="1:42" ht="12.75" x14ac:dyDescent="0.2">
      <c r="A662" s="3"/>
      <c r="B662" s="3"/>
      <c r="C662" s="3"/>
      <c r="D662" s="3"/>
      <c r="E662" s="3"/>
      <c r="F662" s="3"/>
      <c r="G662" s="3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"/>
      <c r="AM662" s="3"/>
      <c r="AN662" s="3"/>
      <c r="AO662" s="3"/>
      <c r="AP662" s="3"/>
    </row>
    <row r="663" spans="1:42" ht="12.75" x14ac:dyDescent="0.2">
      <c r="A663" s="3"/>
      <c r="B663" s="3"/>
      <c r="C663" s="3"/>
      <c r="D663" s="3"/>
      <c r="E663" s="3"/>
      <c r="F663" s="3"/>
      <c r="G663" s="3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"/>
      <c r="AM663" s="3"/>
      <c r="AN663" s="3"/>
      <c r="AO663" s="3"/>
      <c r="AP663" s="3"/>
    </row>
    <row r="664" spans="1:42" ht="12.75" x14ac:dyDescent="0.2">
      <c r="A664" s="3"/>
      <c r="B664" s="3"/>
      <c r="C664" s="3"/>
      <c r="D664" s="3"/>
      <c r="E664" s="3"/>
      <c r="F664" s="3"/>
      <c r="G664" s="3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"/>
      <c r="AM664" s="3"/>
      <c r="AN664" s="3"/>
      <c r="AO664" s="3"/>
      <c r="AP664" s="3"/>
    </row>
    <row r="665" spans="1:42" ht="12.75" x14ac:dyDescent="0.2">
      <c r="A665" s="3"/>
      <c r="B665" s="3"/>
      <c r="C665" s="3"/>
      <c r="D665" s="3"/>
      <c r="E665" s="3"/>
      <c r="F665" s="3"/>
      <c r="G665" s="3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"/>
      <c r="AM665" s="3"/>
      <c r="AN665" s="3"/>
      <c r="AO665" s="3"/>
      <c r="AP665" s="3"/>
    </row>
    <row r="666" spans="1:42" ht="12.75" x14ac:dyDescent="0.2">
      <c r="A666" s="3"/>
      <c r="B666" s="3"/>
      <c r="C666" s="3"/>
      <c r="D666" s="3"/>
      <c r="E666" s="3"/>
      <c r="F666" s="3"/>
      <c r="G666" s="3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"/>
      <c r="AM666" s="3"/>
      <c r="AN666" s="3"/>
      <c r="AO666" s="3"/>
      <c r="AP666" s="3"/>
    </row>
    <row r="667" spans="1:42" ht="12.75" x14ac:dyDescent="0.2">
      <c r="A667" s="3"/>
      <c r="B667" s="3"/>
      <c r="C667" s="3"/>
      <c r="D667" s="3"/>
      <c r="E667" s="3"/>
      <c r="F667" s="3"/>
      <c r="G667" s="3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"/>
      <c r="AM667" s="3"/>
      <c r="AN667" s="3"/>
      <c r="AO667" s="3"/>
      <c r="AP667" s="3"/>
    </row>
    <row r="668" spans="1:42" ht="12.75" x14ac:dyDescent="0.2">
      <c r="A668" s="3"/>
      <c r="B668" s="3"/>
      <c r="C668" s="3"/>
      <c r="D668" s="3"/>
      <c r="E668" s="3"/>
      <c r="F668" s="3"/>
      <c r="G668" s="3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"/>
      <c r="AM668" s="3"/>
      <c r="AN668" s="3"/>
      <c r="AO668" s="3"/>
      <c r="AP668" s="3"/>
    </row>
    <row r="669" spans="1:42" ht="12.75" x14ac:dyDescent="0.2">
      <c r="A669" s="3"/>
      <c r="B669" s="3"/>
      <c r="C669" s="3"/>
      <c r="D669" s="3"/>
      <c r="E669" s="3"/>
      <c r="F669" s="3"/>
      <c r="G669" s="3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"/>
      <c r="AM669" s="3"/>
      <c r="AN669" s="3"/>
      <c r="AO669" s="3"/>
      <c r="AP669" s="3"/>
    </row>
    <row r="670" spans="1:42" ht="12.75" x14ac:dyDescent="0.2">
      <c r="A670" s="3"/>
      <c r="B670" s="3"/>
      <c r="C670" s="3"/>
      <c r="D670" s="3"/>
      <c r="E670" s="3"/>
      <c r="F670" s="3"/>
      <c r="G670" s="3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"/>
      <c r="AM670" s="3"/>
      <c r="AN670" s="3"/>
      <c r="AO670" s="3"/>
      <c r="AP670" s="3"/>
    </row>
    <row r="671" spans="1:42" ht="12.75" x14ac:dyDescent="0.2">
      <c r="A671" s="3"/>
      <c r="B671" s="3"/>
      <c r="C671" s="3"/>
      <c r="D671" s="3"/>
      <c r="E671" s="3"/>
      <c r="F671" s="3"/>
      <c r="G671" s="3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"/>
      <c r="AM671" s="3"/>
      <c r="AN671" s="3"/>
      <c r="AO671" s="3"/>
      <c r="AP671" s="3"/>
    </row>
    <row r="672" spans="1:42" ht="12.75" x14ac:dyDescent="0.2">
      <c r="A672" s="3"/>
      <c r="B672" s="3"/>
      <c r="C672" s="3"/>
      <c r="D672" s="3"/>
      <c r="E672" s="3"/>
      <c r="F672" s="3"/>
      <c r="G672" s="3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"/>
      <c r="AM672" s="3"/>
      <c r="AN672" s="3"/>
      <c r="AO672" s="3"/>
      <c r="AP672" s="3"/>
    </row>
    <row r="673" spans="1:42" ht="12.75" x14ac:dyDescent="0.2">
      <c r="A673" s="3"/>
      <c r="B673" s="3"/>
      <c r="C673" s="3"/>
      <c r="D673" s="3"/>
      <c r="E673" s="3"/>
      <c r="F673" s="3"/>
      <c r="G673" s="3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"/>
      <c r="AM673" s="3"/>
      <c r="AN673" s="3"/>
      <c r="AO673" s="3"/>
      <c r="AP673" s="3"/>
    </row>
    <row r="674" spans="1:42" ht="12.75" x14ac:dyDescent="0.2">
      <c r="A674" s="3"/>
      <c r="B674" s="3"/>
      <c r="C674" s="3"/>
      <c r="D674" s="3"/>
      <c r="E674" s="3"/>
      <c r="F674" s="3"/>
      <c r="G674" s="3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"/>
      <c r="AM674" s="3"/>
      <c r="AN674" s="3"/>
      <c r="AO674" s="3"/>
      <c r="AP674" s="3"/>
    </row>
    <row r="675" spans="1:42" ht="12.75" x14ac:dyDescent="0.2">
      <c r="A675" s="3"/>
      <c r="B675" s="3"/>
      <c r="C675" s="3"/>
      <c r="D675" s="3"/>
      <c r="E675" s="3"/>
      <c r="F675" s="3"/>
      <c r="G675" s="3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"/>
      <c r="AM675" s="3"/>
      <c r="AN675" s="3"/>
      <c r="AO675" s="3"/>
      <c r="AP675" s="3"/>
    </row>
    <row r="676" spans="1:42" ht="12.75" x14ac:dyDescent="0.2">
      <c r="A676" s="3"/>
      <c r="B676" s="3"/>
      <c r="C676" s="3"/>
      <c r="D676" s="3"/>
      <c r="E676" s="3"/>
      <c r="F676" s="3"/>
      <c r="G676" s="3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"/>
      <c r="AM676" s="3"/>
      <c r="AN676" s="3"/>
      <c r="AO676" s="3"/>
      <c r="AP676" s="3"/>
    </row>
    <row r="677" spans="1:42" ht="12.75" x14ac:dyDescent="0.2">
      <c r="A677" s="3"/>
      <c r="B677" s="3"/>
      <c r="C677" s="3"/>
      <c r="D677" s="3"/>
      <c r="E677" s="3"/>
      <c r="F677" s="3"/>
      <c r="G677" s="3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"/>
      <c r="AM677" s="3"/>
      <c r="AN677" s="3"/>
      <c r="AO677" s="3"/>
      <c r="AP677" s="3"/>
    </row>
    <row r="678" spans="1:42" ht="12.75" x14ac:dyDescent="0.2">
      <c r="A678" s="3"/>
      <c r="B678" s="3"/>
      <c r="C678" s="3"/>
      <c r="D678" s="3"/>
      <c r="E678" s="3"/>
      <c r="F678" s="3"/>
      <c r="G678" s="3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"/>
      <c r="AM678" s="3"/>
      <c r="AN678" s="3"/>
      <c r="AO678" s="3"/>
      <c r="AP678" s="3"/>
    </row>
    <row r="679" spans="1:42" ht="12.75" x14ac:dyDescent="0.2">
      <c r="A679" s="3"/>
      <c r="B679" s="3"/>
      <c r="C679" s="3"/>
      <c r="D679" s="3"/>
      <c r="E679" s="3"/>
      <c r="F679" s="3"/>
      <c r="G679" s="3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"/>
      <c r="AM679" s="3"/>
      <c r="AN679" s="3"/>
      <c r="AO679" s="3"/>
      <c r="AP679" s="3"/>
    </row>
    <row r="680" spans="1:42" ht="12.75" x14ac:dyDescent="0.2">
      <c r="A680" s="3"/>
      <c r="B680" s="3"/>
      <c r="C680" s="3"/>
      <c r="D680" s="3"/>
      <c r="E680" s="3"/>
      <c r="F680" s="3"/>
      <c r="G680" s="3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"/>
      <c r="AM680" s="3"/>
      <c r="AN680" s="3"/>
      <c r="AO680" s="3"/>
      <c r="AP680" s="3"/>
    </row>
    <row r="681" spans="1:42" ht="12.75" x14ac:dyDescent="0.2">
      <c r="A681" s="3"/>
      <c r="B681" s="3"/>
      <c r="C681" s="3"/>
      <c r="D681" s="3"/>
      <c r="E681" s="3"/>
      <c r="F681" s="3"/>
      <c r="G681" s="3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"/>
      <c r="AM681" s="3"/>
      <c r="AN681" s="3"/>
      <c r="AO681" s="3"/>
      <c r="AP681" s="3"/>
    </row>
    <row r="682" spans="1:42" ht="12.75" x14ac:dyDescent="0.2">
      <c r="A682" s="3"/>
      <c r="B682" s="3"/>
      <c r="C682" s="3"/>
      <c r="D682" s="3"/>
      <c r="E682" s="3"/>
      <c r="F682" s="3"/>
      <c r="G682" s="3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"/>
      <c r="AM682" s="3"/>
      <c r="AN682" s="3"/>
      <c r="AO682" s="3"/>
      <c r="AP682" s="3"/>
    </row>
    <row r="683" spans="1:42" ht="12.75" x14ac:dyDescent="0.2">
      <c r="A683" s="3"/>
      <c r="B683" s="3"/>
      <c r="C683" s="3"/>
      <c r="D683" s="3"/>
      <c r="E683" s="3"/>
      <c r="F683" s="3"/>
      <c r="G683" s="3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"/>
      <c r="AM683" s="3"/>
      <c r="AN683" s="3"/>
      <c r="AO683" s="3"/>
      <c r="AP683" s="3"/>
    </row>
    <row r="684" spans="1:42" ht="12.75" x14ac:dyDescent="0.2">
      <c r="A684" s="3"/>
      <c r="B684" s="3"/>
      <c r="C684" s="3"/>
      <c r="D684" s="3"/>
      <c r="E684" s="3"/>
      <c r="F684" s="3"/>
      <c r="G684" s="3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"/>
      <c r="AM684" s="3"/>
      <c r="AN684" s="3"/>
      <c r="AO684" s="3"/>
      <c r="AP684" s="3"/>
    </row>
    <row r="685" spans="1:42" ht="12.75" x14ac:dyDescent="0.2">
      <c r="A685" s="3"/>
      <c r="B685" s="3"/>
      <c r="C685" s="3"/>
      <c r="D685" s="3"/>
      <c r="E685" s="3"/>
      <c r="F685" s="3"/>
      <c r="G685" s="3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"/>
      <c r="AM685" s="3"/>
      <c r="AN685" s="3"/>
      <c r="AO685" s="3"/>
      <c r="AP685" s="3"/>
    </row>
    <row r="686" spans="1:42" ht="12.75" x14ac:dyDescent="0.2">
      <c r="A686" s="3"/>
      <c r="B686" s="3"/>
      <c r="C686" s="3"/>
      <c r="D686" s="3"/>
      <c r="E686" s="3"/>
      <c r="F686" s="3"/>
      <c r="G686" s="3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"/>
      <c r="AM686" s="3"/>
      <c r="AN686" s="3"/>
      <c r="AO686" s="3"/>
      <c r="AP686" s="3"/>
    </row>
    <row r="687" spans="1:42" ht="12.75" x14ac:dyDescent="0.2">
      <c r="A687" s="3"/>
      <c r="B687" s="3"/>
      <c r="C687" s="3"/>
      <c r="D687" s="3"/>
      <c r="E687" s="3"/>
      <c r="F687" s="3"/>
      <c r="G687" s="3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"/>
      <c r="AM687" s="3"/>
      <c r="AN687" s="3"/>
      <c r="AO687" s="3"/>
      <c r="AP687" s="3"/>
    </row>
    <row r="688" spans="1:42" ht="12.75" x14ac:dyDescent="0.2">
      <c r="A688" s="3"/>
      <c r="B688" s="3"/>
      <c r="C688" s="3"/>
      <c r="D688" s="3"/>
      <c r="E688" s="3"/>
      <c r="F688" s="3"/>
      <c r="G688" s="3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"/>
      <c r="AM688" s="3"/>
      <c r="AN688" s="3"/>
      <c r="AO688" s="3"/>
      <c r="AP688" s="3"/>
    </row>
    <row r="689" spans="1:42" ht="12.75" x14ac:dyDescent="0.2">
      <c r="A689" s="3"/>
      <c r="B689" s="3"/>
      <c r="C689" s="3"/>
      <c r="D689" s="3"/>
      <c r="E689" s="3"/>
      <c r="F689" s="3"/>
      <c r="G689" s="3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"/>
      <c r="AM689" s="3"/>
      <c r="AN689" s="3"/>
      <c r="AO689" s="3"/>
      <c r="AP689" s="3"/>
    </row>
    <row r="690" spans="1:42" ht="12.75" x14ac:dyDescent="0.2">
      <c r="A690" s="3"/>
      <c r="B690" s="3"/>
      <c r="C690" s="3"/>
      <c r="D690" s="3"/>
      <c r="E690" s="3"/>
      <c r="F690" s="3"/>
      <c r="G690" s="3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"/>
      <c r="AM690" s="3"/>
      <c r="AN690" s="3"/>
      <c r="AO690" s="3"/>
      <c r="AP690" s="3"/>
    </row>
    <row r="691" spans="1:42" ht="12.75" x14ac:dyDescent="0.2">
      <c r="A691" s="3"/>
      <c r="B691" s="3"/>
      <c r="C691" s="3"/>
      <c r="D691" s="3"/>
      <c r="E691" s="3"/>
      <c r="F691" s="3"/>
      <c r="G691" s="3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"/>
      <c r="AM691" s="3"/>
      <c r="AN691" s="3"/>
      <c r="AO691" s="3"/>
      <c r="AP691" s="3"/>
    </row>
    <row r="692" spans="1:42" ht="12.75" x14ac:dyDescent="0.2">
      <c r="A692" s="3"/>
      <c r="B692" s="3"/>
      <c r="C692" s="3"/>
      <c r="D692" s="3"/>
      <c r="E692" s="3"/>
      <c r="F692" s="3"/>
      <c r="G692" s="3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"/>
      <c r="AM692" s="3"/>
      <c r="AN692" s="3"/>
      <c r="AO692" s="3"/>
      <c r="AP692" s="3"/>
    </row>
    <row r="693" spans="1:42" ht="12.75" x14ac:dyDescent="0.2">
      <c r="A693" s="3"/>
      <c r="B693" s="3"/>
      <c r="C693" s="3"/>
      <c r="D693" s="3"/>
      <c r="E693" s="3"/>
      <c r="F693" s="3"/>
      <c r="G693" s="3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"/>
      <c r="AM693" s="3"/>
      <c r="AN693" s="3"/>
      <c r="AO693" s="3"/>
      <c r="AP693" s="3"/>
    </row>
    <row r="694" spans="1:42" ht="12.75" x14ac:dyDescent="0.2">
      <c r="A694" s="3"/>
      <c r="B694" s="3"/>
      <c r="C694" s="3"/>
      <c r="D694" s="3"/>
      <c r="E694" s="3"/>
      <c r="F694" s="3"/>
      <c r="G694" s="3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"/>
      <c r="AM694" s="3"/>
      <c r="AN694" s="3"/>
      <c r="AO694" s="3"/>
      <c r="AP694" s="3"/>
    </row>
    <row r="695" spans="1:42" ht="12.75" x14ac:dyDescent="0.2">
      <c r="A695" s="3"/>
      <c r="B695" s="3"/>
      <c r="C695" s="3"/>
      <c r="D695" s="3"/>
      <c r="E695" s="3"/>
      <c r="F695" s="3"/>
      <c r="G695" s="3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"/>
      <c r="AM695" s="3"/>
      <c r="AN695" s="3"/>
      <c r="AO695" s="3"/>
      <c r="AP695" s="3"/>
    </row>
    <row r="696" spans="1:42" ht="12.75" x14ac:dyDescent="0.2">
      <c r="A696" s="3"/>
      <c r="B696" s="3"/>
      <c r="C696" s="3"/>
      <c r="D696" s="3"/>
      <c r="E696" s="3"/>
      <c r="F696" s="3"/>
      <c r="G696" s="3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"/>
      <c r="AM696" s="3"/>
      <c r="AN696" s="3"/>
      <c r="AO696" s="3"/>
      <c r="AP696" s="3"/>
    </row>
    <row r="697" spans="1:42" ht="12.75" x14ac:dyDescent="0.2">
      <c r="A697" s="3"/>
      <c r="B697" s="3"/>
      <c r="C697" s="3"/>
      <c r="D697" s="3"/>
      <c r="E697" s="3"/>
      <c r="F697" s="3"/>
      <c r="G697" s="3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"/>
      <c r="AM697" s="3"/>
      <c r="AN697" s="3"/>
      <c r="AO697" s="3"/>
      <c r="AP697" s="3"/>
    </row>
    <row r="698" spans="1:42" ht="12.75" x14ac:dyDescent="0.2">
      <c r="A698" s="3"/>
      <c r="B698" s="3"/>
      <c r="C698" s="3"/>
      <c r="D698" s="3"/>
      <c r="E698" s="3"/>
      <c r="F698" s="3"/>
      <c r="G698" s="3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"/>
      <c r="AM698" s="3"/>
      <c r="AN698" s="3"/>
      <c r="AO698" s="3"/>
      <c r="AP698" s="3"/>
    </row>
    <row r="699" spans="1:42" ht="12.75" x14ac:dyDescent="0.2">
      <c r="A699" s="3"/>
      <c r="B699" s="3"/>
      <c r="C699" s="3"/>
      <c r="D699" s="3"/>
      <c r="E699" s="3"/>
      <c r="F699" s="3"/>
      <c r="G699" s="3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"/>
      <c r="AM699" s="3"/>
      <c r="AN699" s="3"/>
      <c r="AO699" s="3"/>
      <c r="AP699" s="3"/>
    </row>
    <row r="700" spans="1:42" ht="12.75" x14ac:dyDescent="0.2">
      <c r="A700" s="3"/>
      <c r="B700" s="3"/>
      <c r="C700" s="3"/>
      <c r="D700" s="3"/>
      <c r="E700" s="3"/>
      <c r="F700" s="3"/>
      <c r="G700" s="3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"/>
      <c r="AM700" s="3"/>
      <c r="AN700" s="3"/>
      <c r="AO700" s="3"/>
      <c r="AP700" s="3"/>
    </row>
    <row r="701" spans="1:42" ht="12.75" x14ac:dyDescent="0.2">
      <c r="A701" s="3"/>
      <c r="B701" s="3"/>
      <c r="C701" s="3"/>
      <c r="D701" s="3"/>
      <c r="E701" s="3"/>
      <c r="F701" s="3"/>
      <c r="G701" s="3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"/>
      <c r="AM701" s="3"/>
      <c r="AN701" s="3"/>
      <c r="AO701" s="3"/>
      <c r="AP701" s="3"/>
    </row>
    <row r="702" spans="1:42" ht="12.75" x14ac:dyDescent="0.2">
      <c r="A702" s="3"/>
      <c r="B702" s="3"/>
      <c r="C702" s="3"/>
      <c r="D702" s="3"/>
      <c r="E702" s="3"/>
      <c r="F702" s="3"/>
      <c r="G702" s="3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"/>
      <c r="AM702" s="3"/>
      <c r="AN702" s="3"/>
      <c r="AO702" s="3"/>
      <c r="AP702" s="3"/>
    </row>
    <row r="703" spans="1:42" ht="12.75" x14ac:dyDescent="0.2">
      <c r="A703" s="3"/>
      <c r="B703" s="3"/>
      <c r="C703" s="3"/>
      <c r="D703" s="3"/>
      <c r="E703" s="3"/>
      <c r="F703" s="3"/>
      <c r="G703" s="3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"/>
      <c r="AM703" s="3"/>
      <c r="AN703" s="3"/>
      <c r="AO703" s="3"/>
      <c r="AP703" s="3"/>
    </row>
    <row r="704" spans="1:42" ht="12.75" x14ac:dyDescent="0.2">
      <c r="A704" s="3"/>
      <c r="B704" s="3"/>
      <c r="C704" s="3"/>
      <c r="D704" s="3"/>
      <c r="E704" s="3"/>
      <c r="F704" s="3"/>
      <c r="G704" s="3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"/>
      <c r="AM704" s="3"/>
      <c r="AN704" s="3"/>
      <c r="AO704" s="3"/>
      <c r="AP704" s="3"/>
    </row>
    <row r="705" spans="1:42" ht="12.75" x14ac:dyDescent="0.2">
      <c r="A705" s="3"/>
      <c r="B705" s="3"/>
      <c r="C705" s="3"/>
      <c r="D705" s="3"/>
      <c r="E705" s="3"/>
      <c r="F705" s="3"/>
      <c r="G705" s="3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"/>
      <c r="AM705" s="3"/>
      <c r="AN705" s="3"/>
      <c r="AO705" s="3"/>
      <c r="AP705" s="3"/>
    </row>
    <row r="706" spans="1:42" ht="12.75" x14ac:dyDescent="0.2">
      <c r="A706" s="3"/>
      <c r="B706" s="3"/>
      <c r="C706" s="3"/>
      <c r="D706" s="3"/>
      <c r="E706" s="3"/>
      <c r="F706" s="3"/>
      <c r="G706" s="3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"/>
      <c r="AM706" s="3"/>
      <c r="AN706" s="3"/>
      <c r="AO706" s="3"/>
      <c r="AP706" s="3"/>
    </row>
    <row r="707" spans="1:42" ht="12.75" x14ac:dyDescent="0.2">
      <c r="A707" s="3"/>
      <c r="B707" s="3"/>
      <c r="C707" s="3"/>
      <c r="D707" s="3"/>
      <c r="E707" s="3"/>
      <c r="F707" s="3"/>
      <c r="G707" s="3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"/>
      <c r="AM707" s="3"/>
      <c r="AN707" s="3"/>
      <c r="AO707" s="3"/>
      <c r="AP707" s="3"/>
    </row>
    <row r="708" spans="1:42" ht="12.75" x14ac:dyDescent="0.2">
      <c r="A708" s="3"/>
      <c r="B708" s="3"/>
      <c r="C708" s="3"/>
      <c r="D708" s="3"/>
      <c r="E708" s="3"/>
      <c r="F708" s="3"/>
      <c r="G708" s="3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"/>
      <c r="AM708" s="3"/>
      <c r="AN708" s="3"/>
      <c r="AO708" s="3"/>
      <c r="AP708" s="3"/>
    </row>
    <row r="709" spans="1:42" ht="12.75" x14ac:dyDescent="0.2">
      <c r="A709" s="3"/>
      <c r="B709" s="3"/>
      <c r="C709" s="3"/>
      <c r="D709" s="3"/>
      <c r="E709" s="3"/>
      <c r="F709" s="3"/>
      <c r="G709" s="3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"/>
      <c r="AM709" s="3"/>
      <c r="AN709" s="3"/>
      <c r="AO709" s="3"/>
      <c r="AP709" s="3"/>
    </row>
    <row r="710" spans="1:42" ht="12.75" x14ac:dyDescent="0.2">
      <c r="A710" s="3"/>
      <c r="B710" s="3"/>
      <c r="C710" s="3"/>
      <c r="D710" s="3"/>
      <c r="E710" s="3"/>
      <c r="F710" s="3"/>
      <c r="G710" s="3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"/>
      <c r="AM710" s="3"/>
      <c r="AN710" s="3"/>
      <c r="AO710" s="3"/>
      <c r="AP710" s="3"/>
    </row>
    <row r="711" spans="1:42" ht="12.75" x14ac:dyDescent="0.2">
      <c r="A711" s="3"/>
      <c r="B711" s="3"/>
      <c r="C711" s="3"/>
      <c r="D711" s="3"/>
      <c r="E711" s="3"/>
      <c r="F711" s="3"/>
      <c r="G711" s="3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"/>
      <c r="AM711" s="3"/>
      <c r="AN711" s="3"/>
      <c r="AO711" s="3"/>
      <c r="AP711" s="3"/>
    </row>
    <row r="712" spans="1:42" ht="12.75" x14ac:dyDescent="0.2">
      <c r="A712" s="3"/>
      <c r="B712" s="3"/>
      <c r="C712" s="3"/>
      <c r="D712" s="3"/>
      <c r="E712" s="3"/>
      <c r="F712" s="3"/>
      <c r="G712" s="3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"/>
      <c r="AM712" s="3"/>
      <c r="AN712" s="3"/>
      <c r="AO712" s="3"/>
      <c r="AP712" s="3"/>
    </row>
    <row r="713" spans="1:42" ht="12.75" x14ac:dyDescent="0.2">
      <c r="A713" s="3"/>
      <c r="B713" s="3"/>
      <c r="C713" s="3"/>
      <c r="D713" s="3"/>
      <c r="E713" s="3"/>
      <c r="F713" s="3"/>
      <c r="G713" s="3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"/>
      <c r="AM713" s="3"/>
      <c r="AN713" s="3"/>
      <c r="AO713" s="3"/>
      <c r="AP713" s="3"/>
    </row>
    <row r="714" spans="1:42" ht="12.75" x14ac:dyDescent="0.2">
      <c r="A714" s="3"/>
      <c r="B714" s="3"/>
      <c r="C714" s="3"/>
      <c r="D714" s="3"/>
      <c r="E714" s="3"/>
      <c r="F714" s="3"/>
      <c r="G714" s="3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"/>
      <c r="AM714" s="3"/>
      <c r="AN714" s="3"/>
      <c r="AO714" s="3"/>
      <c r="AP714" s="3"/>
    </row>
    <row r="715" spans="1:42" ht="12.75" x14ac:dyDescent="0.2">
      <c r="A715" s="3"/>
      <c r="B715" s="3"/>
      <c r="C715" s="3"/>
      <c r="D715" s="3"/>
      <c r="E715" s="3"/>
      <c r="F715" s="3"/>
      <c r="G715" s="3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"/>
      <c r="AM715" s="3"/>
      <c r="AN715" s="3"/>
      <c r="AO715" s="3"/>
      <c r="AP715" s="3"/>
    </row>
    <row r="716" spans="1:42" ht="12.75" x14ac:dyDescent="0.2">
      <c r="A716" s="3"/>
      <c r="B716" s="3"/>
      <c r="C716" s="3"/>
      <c r="D716" s="3"/>
      <c r="E716" s="3"/>
      <c r="F716" s="3"/>
      <c r="G716" s="3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"/>
      <c r="AM716" s="3"/>
      <c r="AN716" s="3"/>
      <c r="AO716" s="3"/>
      <c r="AP716" s="3"/>
    </row>
    <row r="717" spans="1:42" ht="12.75" x14ac:dyDescent="0.2">
      <c r="A717" s="3"/>
      <c r="B717" s="3"/>
      <c r="C717" s="3"/>
      <c r="D717" s="3"/>
      <c r="E717" s="3"/>
      <c r="F717" s="3"/>
      <c r="G717" s="3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"/>
      <c r="AM717" s="3"/>
      <c r="AN717" s="3"/>
      <c r="AO717" s="3"/>
      <c r="AP717" s="3"/>
    </row>
    <row r="718" spans="1:42" ht="12.75" x14ac:dyDescent="0.2">
      <c r="A718" s="3"/>
      <c r="B718" s="3"/>
      <c r="C718" s="3"/>
      <c r="D718" s="3"/>
      <c r="E718" s="3"/>
      <c r="F718" s="3"/>
      <c r="G718" s="3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"/>
      <c r="AM718" s="3"/>
      <c r="AN718" s="3"/>
      <c r="AO718" s="3"/>
      <c r="AP718" s="3"/>
    </row>
    <row r="719" spans="1:42" ht="12.75" x14ac:dyDescent="0.2">
      <c r="A719" s="3"/>
      <c r="B719" s="3"/>
      <c r="C719" s="3"/>
      <c r="D719" s="3"/>
      <c r="E719" s="3"/>
      <c r="F719" s="3"/>
      <c r="G719" s="3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"/>
      <c r="AM719" s="3"/>
      <c r="AN719" s="3"/>
      <c r="AO719" s="3"/>
      <c r="AP719" s="3"/>
    </row>
    <row r="720" spans="1:42" ht="12.75" x14ac:dyDescent="0.2">
      <c r="A720" s="3"/>
      <c r="B720" s="3"/>
      <c r="C720" s="3"/>
      <c r="D720" s="3"/>
      <c r="E720" s="3"/>
      <c r="F720" s="3"/>
      <c r="G720" s="3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"/>
      <c r="AM720" s="3"/>
      <c r="AN720" s="3"/>
      <c r="AO720" s="3"/>
      <c r="AP720" s="3"/>
    </row>
    <row r="721" spans="1:42" ht="12.75" x14ac:dyDescent="0.2">
      <c r="A721" s="3"/>
      <c r="B721" s="3"/>
      <c r="C721" s="3"/>
      <c r="D721" s="3"/>
      <c r="E721" s="3"/>
      <c r="F721" s="3"/>
      <c r="G721" s="3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"/>
      <c r="AM721" s="3"/>
      <c r="AN721" s="3"/>
      <c r="AO721" s="3"/>
      <c r="AP721" s="3"/>
    </row>
    <row r="722" spans="1:42" ht="12.75" x14ac:dyDescent="0.2">
      <c r="A722" s="3"/>
      <c r="B722" s="3"/>
      <c r="C722" s="3"/>
      <c r="D722" s="3"/>
      <c r="E722" s="3"/>
      <c r="F722" s="3"/>
      <c r="G722" s="3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"/>
      <c r="AM722" s="3"/>
      <c r="AN722" s="3"/>
      <c r="AO722" s="3"/>
      <c r="AP722" s="3"/>
    </row>
    <row r="723" spans="1:42" ht="12.75" x14ac:dyDescent="0.2">
      <c r="A723" s="3"/>
      <c r="B723" s="3"/>
      <c r="C723" s="3"/>
      <c r="D723" s="3"/>
      <c r="E723" s="3"/>
      <c r="F723" s="3"/>
      <c r="G723" s="3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"/>
      <c r="AM723" s="3"/>
      <c r="AN723" s="3"/>
      <c r="AO723" s="3"/>
      <c r="AP723" s="3"/>
    </row>
    <row r="724" spans="1:42" ht="12.75" x14ac:dyDescent="0.2">
      <c r="A724" s="3"/>
      <c r="B724" s="3"/>
      <c r="C724" s="3"/>
      <c r="D724" s="3"/>
      <c r="E724" s="3"/>
      <c r="F724" s="3"/>
      <c r="G724" s="3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"/>
      <c r="AM724" s="3"/>
      <c r="AN724" s="3"/>
      <c r="AO724" s="3"/>
      <c r="AP724" s="3"/>
    </row>
    <row r="725" spans="1:42" ht="12.75" x14ac:dyDescent="0.2">
      <c r="A725" s="3"/>
      <c r="B725" s="3"/>
      <c r="C725" s="3"/>
      <c r="D725" s="3"/>
      <c r="E725" s="3"/>
      <c r="F725" s="3"/>
      <c r="G725" s="3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"/>
      <c r="AM725" s="3"/>
      <c r="AN725" s="3"/>
      <c r="AO725" s="3"/>
      <c r="AP725" s="3"/>
    </row>
    <row r="726" spans="1:42" ht="12.75" x14ac:dyDescent="0.2">
      <c r="A726" s="3"/>
      <c r="B726" s="3"/>
      <c r="C726" s="3"/>
      <c r="D726" s="3"/>
      <c r="E726" s="3"/>
      <c r="F726" s="3"/>
      <c r="G726" s="3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"/>
      <c r="AM726" s="3"/>
      <c r="AN726" s="3"/>
      <c r="AO726" s="3"/>
      <c r="AP726" s="3"/>
    </row>
    <row r="727" spans="1:42" ht="12.75" x14ac:dyDescent="0.2">
      <c r="A727" s="3"/>
      <c r="B727" s="3"/>
      <c r="C727" s="3"/>
      <c r="D727" s="3"/>
      <c r="E727" s="3"/>
      <c r="F727" s="3"/>
      <c r="G727" s="3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"/>
      <c r="AM727" s="3"/>
      <c r="AN727" s="3"/>
      <c r="AO727" s="3"/>
      <c r="AP727" s="3"/>
    </row>
    <row r="728" spans="1:42" ht="12.75" x14ac:dyDescent="0.2">
      <c r="A728" s="3"/>
      <c r="B728" s="3"/>
      <c r="C728" s="3"/>
      <c r="D728" s="3"/>
      <c r="E728" s="3"/>
      <c r="F728" s="3"/>
      <c r="G728" s="3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"/>
      <c r="AM728" s="3"/>
      <c r="AN728" s="3"/>
      <c r="AO728" s="3"/>
      <c r="AP728" s="3"/>
    </row>
    <row r="729" spans="1:42" ht="12.75" x14ac:dyDescent="0.2">
      <c r="A729" s="3"/>
      <c r="B729" s="3"/>
      <c r="C729" s="3"/>
      <c r="D729" s="3"/>
      <c r="E729" s="3"/>
      <c r="F729" s="3"/>
      <c r="G729" s="3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"/>
      <c r="AM729" s="3"/>
      <c r="AN729" s="3"/>
      <c r="AO729" s="3"/>
      <c r="AP729" s="3"/>
    </row>
    <row r="730" spans="1:42" ht="12.75" x14ac:dyDescent="0.2">
      <c r="A730" s="3"/>
      <c r="B730" s="3"/>
      <c r="C730" s="3"/>
      <c r="D730" s="3"/>
      <c r="E730" s="3"/>
      <c r="F730" s="3"/>
      <c r="G730" s="3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"/>
      <c r="AM730" s="3"/>
      <c r="AN730" s="3"/>
      <c r="AO730" s="3"/>
      <c r="AP730" s="3"/>
    </row>
    <row r="731" spans="1:42" ht="12.75" x14ac:dyDescent="0.2">
      <c r="A731" s="3"/>
      <c r="B731" s="3"/>
      <c r="C731" s="3"/>
      <c r="D731" s="3"/>
      <c r="E731" s="3"/>
      <c r="F731" s="3"/>
      <c r="G731" s="3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"/>
      <c r="AM731" s="3"/>
      <c r="AN731" s="3"/>
      <c r="AO731" s="3"/>
      <c r="AP731" s="3"/>
    </row>
    <row r="732" spans="1:42" ht="12.75" x14ac:dyDescent="0.2">
      <c r="A732" s="3"/>
      <c r="B732" s="3"/>
      <c r="C732" s="3"/>
      <c r="D732" s="3"/>
      <c r="E732" s="3"/>
      <c r="F732" s="3"/>
      <c r="G732" s="3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"/>
      <c r="AM732" s="3"/>
      <c r="AN732" s="3"/>
      <c r="AO732" s="3"/>
      <c r="AP732" s="3"/>
    </row>
    <row r="733" spans="1:42" ht="12.75" x14ac:dyDescent="0.2">
      <c r="A733" s="3"/>
      <c r="B733" s="3"/>
      <c r="C733" s="3"/>
      <c r="D733" s="3"/>
      <c r="E733" s="3"/>
      <c r="F733" s="3"/>
      <c r="G733" s="3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"/>
      <c r="AM733" s="3"/>
      <c r="AN733" s="3"/>
      <c r="AO733" s="3"/>
      <c r="AP733" s="3"/>
    </row>
    <row r="734" spans="1:42" ht="12.75" x14ac:dyDescent="0.2">
      <c r="A734" s="3"/>
      <c r="B734" s="3"/>
      <c r="C734" s="3"/>
      <c r="D734" s="3"/>
      <c r="E734" s="3"/>
      <c r="F734" s="3"/>
      <c r="G734" s="3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"/>
      <c r="AM734" s="3"/>
      <c r="AN734" s="3"/>
      <c r="AO734" s="3"/>
      <c r="AP734" s="3"/>
    </row>
    <row r="735" spans="1:42" ht="12.75" x14ac:dyDescent="0.2">
      <c r="A735" s="3"/>
      <c r="B735" s="3"/>
      <c r="C735" s="3"/>
      <c r="D735" s="3"/>
      <c r="E735" s="3"/>
      <c r="F735" s="3"/>
      <c r="G735" s="3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"/>
      <c r="AM735" s="3"/>
      <c r="AN735" s="3"/>
      <c r="AO735" s="3"/>
      <c r="AP735" s="3"/>
    </row>
    <row r="736" spans="1:42" ht="12.75" x14ac:dyDescent="0.2">
      <c r="A736" s="3"/>
      <c r="B736" s="3"/>
      <c r="C736" s="3"/>
      <c r="D736" s="3"/>
      <c r="E736" s="3"/>
      <c r="F736" s="3"/>
      <c r="G736" s="3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"/>
      <c r="AM736" s="3"/>
      <c r="AN736" s="3"/>
      <c r="AO736" s="3"/>
      <c r="AP736" s="3"/>
    </row>
    <row r="737" spans="1:42" ht="12.75" x14ac:dyDescent="0.2">
      <c r="A737" s="3"/>
      <c r="B737" s="3"/>
      <c r="C737" s="3"/>
      <c r="D737" s="3"/>
      <c r="E737" s="3"/>
      <c r="F737" s="3"/>
      <c r="G737" s="3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"/>
      <c r="AM737" s="3"/>
      <c r="AN737" s="3"/>
      <c r="AO737" s="3"/>
      <c r="AP737" s="3"/>
    </row>
    <row r="738" spans="1:42" ht="12.75" x14ac:dyDescent="0.2">
      <c r="A738" s="3"/>
      <c r="B738" s="3"/>
      <c r="C738" s="3"/>
      <c r="D738" s="3"/>
      <c r="E738" s="3"/>
      <c r="F738" s="3"/>
      <c r="G738" s="3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"/>
      <c r="AM738" s="3"/>
      <c r="AN738" s="3"/>
      <c r="AO738" s="3"/>
      <c r="AP738" s="3"/>
    </row>
    <row r="739" spans="1:42" ht="12.75" x14ac:dyDescent="0.2">
      <c r="A739" s="3"/>
      <c r="B739" s="3"/>
      <c r="C739" s="3"/>
      <c r="D739" s="3"/>
      <c r="E739" s="3"/>
      <c r="F739" s="3"/>
      <c r="G739" s="3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"/>
      <c r="AM739" s="3"/>
      <c r="AN739" s="3"/>
      <c r="AO739" s="3"/>
      <c r="AP739" s="3"/>
    </row>
    <row r="740" spans="1:42" ht="12.75" x14ac:dyDescent="0.2">
      <c r="A740" s="3"/>
      <c r="B740" s="3"/>
      <c r="C740" s="3"/>
      <c r="D740" s="3"/>
      <c r="E740" s="3"/>
      <c r="F740" s="3"/>
      <c r="G740" s="3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"/>
      <c r="AM740" s="3"/>
      <c r="AN740" s="3"/>
      <c r="AO740" s="3"/>
      <c r="AP740" s="3"/>
    </row>
    <row r="741" spans="1:42" ht="12.75" x14ac:dyDescent="0.2">
      <c r="A741" s="3"/>
      <c r="B741" s="3"/>
      <c r="C741" s="3"/>
      <c r="D741" s="3"/>
      <c r="E741" s="3"/>
      <c r="F741" s="3"/>
      <c r="G741" s="3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"/>
      <c r="AM741" s="3"/>
      <c r="AN741" s="3"/>
      <c r="AO741" s="3"/>
      <c r="AP741" s="3"/>
    </row>
    <row r="742" spans="1:42" ht="12.75" x14ac:dyDescent="0.2">
      <c r="A742" s="3"/>
      <c r="B742" s="3"/>
      <c r="C742" s="3"/>
      <c r="D742" s="3"/>
      <c r="E742" s="3"/>
      <c r="F742" s="3"/>
      <c r="G742" s="3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"/>
      <c r="AM742" s="3"/>
      <c r="AN742" s="3"/>
      <c r="AO742" s="3"/>
      <c r="AP742" s="3"/>
    </row>
    <row r="743" spans="1:42" ht="12.75" x14ac:dyDescent="0.2">
      <c r="A743" s="3"/>
      <c r="B743" s="3"/>
      <c r="C743" s="3"/>
      <c r="D743" s="3"/>
      <c r="E743" s="3"/>
      <c r="F743" s="3"/>
      <c r="G743" s="3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"/>
      <c r="AM743" s="3"/>
      <c r="AN743" s="3"/>
      <c r="AO743" s="3"/>
      <c r="AP743" s="3"/>
    </row>
    <row r="744" spans="1:42" ht="12.75" x14ac:dyDescent="0.2">
      <c r="A744" s="3"/>
      <c r="B744" s="3"/>
      <c r="C744" s="3"/>
      <c r="D744" s="3"/>
      <c r="E744" s="3"/>
      <c r="F744" s="3"/>
      <c r="G744" s="3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"/>
      <c r="AM744" s="3"/>
      <c r="AN744" s="3"/>
      <c r="AO744" s="3"/>
      <c r="AP744" s="3"/>
    </row>
    <row r="745" spans="1:42" ht="12.75" x14ac:dyDescent="0.2">
      <c r="A745" s="3"/>
      <c r="B745" s="3"/>
      <c r="C745" s="3"/>
      <c r="D745" s="3"/>
      <c r="E745" s="3"/>
      <c r="F745" s="3"/>
      <c r="G745" s="3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"/>
      <c r="AM745" s="3"/>
      <c r="AN745" s="3"/>
      <c r="AO745" s="3"/>
      <c r="AP745" s="3"/>
    </row>
    <row r="746" spans="1:42" ht="12.75" x14ac:dyDescent="0.2">
      <c r="A746" s="3"/>
      <c r="B746" s="3"/>
      <c r="C746" s="3"/>
      <c r="D746" s="3"/>
      <c r="E746" s="3"/>
      <c r="F746" s="3"/>
      <c r="G746" s="3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"/>
      <c r="AM746" s="3"/>
      <c r="AN746" s="3"/>
      <c r="AO746" s="3"/>
      <c r="AP746" s="3"/>
    </row>
    <row r="747" spans="1:42" ht="12.75" x14ac:dyDescent="0.2">
      <c r="A747" s="3"/>
      <c r="B747" s="3"/>
      <c r="C747" s="3"/>
      <c r="D747" s="3"/>
      <c r="E747" s="3"/>
      <c r="F747" s="3"/>
      <c r="G747" s="3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"/>
      <c r="AM747" s="3"/>
      <c r="AN747" s="3"/>
      <c r="AO747" s="3"/>
      <c r="AP747" s="3"/>
    </row>
    <row r="748" spans="1:42" ht="12.75" x14ac:dyDescent="0.2">
      <c r="A748" s="3"/>
      <c r="B748" s="3"/>
      <c r="C748" s="3"/>
      <c r="D748" s="3"/>
      <c r="E748" s="3"/>
      <c r="F748" s="3"/>
      <c r="G748" s="3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"/>
      <c r="AM748" s="3"/>
      <c r="AN748" s="3"/>
      <c r="AO748" s="3"/>
      <c r="AP748" s="3"/>
    </row>
    <row r="749" spans="1:42" ht="12.75" x14ac:dyDescent="0.2">
      <c r="A749" s="3"/>
      <c r="B749" s="3"/>
      <c r="C749" s="3"/>
      <c r="D749" s="3"/>
      <c r="E749" s="3"/>
      <c r="F749" s="3"/>
      <c r="G749" s="3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"/>
      <c r="AM749" s="3"/>
      <c r="AN749" s="3"/>
      <c r="AO749" s="3"/>
      <c r="AP749" s="3"/>
    </row>
    <row r="750" spans="1:42" ht="12.75" x14ac:dyDescent="0.2">
      <c r="A750" s="3"/>
      <c r="B750" s="3"/>
      <c r="C750" s="3"/>
      <c r="D750" s="3"/>
      <c r="E750" s="3"/>
      <c r="F750" s="3"/>
      <c r="G750" s="3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"/>
      <c r="AM750" s="3"/>
      <c r="AN750" s="3"/>
      <c r="AO750" s="3"/>
      <c r="AP750" s="3"/>
    </row>
    <row r="751" spans="1:42" ht="12.75" x14ac:dyDescent="0.2">
      <c r="A751" s="3"/>
      <c r="B751" s="3"/>
      <c r="C751" s="3"/>
      <c r="D751" s="3"/>
      <c r="E751" s="3"/>
      <c r="F751" s="3"/>
      <c r="G751" s="3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"/>
      <c r="AM751" s="3"/>
      <c r="AN751" s="3"/>
      <c r="AO751" s="3"/>
      <c r="AP751" s="3"/>
    </row>
    <row r="752" spans="1:42" ht="12.75" x14ac:dyDescent="0.2">
      <c r="A752" s="3"/>
      <c r="B752" s="3"/>
      <c r="C752" s="3"/>
      <c r="D752" s="3"/>
      <c r="E752" s="3"/>
      <c r="F752" s="3"/>
      <c r="G752" s="3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"/>
      <c r="AM752" s="3"/>
      <c r="AN752" s="3"/>
      <c r="AO752" s="3"/>
      <c r="AP752" s="3"/>
    </row>
    <row r="753" spans="1:42" ht="12.75" x14ac:dyDescent="0.2">
      <c r="A753" s="3"/>
      <c r="B753" s="3"/>
      <c r="C753" s="3"/>
      <c r="D753" s="3"/>
      <c r="E753" s="3"/>
      <c r="F753" s="3"/>
      <c r="G753" s="3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"/>
      <c r="AM753" s="3"/>
      <c r="AN753" s="3"/>
      <c r="AO753" s="3"/>
      <c r="AP753" s="3"/>
    </row>
    <row r="754" spans="1:42" ht="12.75" x14ac:dyDescent="0.2">
      <c r="A754" s="3"/>
      <c r="B754" s="3"/>
      <c r="C754" s="3"/>
      <c r="D754" s="3"/>
      <c r="E754" s="3"/>
      <c r="F754" s="3"/>
      <c r="G754" s="3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"/>
      <c r="AM754" s="3"/>
      <c r="AN754" s="3"/>
      <c r="AO754" s="3"/>
      <c r="AP754" s="3"/>
    </row>
    <row r="755" spans="1:42" ht="12.75" x14ac:dyDescent="0.2">
      <c r="A755" s="3"/>
      <c r="B755" s="3"/>
      <c r="C755" s="3"/>
      <c r="D755" s="3"/>
      <c r="E755" s="3"/>
      <c r="F755" s="3"/>
      <c r="G755" s="3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"/>
      <c r="AM755" s="3"/>
      <c r="AN755" s="3"/>
      <c r="AO755" s="3"/>
      <c r="AP755" s="3"/>
    </row>
    <row r="756" spans="1:42" ht="12.75" x14ac:dyDescent="0.2">
      <c r="A756" s="3"/>
      <c r="B756" s="3"/>
      <c r="C756" s="3"/>
      <c r="D756" s="3"/>
      <c r="E756" s="3"/>
      <c r="F756" s="3"/>
      <c r="G756" s="3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"/>
      <c r="AM756" s="3"/>
      <c r="AN756" s="3"/>
      <c r="AO756" s="3"/>
      <c r="AP756" s="3"/>
    </row>
    <row r="757" spans="1:42" ht="12.75" x14ac:dyDescent="0.2">
      <c r="A757" s="3"/>
      <c r="B757" s="3"/>
      <c r="C757" s="3"/>
      <c r="D757" s="3"/>
      <c r="E757" s="3"/>
      <c r="F757" s="3"/>
      <c r="G757" s="3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"/>
      <c r="AM757" s="3"/>
      <c r="AN757" s="3"/>
      <c r="AO757" s="3"/>
      <c r="AP757" s="3"/>
    </row>
    <row r="758" spans="1:42" ht="12.75" x14ac:dyDescent="0.2">
      <c r="A758" s="3"/>
      <c r="B758" s="3"/>
      <c r="C758" s="3"/>
      <c r="D758" s="3"/>
      <c r="E758" s="3"/>
      <c r="F758" s="3"/>
      <c r="G758" s="3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"/>
      <c r="AM758" s="3"/>
      <c r="AN758" s="3"/>
      <c r="AO758" s="3"/>
      <c r="AP758" s="3"/>
    </row>
    <row r="759" spans="1:42" ht="12.75" x14ac:dyDescent="0.2">
      <c r="A759" s="3"/>
      <c r="B759" s="3"/>
      <c r="C759" s="3"/>
      <c r="D759" s="3"/>
      <c r="E759" s="3"/>
      <c r="F759" s="3"/>
      <c r="G759" s="3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"/>
      <c r="AM759" s="3"/>
      <c r="AN759" s="3"/>
      <c r="AO759" s="3"/>
      <c r="AP759" s="3"/>
    </row>
    <row r="760" spans="1:42" ht="12.75" x14ac:dyDescent="0.2">
      <c r="A760" s="3"/>
      <c r="B760" s="3"/>
      <c r="C760" s="3"/>
      <c r="D760" s="3"/>
      <c r="E760" s="3"/>
      <c r="F760" s="3"/>
      <c r="G760" s="3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"/>
      <c r="AM760" s="3"/>
      <c r="AN760" s="3"/>
      <c r="AO760" s="3"/>
      <c r="AP760" s="3"/>
    </row>
    <row r="761" spans="1:42" ht="12.75" x14ac:dyDescent="0.2">
      <c r="A761" s="3"/>
      <c r="B761" s="3"/>
      <c r="C761" s="3"/>
      <c r="D761" s="3"/>
      <c r="E761" s="3"/>
      <c r="F761" s="3"/>
      <c r="G761" s="3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"/>
      <c r="AM761" s="3"/>
      <c r="AN761" s="3"/>
      <c r="AO761" s="3"/>
      <c r="AP761" s="3"/>
    </row>
    <row r="762" spans="1:42" ht="12.75" x14ac:dyDescent="0.2">
      <c r="A762" s="3"/>
      <c r="B762" s="3"/>
      <c r="C762" s="3"/>
      <c r="D762" s="3"/>
      <c r="E762" s="3"/>
      <c r="F762" s="3"/>
      <c r="G762" s="3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"/>
      <c r="AM762" s="3"/>
      <c r="AN762" s="3"/>
      <c r="AO762" s="3"/>
      <c r="AP762" s="3"/>
    </row>
    <row r="763" spans="1:42" ht="12.75" x14ac:dyDescent="0.2">
      <c r="A763" s="3"/>
      <c r="B763" s="3"/>
      <c r="C763" s="3"/>
      <c r="D763" s="3"/>
      <c r="E763" s="3"/>
      <c r="F763" s="3"/>
      <c r="G763" s="3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"/>
      <c r="AM763" s="3"/>
      <c r="AN763" s="3"/>
      <c r="AO763" s="3"/>
      <c r="AP763" s="3"/>
    </row>
    <row r="764" spans="1:42" ht="12.75" x14ac:dyDescent="0.2">
      <c r="A764" s="3"/>
      <c r="B764" s="3"/>
      <c r="C764" s="3"/>
      <c r="D764" s="3"/>
      <c r="E764" s="3"/>
      <c r="F764" s="3"/>
      <c r="G764" s="3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"/>
      <c r="AM764" s="3"/>
      <c r="AN764" s="3"/>
      <c r="AO764" s="3"/>
      <c r="AP764" s="3"/>
    </row>
    <row r="765" spans="1:42" ht="12.75" x14ac:dyDescent="0.2">
      <c r="A765" s="3"/>
      <c r="B765" s="3"/>
      <c r="C765" s="3"/>
      <c r="D765" s="3"/>
      <c r="E765" s="3"/>
      <c r="F765" s="3"/>
      <c r="G765" s="3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"/>
      <c r="AM765" s="3"/>
      <c r="AN765" s="3"/>
      <c r="AO765" s="3"/>
      <c r="AP765" s="3"/>
    </row>
    <row r="766" spans="1:42" ht="12.75" x14ac:dyDescent="0.2">
      <c r="A766" s="3"/>
      <c r="B766" s="3"/>
      <c r="C766" s="3"/>
      <c r="D766" s="3"/>
      <c r="E766" s="3"/>
      <c r="F766" s="3"/>
      <c r="G766" s="3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"/>
      <c r="AM766" s="3"/>
      <c r="AN766" s="3"/>
      <c r="AO766" s="3"/>
      <c r="AP766" s="3"/>
    </row>
    <row r="767" spans="1:42" ht="12.75" x14ac:dyDescent="0.2">
      <c r="A767" s="3"/>
      <c r="B767" s="3"/>
      <c r="C767" s="3"/>
      <c r="D767" s="3"/>
      <c r="E767" s="3"/>
      <c r="F767" s="3"/>
      <c r="G767" s="3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"/>
      <c r="AM767" s="3"/>
      <c r="AN767" s="3"/>
      <c r="AO767" s="3"/>
      <c r="AP767" s="3"/>
    </row>
    <row r="768" spans="1:42" ht="12.75" x14ac:dyDescent="0.2">
      <c r="A768" s="3"/>
      <c r="B768" s="3"/>
      <c r="C768" s="3"/>
      <c r="D768" s="3"/>
      <c r="E768" s="3"/>
      <c r="F768" s="3"/>
      <c r="G768" s="3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"/>
      <c r="AM768" s="3"/>
      <c r="AN768" s="3"/>
      <c r="AO768" s="3"/>
      <c r="AP768" s="3"/>
    </row>
    <row r="769" spans="1:42" ht="12.75" x14ac:dyDescent="0.2">
      <c r="A769" s="3"/>
      <c r="B769" s="3"/>
      <c r="C769" s="3"/>
      <c r="D769" s="3"/>
      <c r="E769" s="3"/>
      <c r="F769" s="3"/>
      <c r="G769" s="3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"/>
      <c r="AM769" s="3"/>
      <c r="AN769" s="3"/>
      <c r="AO769" s="3"/>
      <c r="AP769" s="3"/>
    </row>
    <row r="770" spans="1:42" ht="12.75" x14ac:dyDescent="0.2">
      <c r="A770" s="3"/>
      <c r="B770" s="3"/>
      <c r="C770" s="3"/>
      <c r="D770" s="3"/>
      <c r="E770" s="3"/>
      <c r="F770" s="3"/>
      <c r="G770" s="3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"/>
      <c r="AM770" s="3"/>
      <c r="AN770" s="3"/>
      <c r="AO770" s="3"/>
      <c r="AP770" s="3"/>
    </row>
    <row r="771" spans="1:42" ht="12.75" x14ac:dyDescent="0.2">
      <c r="A771" s="3"/>
      <c r="B771" s="3"/>
      <c r="C771" s="3"/>
      <c r="D771" s="3"/>
      <c r="E771" s="3"/>
      <c r="F771" s="3"/>
      <c r="G771" s="3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"/>
      <c r="AM771" s="3"/>
      <c r="AN771" s="3"/>
      <c r="AO771" s="3"/>
      <c r="AP771" s="3"/>
    </row>
    <row r="772" spans="1:42" ht="12.75" x14ac:dyDescent="0.2">
      <c r="A772" s="3"/>
      <c r="B772" s="3"/>
      <c r="C772" s="3"/>
      <c r="D772" s="3"/>
      <c r="E772" s="3"/>
      <c r="F772" s="3"/>
      <c r="G772" s="3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"/>
      <c r="AM772" s="3"/>
      <c r="AN772" s="3"/>
      <c r="AO772" s="3"/>
      <c r="AP772" s="3"/>
    </row>
    <row r="773" spans="1:42" ht="12.75" x14ac:dyDescent="0.2">
      <c r="A773" s="3"/>
      <c r="B773" s="3"/>
      <c r="C773" s="3"/>
      <c r="D773" s="3"/>
      <c r="E773" s="3"/>
      <c r="F773" s="3"/>
      <c r="G773" s="3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"/>
      <c r="AM773" s="3"/>
      <c r="AN773" s="3"/>
      <c r="AO773" s="3"/>
      <c r="AP773" s="3"/>
    </row>
    <row r="774" spans="1:42" ht="12.75" x14ac:dyDescent="0.2">
      <c r="A774" s="3"/>
      <c r="B774" s="3"/>
      <c r="C774" s="3"/>
      <c r="D774" s="3"/>
      <c r="E774" s="3"/>
      <c r="F774" s="3"/>
      <c r="G774" s="3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"/>
      <c r="AM774" s="3"/>
      <c r="AN774" s="3"/>
      <c r="AO774" s="3"/>
      <c r="AP774" s="3"/>
    </row>
    <row r="775" spans="1:42" ht="12.75" x14ac:dyDescent="0.2">
      <c r="A775" s="3"/>
      <c r="B775" s="3"/>
      <c r="C775" s="3"/>
      <c r="D775" s="3"/>
      <c r="E775" s="3"/>
      <c r="F775" s="3"/>
      <c r="G775" s="3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"/>
      <c r="AM775" s="3"/>
      <c r="AN775" s="3"/>
      <c r="AO775" s="3"/>
      <c r="AP775" s="3"/>
    </row>
    <row r="776" spans="1:42" ht="12.75" x14ac:dyDescent="0.2">
      <c r="A776" s="3"/>
      <c r="B776" s="3"/>
      <c r="C776" s="3"/>
      <c r="D776" s="3"/>
      <c r="E776" s="3"/>
      <c r="F776" s="3"/>
      <c r="G776" s="3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"/>
      <c r="AM776" s="3"/>
      <c r="AN776" s="3"/>
      <c r="AO776" s="3"/>
      <c r="AP776" s="3"/>
    </row>
    <row r="777" spans="1:42" ht="12.75" x14ac:dyDescent="0.2">
      <c r="A777" s="3"/>
      <c r="B777" s="3"/>
      <c r="C777" s="3"/>
      <c r="D777" s="3"/>
      <c r="E777" s="3"/>
      <c r="F777" s="3"/>
      <c r="G777" s="3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"/>
      <c r="AM777" s="3"/>
      <c r="AN777" s="3"/>
      <c r="AO777" s="3"/>
      <c r="AP777" s="3"/>
    </row>
    <row r="778" spans="1:42" ht="12.75" x14ac:dyDescent="0.2">
      <c r="A778" s="3"/>
      <c r="B778" s="3"/>
      <c r="C778" s="3"/>
      <c r="D778" s="3"/>
      <c r="E778" s="3"/>
      <c r="F778" s="3"/>
      <c r="G778" s="3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"/>
      <c r="AM778" s="3"/>
      <c r="AN778" s="3"/>
      <c r="AO778" s="3"/>
      <c r="AP778" s="3"/>
    </row>
    <row r="779" spans="1:42" ht="12.75" x14ac:dyDescent="0.2">
      <c r="A779" s="3"/>
      <c r="B779" s="3"/>
      <c r="C779" s="3"/>
      <c r="D779" s="3"/>
      <c r="E779" s="3"/>
      <c r="F779" s="3"/>
      <c r="G779" s="3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"/>
      <c r="AM779" s="3"/>
      <c r="AN779" s="3"/>
      <c r="AO779" s="3"/>
      <c r="AP779" s="3"/>
    </row>
    <row r="780" spans="1:42" ht="12.75" x14ac:dyDescent="0.2">
      <c r="A780" s="3"/>
      <c r="B780" s="3"/>
      <c r="C780" s="3"/>
      <c r="D780" s="3"/>
      <c r="E780" s="3"/>
      <c r="F780" s="3"/>
      <c r="G780" s="3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"/>
      <c r="AM780" s="3"/>
      <c r="AN780" s="3"/>
      <c r="AO780" s="3"/>
      <c r="AP780" s="3"/>
    </row>
    <row r="781" spans="1:42" ht="12.75" x14ac:dyDescent="0.2">
      <c r="A781" s="3"/>
      <c r="B781" s="3"/>
      <c r="C781" s="3"/>
      <c r="D781" s="3"/>
      <c r="E781" s="3"/>
      <c r="F781" s="3"/>
      <c r="G781" s="3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"/>
      <c r="AM781" s="3"/>
      <c r="AN781" s="3"/>
      <c r="AO781" s="3"/>
      <c r="AP781" s="3"/>
    </row>
    <row r="782" spans="1:42" ht="12.75" x14ac:dyDescent="0.2">
      <c r="A782" s="3"/>
      <c r="B782" s="3"/>
      <c r="C782" s="3"/>
      <c r="D782" s="3"/>
      <c r="E782" s="3"/>
      <c r="F782" s="3"/>
      <c r="G782" s="3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"/>
      <c r="AM782" s="3"/>
      <c r="AN782" s="3"/>
      <c r="AO782" s="3"/>
      <c r="AP782" s="3"/>
    </row>
    <row r="783" spans="1:42" ht="12.75" x14ac:dyDescent="0.2">
      <c r="A783" s="3"/>
      <c r="B783" s="3"/>
      <c r="C783" s="3"/>
      <c r="D783" s="3"/>
      <c r="E783" s="3"/>
      <c r="F783" s="3"/>
      <c r="G783" s="3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"/>
      <c r="AM783" s="3"/>
      <c r="AN783" s="3"/>
      <c r="AO783" s="3"/>
      <c r="AP783" s="3"/>
    </row>
    <row r="784" spans="1:42" ht="12.75" x14ac:dyDescent="0.2">
      <c r="A784" s="3"/>
      <c r="B784" s="3"/>
      <c r="C784" s="3"/>
      <c r="D784" s="3"/>
      <c r="E784" s="3"/>
      <c r="F784" s="3"/>
      <c r="G784" s="3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"/>
      <c r="AM784" s="3"/>
      <c r="AN784" s="3"/>
      <c r="AO784" s="3"/>
      <c r="AP784" s="3"/>
    </row>
    <row r="785" spans="1:42" ht="12.75" x14ac:dyDescent="0.2">
      <c r="A785" s="3"/>
      <c r="B785" s="3"/>
      <c r="C785" s="3"/>
      <c r="D785" s="3"/>
      <c r="E785" s="3"/>
      <c r="F785" s="3"/>
      <c r="G785" s="3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"/>
      <c r="AM785" s="3"/>
      <c r="AN785" s="3"/>
      <c r="AO785" s="3"/>
      <c r="AP785" s="3"/>
    </row>
    <row r="786" spans="1:42" ht="12.75" x14ac:dyDescent="0.2">
      <c r="A786" s="3"/>
      <c r="B786" s="3"/>
      <c r="C786" s="3"/>
      <c r="D786" s="3"/>
      <c r="E786" s="3"/>
      <c r="F786" s="3"/>
      <c r="G786" s="3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"/>
      <c r="AM786" s="3"/>
      <c r="AN786" s="3"/>
      <c r="AO786" s="3"/>
      <c r="AP786" s="3"/>
    </row>
    <row r="787" spans="1:42" ht="12.75" x14ac:dyDescent="0.2">
      <c r="A787" s="3"/>
      <c r="B787" s="3"/>
      <c r="C787" s="3"/>
      <c r="D787" s="3"/>
      <c r="E787" s="3"/>
      <c r="F787" s="3"/>
      <c r="G787" s="3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"/>
      <c r="AM787" s="3"/>
      <c r="AN787" s="3"/>
      <c r="AO787" s="3"/>
      <c r="AP787" s="3"/>
    </row>
    <row r="788" spans="1:42" ht="12.75" x14ac:dyDescent="0.2">
      <c r="A788" s="3"/>
      <c r="B788" s="3"/>
      <c r="C788" s="3"/>
      <c r="D788" s="3"/>
      <c r="E788" s="3"/>
      <c r="F788" s="3"/>
      <c r="G788" s="3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"/>
      <c r="AM788" s="3"/>
      <c r="AN788" s="3"/>
      <c r="AO788" s="3"/>
      <c r="AP788" s="3"/>
    </row>
    <row r="789" spans="1:42" ht="12.75" x14ac:dyDescent="0.2">
      <c r="A789" s="3"/>
      <c r="B789" s="3"/>
      <c r="C789" s="3"/>
      <c r="D789" s="3"/>
      <c r="E789" s="3"/>
      <c r="F789" s="3"/>
      <c r="G789" s="3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"/>
      <c r="AM789" s="3"/>
      <c r="AN789" s="3"/>
      <c r="AO789" s="3"/>
      <c r="AP789" s="3"/>
    </row>
    <row r="790" spans="1:42" ht="12.75" x14ac:dyDescent="0.2">
      <c r="A790" s="3"/>
      <c r="B790" s="3"/>
      <c r="C790" s="3"/>
      <c r="D790" s="3"/>
      <c r="E790" s="3"/>
      <c r="F790" s="3"/>
      <c r="G790" s="3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"/>
      <c r="AM790" s="3"/>
      <c r="AN790" s="3"/>
      <c r="AO790" s="3"/>
      <c r="AP790" s="3"/>
    </row>
    <row r="791" spans="1:42" ht="12.75" x14ac:dyDescent="0.2">
      <c r="A791" s="3"/>
      <c r="B791" s="3"/>
      <c r="C791" s="3"/>
      <c r="D791" s="3"/>
      <c r="E791" s="3"/>
      <c r="F791" s="3"/>
      <c r="G791" s="3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"/>
      <c r="AM791" s="3"/>
      <c r="AN791" s="3"/>
      <c r="AO791" s="3"/>
      <c r="AP791" s="3"/>
    </row>
    <row r="792" spans="1:42" ht="12.75" x14ac:dyDescent="0.2">
      <c r="A792" s="3"/>
      <c r="B792" s="3"/>
      <c r="C792" s="3"/>
      <c r="D792" s="3"/>
      <c r="E792" s="3"/>
      <c r="F792" s="3"/>
      <c r="G792" s="3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"/>
      <c r="AM792" s="3"/>
      <c r="AN792" s="3"/>
      <c r="AO792" s="3"/>
      <c r="AP792" s="3"/>
    </row>
    <row r="793" spans="1:42" ht="12.75" x14ac:dyDescent="0.2">
      <c r="A793" s="3"/>
      <c r="B793" s="3"/>
      <c r="C793" s="3"/>
      <c r="D793" s="3"/>
      <c r="E793" s="3"/>
      <c r="F793" s="3"/>
      <c r="G793" s="3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"/>
      <c r="AM793" s="3"/>
      <c r="AN793" s="3"/>
      <c r="AO793" s="3"/>
      <c r="AP793" s="3"/>
    </row>
    <row r="794" spans="1:42" ht="12.75" x14ac:dyDescent="0.2">
      <c r="A794" s="3"/>
      <c r="B794" s="3"/>
      <c r="C794" s="3"/>
      <c r="D794" s="3"/>
      <c r="E794" s="3"/>
      <c r="F794" s="3"/>
      <c r="G794" s="3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"/>
      <c r="AM794" s="3"/>
      <c r="AN794" s="3"/>
      <c r="AO794" s="3"/>
      <c r="AP794" s="3"/>
    </row>
    <row r="795" spans="1:42" ht="12.75" x14ac:dyDescent="0.2">
      <c r="A795" s="3"/>
      <c r="B795" s="3"/>
      <c r="C795" s="3"/>
      <c r="D795" s="3"/>
      <c r="E795" s="3"/>
      <c r="F795" s="3"/>
      <c r="G795" s="3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"/>
      <c r="AM795" s="3"/>
      <c r="AN795" s="3"/>
      <c r="AO795" s="3"/>
      <c r="AP795" s="3"/>
    </row>
    <row r="796" spans="1:42" ht="12.75" x14ac:dyDescent="0.2">
      <c r="A796" s="3"/>
      <c r="B796" s="3"/>
      <c r="C796" s="3"/>
      <c r="D796" s="3"/>
      <c r="E796" s="3"/>
      <c r="F796" s="3"/>
      <c r="G796" s="3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"/>
      <c r="AM796" s="3"/>
      <c r="AN796" s="3"/>
      <c r="AO796" s="3"/>
      <c r="AP796" s="3"/>
    </row>
    <row r="797" spans="1:42" ht="12.75" x14ac:dyDescent="0.2">
      <c r="A797" s="3"/>
      <c r="B797" s="3"/>
      <c r="C797" s="3"/>
      <c r="D797" s="3"/>
      <c r="E797" s="3"/>
      <c r="F797" s="3"/>
      <c r="G797" s="3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"/>
      <c r="AM797" s="3"/>
      <c r="AN797" s="3"/>
      <c r="AO797" s="3"/>
      <c r="AP797" s="3"/>
    </row>
    <row r="798" spans="1:42" ht="12.75" x14ac:dyDescent="0.2">
      <c r="A798" s="3"/>
      <c r="B798" s="3"/>
      <c r="C798" s="3"/>
      <c r="D798" s="3"/>
      <c r="E798" s="3"/>
      <c r="F798" s="3"/>
      <c r="G798" s="3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"/>
      <c r="AM798" s="3"/>
      <c r="AN798" s="3"/>
      <c r="AO798" s="3"/>
      <c r="AP798" s="3"/>
    </row>
    <row r="799" spans="1:42" ht="12.75" x14ac:dyDescent="0.2">
      <c r="A799" s="3"/>
      <c r="B799" s="3"/>
      <c r="C799" s="3"/>
      <c r="D799" s="3"/>
      <c r="E799" s="3"/>
      <c r="F799" s="3"/>
      <c r="G799" s="3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"/>
      <c r="AM799" s="3"/>
      <c r="AN799" s="3"/>
      <c r="AO799" s="3"/>
      <c r="AP799" s="3"/>
    </row>
    <row r="800" spans="1:42" ht="12.75" x14ac:dyDescent="0.2">
      <c r="A800" s="3"/>
      <c r="B800" s="3"/>
      <c r="C800" s="3"/>
      <c r="D800" s="3"/>
      <c r="E800" s="3"/>
      <c r="F800" s="3"/>
      <c r="G800" s="3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"/>
      <c r="AM800" s="3"/>
      <c r="AN800" s="3"/>
      <c r="AO800" s="3"/>
      <c r="AP800" s="3"/>
    </row>
    <row r="801" spans="1:42" ht="12.75" x14ac:dyDescent="0.2">
      <c r="A801" s="3"/>
      <c r="B801" s="3"/>
      <c r="C801" s="3"/>
      <c r="D801" s="3"/>
      <c r="E801" s="3"/>
      <c r="F801" s="3"/>
      <c r="G801" s="3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"/>
      <c r="AM801" s="3"/>
      <c r="AN801" s="3"/>
      <c r="AO801" s="3"/>
      <c r="AP801" s="3"/>
    </row>
    <row r="802" spans="1:42" ht="12.75" x14ac:dyDescent="0.2">
      <c r="A802" s="3"/>
      <c r="B802" s="3"/>
      <c r="C802" s="3"/>
      <c r="D802" s="3"/>
      <c r="E802" s="3"/>
      <c r="F802" s="3"/>
      <c r="G802" s="3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"/>
      <c r="AM802" s="3"/>
      <c r="AN802" s="3"/>
      <c r="AO802" s="3"/>
      <c r="AP802" s="3"/>
    </row>
    <row r="803" spans="1:42" ht="12.75" x14ac:dyDescent="0.2">
      <c r="A803" s="3"/>
      <c r="B803" s="3"/>
      <c r="C803" s="3"/>
      <c r="D803" s="3"/>
      <c r="E803" s="3"/>
      <c r="F803" s="3"/>
      <c r="G803" s="3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"/>
      <c r="AM803" s="3"/>
      <c r="AN803" s="3"/>
      <c r="AO803" s="3"/>
      <c r="AP803" s="3"/>
    </row>
    <row r="804" spans="1:42" ht="12.75" x14ac:dyDescent="0.2">
      <c r="A804" s="3"/>
      <c r="B804" s="3"/>
      <c r="C804" s="3"/>
      <c r="D804" s="3"/>
      <c r="E804" s="3"/>
      <c r="F804" s="3"/>
      <c r="G804" s="3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"/>
      <c r="AM804" s="3"/>
      <c r="AN804" s="3"/>
      <c r="AO804" s="3"/>
      <c r="AP804" s="3"/>
    </row>
    <row r="805" spans="1:42" ht="12.75" x14ac:dyDescent="0.2">
      <c r="A805" s="3"/>
      <c r="B805" s="3"/>
      <c r="C805" s="3"/>
      <c r="D805" s="3"/>
      <c r="E805" s="3"/>
      <c r="F805" s="3"/>
      <c r="G805" s="3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"/>
      <c r="AM805" s="3"/>
      <c r="AN805" s="3"/>
      <c r="AO805" s="3"/>
      <c r="AP805" s="3"/>
    </row>
    <row r="806" spans="1:42" ht="12.75" x14ac:dyDescent="0.2">
      <c r="A806" s="3"/>
      <c r="B806" s="3"/>
      <c r="C806" s="3"/>
      <c r="D806" s="3"/>
      <c r="E806" s="3"/>
      <c r="F806" s="3"/>
      <c r="G806" s="3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"/>
      <c r="AM806" s="3"/>
      <c r="AN806" s="3"/>
      <c r="AO806" s="3"/>
      <c r="AP806" s="3"/>
    </row>
    <row r="807" spans="1:42" ht="12.75" x14ac:dyDescent="0.2">
      <c r="A807" s="3"/>
      <c r="B807" s="3"/>
      <c r="C807" s="3"/>
      <c r="D807" s="3"/>
      <c r="E807" s="3"/>
      <c r="F807" s="3"/>
      <c r="G807" s="3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"/>
      <c r="AM807" s="3"/>
      <c r="AN807" s="3"/>
      <c r="AO807" s="3"/>
      <c r="AP807" s="3"/>
    </row>
    <row r="808" spans="1:42" ht="12.75" x14ac:dyDescent="0.2">
      <c r="A808" s="3"/>
      <c r="B808" s="3"/>
      <c r="C808" s="3"/>
      <c r="D808" s="3"/>
      <c r="E808" s="3"/>
      <c r="F808" s="3"/>
      <c r="G808" s="3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"/>
      <c r="AM808" s="3"/>
      <c r="AN808" s="3"/>
      <c r="AO808" s="3"/>
      <c r="AP808" s="3"/>
    </row>
    <row r="809" spans="1:42" ht="12.75" x14ac:dyDescent="0.2">
      <c r="A809" s="3"/>
      <c r="B809" s="3"/>
      <c r="C809" s="3"/>
      <c r="D809" s="3"/>
      <c r="E809" s="3"/>
      <c r="F809" s="3"/>
      <c r="G809" s="3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"/>
      <c r="AM809" s="3"/>
      <c r="AN809" s="3"/>
      <c r="AO809" s="3"/>
      <c r="AP809" s="3"/>
    </row>
    <row r="810" spans="1:42" ht="12.75" x14ac:dyDescent="0.2">
      <c r="A810" s="3"/>
      <c r="B810" s="3"/>
      <c r="C810" s="3"/>
      <c r="D810" s="3"/>
      <c r="E810" s="3"/>
      <c r="F810" s="3"/>
      <c r="G810" s="3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"/>
      <c r="AM810" s="3"/>
      <c r="AN810" s="3"/>
      <c r="AO810" s="3"/>
      <c r="AP810" s="3"/>
    </row>
    <row r="811" spans="1:42" ht="12.75" x14ac:dyDescent="0.2">
      <c r="A811" s="3"/>
      <c r="B811" s="3"/>
      <c r="C811" s="3"/>
      <c r="D811" s="3"/>
      <c r="E811" s="3"/>
      <c r="F811" s="3"/>
      <c r="G811" s="3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"/>
      <c r="AM811" s="3"/>
      <c r="AN811" s="3"/>
      <c r="AO811" s="3"/>
      <c r="AP811" s="3"/>
    </row>
    <row r="812" spans="1:42" ht="12.75" x14ac:dyDescent="0.2">
      <c r="A812" s="3"/>
      <c r="B812" s="3"/>
      <c r="C812" s="3"/>
      <c r="D812" s="3"/>
      <c r="E812" s="3"/>
      <c r="F812" s="3"/>
      <c r="G812" s="3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"/>
      <c r="AM812" s="3"/>
      <c r="AN812" s="3"/>
      <c r="AO812" s="3"/>
      <c r="AP812" s="3"/>
    </row>
    <row r="813" spans="1:42" ht="12.75" x14ac:dyDescent="0.2">
      <c r="A813" s="3"/>
      <c r="B813" s="3"/>
      <c r="C813" s="3"/>
      <c r="D813" s="3"/>
      <c r="E813" s="3"/>
      <c r="F813" s="3"/>
      <c r="G813" s="3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"/>
      <c r="AM813" s="3"/>
      <c r="AN813" s="3"/>
      <c r="AO813" s="3"/>
      <c r="AP813" s="3"/>
    </row>
    <row r="814" spans="1:42" ht="12.75" x14ac:dyDescent="0.2">
      <c r="A814" s="3"/>
      <c r="B814" s="3"/>
      <c r="C814" s="3"/>
      <c r="D814" s="3"/>
      <c r="E814" s="3"/>
      <c r="F814" s="3"/>
      <c r="G814" s="3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"/>
      <c r="AM814" s="3"/>
      <c r="AN814" s="3"/>
      <c r="AO814" s="3"/>
      <c r="AP814" s="3"/>
    </row>
    <row r="815" spans="1:42" ht="12.75" x14ac:dyDescent="0.2">
      <c r="A815" s="3"/>
      <c r="B815" s="3"/>
      <c r="C815" s="3"/>
      <c r="D815" s="3"/>
      <c r="E815" s="3"/>
      <c r="F815" s="3"/>
      <c r="G815" s="3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"/>
      <c r="AM815" s="3"/>
      <c r="AN815" s="3"/>
      <c r="AO815" s="3"/>
      <c r="AP815" s="3"/>
    </row>
    <row r="816" spans="1:42" ht="12.75" x14ac:dyDescent="0.2">
      <c r="A816" s="3"/>
      <c r="B816" s="3"/>
      <c r="C816" s="3"/>
      <c r="D816" s="3"/>
      <c r="E816" s="3"/>
      <c r="F816" s="3"/>
      <c r="G816" s="3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"/>
      <c r="AM816" s="3"/>
      <c r="AN816" s="3"/>
      <c r="AO816" s="3"/>
      <c r="AP816" s="3"/>
    </row>
    <row r="817" spans="1:42" ht="12.75" x14ac:dyDescent="0.2">
      <c r="A817" s="3"/>
      <c r="B817" s="3"/>
      <c r="C817" s="3"/>
      <c r="D817" s="3"/>
      <c r="E817" s="3"/>
      <c r="F817" s="3"/>
      <c r="G817" s="3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"/>
      <c r="AM817" s="3"/>
      <c r="AN817" s="3"/>
      <c r="AO817" s="3"/>
      <c r="AP817" s="3"/>
    </row>
    <row r="818" spans="1:42" ht="12.75" x14ac:dyDescent="0.2">
      <c r="A818" s="3"/>
      <c r="B818" s="3"/>
      <c r="C818" s="3"/>
      <c r="D818" s="3"/>
      <c r="E818" s="3"/>
      <c r="F818" s="3"/>
      <c r="G818" s="3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"/>
      <c r="AM818" s="3"/>
      <c r="AN818" s="3"/>
      <c r="AO818" s="3"/>
      <c r="AP818" s="3"/>
    </row>
    <row r="819" spans="1:42" ht="12.75" x14ac:dyDescent="0.2">
      <c r="A819" s="3"/>
      <c r="B819" s="3"/>
      <c r="C819" s="3"/>
      <c r="D819" s="3"/>
      <c r="E819" s="3"/>
      <c r="F819" s="3"/>
      <c r="G819" s="3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"/>
      <c r="AM819" s="3"/>
      <c r="AN819" s="3"/>
      <c r="AO819" s="3"/>
      <c r="AP819" s="3"/>
    </row>
    <row r="820" spans="1:42" ht="12.75" x14ac:dyDescent="0.2">
      <c r="A820" s="3"/>
      <c r="B820" s="3"/>
      <c r="C820" s="3"/>
      <c r="D820" s="3"/>
      <c r="E820" s="3"/>
      <c r="F820" s="3"/>
      <c r="G820" s="3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"/>
      <c r="AM820" s="3"/>
      <c r="AN820" s="3"/>
      <c r="AO820" s="3"/>
      <c r="AP820" s="3"/>
    </row>
    <row r="821" spans="1:42" ht="12.75" x14ac:dyDescent="0.2">
      <c r="A821" s="3"/>
      <c r="B821" s="3"/>
      <c r="C821" s="3"/>
      <c r="D821" s="3"/>
      <c r="E821" s="3"/>
      <c r="F821" s="3"/>
      <c r="G821" s="3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"/>
      <c r="AM821" s="3"/>
      <c r="AN821" s="3"/>
      <c r="AO821" s="3"/>
      <c r="AP821" s="3"/>
    </row>
    <row r="822" spans="1:42" ht="12.75" x14ac:dyDescent="0.2">
      <c r="A822" s="3"/>
      <c r="B822" s="3"/>
      <c r="C822" s="3"/>
      <c r="D822" s="3"/>
      <c r="E822" s="3"/>
      <c r="F822" s="3"/>
      <c r="G822" s="3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"/>
      <c r="AM822" s="3"/>
      <c r="AN822" s="3"/>
      <c r="AO822" s="3"/>
      <c r="AP822" s="3"/>
    </row>
    <row r="823" spans="1:42" ht="12.75" x14ac:dyDescent="0.2">
      <c r="A823" s="3"/>
      <c r="B823" s="3"/>
      <c r="C823" s="3"/>
      <c r="D823" s="3"/>
      <c r="E823" s="3"/>
      <c r="F823" s="3"/>
      <c r="G823" s="3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"/>
      <c r="AM823" s="3"/>
      <c r="AN823" s="3"/>
      <c r="AO823" s="3"/>
      <c r="AP823" s="3"/>
    </row>
    <row r="824" spans="1:42" ht="12.75" x14ac:dyDescent="0.2">
      <c r="A824" s="3"/>
      <c r="B824" s="3"/>
      <c r="C824" s="3"/>
      <c r="D824" s="3"/>
      <c r="E824" s="3"/>
      <c r="F824" s="3"/>
      <c r="G824" s="3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"/>
      <c r="AM824" s="3"/>
      <c r="AN824" s="3"/>
      <c r="AO824" s="3"/>
      <c r="AP824" s="3"/>
    </row>
    <row r="825" spans="1:42" ht="12.75" x14ac:dyDescent="0.2">
      <c r="A825" s="3"/>
      <c r="B825" s="3"/>
      <c r="C825" s="3"/>
      <c r="D825" s="3"/>
      <c r="E825" s="3"/>
      <c r="F825" s="3"/>
      <c r="G825" s="3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"/>
      <c r="AM825" s="3"/>
      <c r="AN825" s="3"/>
      <c r="AO825" s="3"/>
      <c r="AP825" s="3"/>
    </row>
    <row r="826" spans="1:42" ht="12.75" x14ac:dyDescent="0.2">
      <c r="A826" s="3"/>
      <c r="B826" s="3"/>
      <c r="C826" s="3"/>
      <c r="D826" s="3"/>
      <c r="E826" s="3"/>
      <c r="F826" s="3"/>
      <c r="G826" s="3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"/>
      <c r="AM826" s="3"/>
      <c r="AN826" s="3"/>
      <c r="AO826" s="3"/>
      <c r="AP826" s="3"/>
    </row>
    <row r="827" spans="1:42" ht="12.75" x14ac:dyDescent="0.2">
      <c r="A827" s="3"/>
      <c r="B827" s="3"/>
      <c r="C827" s="3"/>
      <c r="D827" s="3"/>
      <c r="E827" s="3"/>
      <c r="F827" s="3"/>
      <c r="G827" s="3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"/>
      <c r="AM827" s="3"/>
      <c r="AN827" s="3"/>
      <c r="AO827" s="3"/>
      <c r="AP827" s="3"/>
    </row>
    <row r="828" spans="1:42" ht="12.75" x14ac:dyDescent="0.2">
      <c r="A828" s="3"/>
      <c r="B828" s="3"/>
      <c r="C828" s="3"/>
      <c r="D828" s="3"/>
      <c r="E828" s="3"/>
      <c r="F828" s="3"/>
      <c r="G828" s="3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"/>
      <c r="AM828" s="3"/>
      <c r="AN828" s="3"/>
      <c r="AO828" s="3"/>
      <c r="AP828" s="3"/>
    </row>
    <row r="829" spans="1:42" ht="12.75" x14ac:dyDescent="0.2">
      <c r="A829" s="3"/>
      <c r="B829" s="3"/>
      <c r="C829" s="3"/>
      <c r="D829" s="3"/>
      <c r="E829" s="3"/>
      <c r="F829" s="3"/>
      <c r="G829" s="3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"/>
      <c r="AM829" s="3"/>
      <c r="AN829" s="3"/>
      <c r="AO829" s="3"/>
      <c r="AP829" s="3"/>
    </row>
    <row r="830" spans="1:42" ht="12.75" x14ac:dyDescent="0.2">
      <c r="A830" s="3"/>
      <c r="B830" s="3"/>
      <c r="C830" s="3"/>
      <c r="D830" s="3"/>
      <c r="E830" s="3"/>
      <c r="F830" s="3"/>
      <c r="G830" s="3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"/>
      <c r="AM830" s="3"/>
      <c r="AN830" s="3"/>
      <c r="AO830" s="3"/>
      <c r="AP830" s="3"/>
    </row>
    <row r="831" spans="1:42" ht="12.75" x14ac:dyDescent="0.2">
      <c r="A831" s="3"/>
      <c r="B831" s="3"/>
      <c r="C831" s="3"/>
      <c r="D831" s="3"/>
      <c r="E831" s="3"/>
      <c r="F831" s="3"/>
      <c r="G831" s="3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"/>
      <c r="AM831" s="3"/>
      <c r="AN831" s="3"/>
      <c r="AO831" s="3"/>
      <c r="AP831" s="3"/>
    </row>
    <row r="832" spans="1:42" ht="12.75" x14ac:dyDescent="0.2">
      <c r="A832" s="3"/>
      <c r="B832" s="3"/>
      <c r="C832" s="3"/>
      <c r="D832" s="3"/>
      <c r="E832" s="3"/>
      <c r="F832" s="3"/>
      <c r="G832" s="3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"/>
      <c r="AM832" s="3"/>
      <c r="AN832" s="3"/>
      <c r="AO832" s="3"/>
      <c r="AP832" s="3"/>
    </row>
    <row r="833" spans="1:42" ht="12.75" x14ac:dyDescent="0.2">
      <c r="A833" s="3"/>
      <c r="B833" s="3"/>
      <c r="C833" s="3"/>
      <c r="D833" s="3"/>
      <c r="E833" s="3"/>
      <c r="F833" s="3"/>
      <c r="G833" s="3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"/>
      <c r="AM833" s="3"/>
      <c r="AN833" s="3"/>
      <c r="AO833" s="3"/>
      <c r="AP833" s="3"/>
    </row>
    <row r="834" spans="1:42" ht="12.75" x14ac:dyDescent="0.2">
      <c r="A834" s="3"/>
      <c r="B834" s="3"/>
      <c r="C834" s="3"/>
      <c r="D834" s="3"/>
      <c r="E834" s="3"/>
      <c r="F834" s="3"/>
      <c r="G834" s="3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"/>
      <c r="AM834" s="3"/>
      <c r="AN834" s="3"/>
      <c r="AO834" s="3"/>
      <c r="AP834" s="3"/>
    </row>
    <row r="835" spans="1:42" ht="12.75" x14ac:dyDescent="0.2">
      <c r="A835" s="3"/>
      <c r="B835" s="3"/>
      <c r="C835" s="3"/>
      <c r="D835" s="3"/>
      <c r="E835" s="3"/>
      <c r="F835" s="3"/>
      <c r="G835" s="3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"/>
      <c r="AM835" s="3"/>
      <c r="AN835" s="3"/>
      <c r="AO835" s="3"/>
      <c r="AP835" s="3"/>
    </row>
    <row r="836" spans="1:42" ht="12.75" x14ac:dyDescent="0.2">
      <c r="A836" s="3"/>
      <c r="B836" s="3"/>
      <c r="C836" s="3"/>
      <c r="D836" s="3"/>
      <c r="E836" s="3"/>
      <c r="F836" s="3"/>
      <c r="G836" s="3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"/>
      <c r="AM836" s="3"/>
      <c r="AN836" s="3"/>
      <c r="AO836" s="3"/>
      <c r="AP836" s="3"/>
    </row>
    <row r="837" spans="1:42" ht="12.75" x14ac:dyDescent="0.2">
      <c r="A837" s="3"/>
      <c r="B837" s="3"/>
      <c r="C837" s="3"/>
      <c r="D837" s="3"/>
      <c r="E837" s="3"/>
      <c r="F837" s="3"/>
      <c r="G837" s="3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"/>
      <c r="AM837" s="3"/>
      <c r="AN837" s="3"/>
      <c r="AO837" s="3"/>
      <c r="AP837" s="3"/>
    </row>
    <row r="838" spans="1:42" ht="12.75" x14ac:dyDescent="0.2">
      <c r="A838" s="3"/>
      <c r="B838" s="3"/>
      <c r="C838" s="3"/>
      <c r="D838" s="3"/>
      <c r="E838" s="3"/>
      <c r="F838" s="3"/>
      <c r="G838" s="3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"/>
      <c r="AM838" s="3"/>
      <c r="AN838" s="3"/>
      <c r="AO838" s="3"/>
      <c r="AP838" s="3"/>
    </row>
    <row r="839" spans="1:42" ht="12.75" x14ac:dyDescent="0.2">
      <c r="A839" s="3"/>
      <c r="B839" s="3"/>
      <c r="C839" s="3"/>
      <c r="D839" s="3"/>
      <c r="E839" s="3"/>
      <c r="F839" s="3"/>
      <c r="G839" s="3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"/>
      <c r="AM839" s="3"/>
      <c r="AN839" s="3"/>
      <c r="AO839" s="3"/>
      <c r="AP839" s="3"/>
    </row>
    <row r="840" spans="1:42" ht="12.75" x14ac:dyDescent="0.2">
      <c r="A840" s="3"/>
      <c r="B840" s="3"/>
      <c r="C840" s="3"/>
      <c r="D840" s="3"/>
      <c r="E840" s="3"/>
      <c r="F840" s="3"/>
      <c r="G840" s="3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"/>
      <c r="AM840" s="3"/>
      <c r="AN840" s="3"/>
      <c r="AO840" s="3"/>
      <c r="AP840" s="3"/>
    </row>
    <row r="841" spans="1:42" ht="12.75" x14ac:dyDescent="0.2">
      <c r="A841" s="3"/>
      <c r="B841" s="3"/>
      <c r="C841" s="3"/>
      <c r="D841" s="3"/>
      <c r="E841" s="3"/>
      <c r="F841" s="3"/>
      <c r="G841" s="3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"/>
      <c r="AM841" s="3"/>
      <c r="AN841" s="3"/>
      <c r="AO841" s="3"/>
      <c r="AP841" s="3"/>
    </row>
    <row r="842" spans="1:42" ht="12.75" x14ac:dyDescent="0.2">
      <c r="A842" s="3"/>
      <c r="B842" s="3"/>
      <c r="C842" s="3"/>
      <c r="D842" s="3"/>
      <c r="E842" s="3"/>
      <c r="F842" s="3"/>
      <c r="G842" s="3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"/>
      <c r="AM842" s="3"/>
      <c r="AN842" s="3"/>
      <c r="AO842" s="3"/>
      <c r="AP842" s="3"/>
    </row>
    <row r="843" spans="1:42" ht="12.75" x14ac:dyDescent="0.2">
      <c r="A843" s="3"/>
      <c r="B843" s="3"/>
      <c r="C843" s="3"/>
      <c r="D843" s="3"/>
      <c r="E843" s="3"/>
      <c r="F843" s="3"/>
      <c r="G843" s="3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"/>
      <c r="AM843" s="3"/>
      <c r="AN843" s="3"/>
      <c r="AO843" s="3"/>
      <c r="AP843" s="3"/>
    </row>
    <row r="844" spans="1:42" ht="12.75" x14ac:dyDescent="0.2">
      <c r="A844" s="3"/>
      <c r="B844" s="3"/>
      <c r="C844" s="3"/>
      <c r="D844" s="3"/>
      <c r="E844" s="3"/>
      <c r="F844" s="3"/>
      <c r="G844" s="3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"/>
      <c r="AM844" s="3"/>
      <c r="AN844" s="3"/>
      <c r="AO844" s="3"/>
      <c r="AP844" s="3"/>
    </row>
    <row r="845" spans="1:42" ht="12.75" x14ac:dyDescent="0.2">
      <c r="A845" s="3"/>
      <c r="B845" s="3"/>
      <c r="C845" s="3"/>
      <c r="D845" s="3"/>
      <c r="E845" s="3"/>
      <c r="F845" s="3"/>
      <c r="G845" s="3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"/>
      <c r="AM845" s="3"/>
      <c r="AN845" s="3"/>
      <c r="AO845" s="3"/>
      <c r="AP845" s="3"/>
    </row>
    <row r="846" spans="1:42" ht="12.75" x14ac:dyDescent="0.2">
      <c r="A846" s="3"/>
      <c r="B846" s="3"/>
      <c r="C846" s="3"/>
      <c r="D846" s="3"/>
      <c r="E846" s="3"/>
      <c r="F846" s="3"/>
      <c r="G846" s="3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"/>
      <c r="AM846" s="3"/>
      <c r="AN846" s="3"/>
      <c r="AO846" s="3"/>
      <c r="AP846" s="3"/>
    </row>
    <row r="847" spans="1:42" ht="12.75" x14ac:dyDescent="0.2">
      <c r="A847" s="3"/>
      <c r="B847" s="3"/>
      <c r="C847" s="3"/>
      <c r="D847" s="3"/>
      <c r="E847" s="3"/>
      <c r="F847" s="3"/>
      <c r="G847" s="3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"/>
      <c r="AM847" s="3"/>
      <c r="AN847" s="3"/>
      <c r="AO847" s="3"/>
      <c r="AP847" s="3"/>
    </row>
    <row r="848" spans="1:42" ht="12.75" x14ac:dyDescent="0.2">
      <c r="A848" s="3"/>
      <c r="B848" s="3"/>
      <c r="C848" s="3"/>
      <c r="D848" s="3"/>
      <c r="E848" s="3"/>
      <c r="F848" s="3"/>
      <c r="G848" s="3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"/>
      <c r="AM848" s="3"/>
      <c r="AN848" s="3"/>
      <c r="AO848" s="3"/>
      <c r="AP848" s="3"/>
    </row>
    <row r="849" spans="1:42" ht="12.75" x14ac:dyDescent="0.2">
      <c r="A849" s="3"/>
      <c r="B849" s="3"/>
      <c r="C849" s="3"/>
      <c r="D849" s="3"/>
      <c r="E849" s="3"/>
      <c r="F849" s="3"/>
      <c r="G849" s="3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"/>
      <c r="AM849" s="3"/>
      <c r="AN849" s="3"/>
      <c r="AO849" s="3"/>
      <c r="AP849" s="3"/>
    </row>
    <row r="850" spans="1:42" ht="12.75" x14ac:dyDescent="0.2">
      <c r="A850" s="3"/>
      <c r="B850" s="3"/>
      <c r="C850" s="3"/>
      <c r="D850" s="3"/>
      <c r="E850" s="3"/>
      <c r="F850" s="3"/>
      <c r="G850" s="3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"/>
      <c r="AM850" s="3"/>
      <c r="AN850" s="3"/>
      <c r="AO850" s="3"/>
      <c r="AP850" s="3"/>
    </row>
    <row r="851" spans="1:42" ht="12.75" x14ac:dyDescent="0.2">
      <c r="A851" s="3"/>
      <c r="B851" s="3"/>
      <c r="C851" s="3"/>
      <c r="D851" s="3"/>
      <c r="E851" s="3"/>
      <c r="F851" s="3"/>
      <c r="G851" s="3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"/>
      <c r="AM851" s="3"/>
      <c r="AN851" s="3"/>
      <c r="AO851" s="3"/>
      <c r="AP851" s="3"/>
    </row>
    <row r="852" spans="1:42" ht="12.75" x14ac:dyDescent="0.2">
      <c r="A852" s="3"/>
      <c r="B852" s="3"/>
      <c r="C852" s="3"/>
      <c r="D852" s="3"/>
      <c r="E852" s="3"/>
      <c r="F852" s="3"/>
      <c r="G852" s="3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"/>
      <c r="AM852" s="3"/>
      <c r="AN852" s="3"/>
      <c r="AO852" s="3"/>
      <c r="AP852" s="3"/>
    </row>
    <row r="853" spans="1:42" ht="12.75" x14ac:dyDescent="0.2">
      <c r="A853" s="3"/>
      <c r="B853" s="3"/>
      <c r="C853" s="3"/>
      <c r="D853" s="3"/>
      <c r="E853" s="3"/>
      <c r="F853" s="3"/>
      <c r="G853" s="3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"/>
      <c r="AM853" s="3"/>
      <c r="AN853" s="3"/>
      <c r="AO853" s="3"/>
      <c r="AP853" s="3"/>
    </row>
    <row r="854" spans="1:42" ht="12.75" x14ac:dyDescent="0.2">
      <c r="A854" s="3"/>
      <c r="B854" s="3"/>
      <c r="C854" s="3"/>
      <c r="D854" s="3"/>
      <c r="E854" s="3"/>
      <c r="F854" s="3"/>
      <c r="G854" s="3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"/>
      <c r="AM854" s="3"/>
      <c r="AN854" s="3"/>
      <c r="AO854" s="3"/>
      <c r="AP854" s="3"/>
    </row>
    <row r="855" spans="1:42" ht="12.75" x14ac:dyDescent="0.2">
      <c r="A855" s="3"/>
      <c r="B855" s="3"/>
      <c r="C855" s="3"/>
      <c r="D855" s="3"/>
      <c r="E855" s="3"/>
      <c r="F855" s="3"/>
      <c r="G855" s="3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"/>
      <c r="AM855" s="3"/>
      <c r="AN855" s="3"/>
      <c r="AO855" s="3"/>
      <c r="AP855" s="3"/>
    </row>
    <row r="856" spans="1:42" ht="12.75" x14ac:dyDescent="0.2">
      <c r="A856" s="3"/>
      <c r="B856" s="3"/>
      <c r="C856" s="3"/>
      <c r="D856" s="3"/>
      <c r="E856" s="3"/>
      <c r="F856" s="3"/>
      <c r="G856" s="3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"/>
      <c r="AM856" s="3"/>
      <c r="AN856" s="3"/>
      <c r="AO856" s="3"/>
      <c r="AP856" s="3"/>
    </row>
    <row r="857" spans="1:42" ht="12.75" x14ac:dyDescent="0.2">
      <c r="A857" s="3"/>
      <c r="B857" s="3"/>
      <c r="C857" s="3"/>
      <c r="D857" s="3"/>
      <c r="E857" s="3"/>
      <c r="F857" s="3"/>
      <c r="G857" s="3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"/>
      <c r="AM857" s="3"/>
      <c r="AN857" s="3"/>
      <c r="AO857" s="3"/>
      <c r="AP857" s="3"/>
    </row>
    <row r="858" spans="1:42" ht="12.75" x14ac:dyDescent="0.2">
      <c r="A858" s="3"/>
      <c r="B858" s="3"/>
      <c r="C858" s="3"/>
      <c r="D858" s="3"/>
      <c r="E858" s="3"/>
      <c r="F858" s="3"/>
      <c r="G858" s="3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"/>
      <c r="AM858" s="3"/>
      <c r="AN858" s="3"/>
      <c r="AO858" s="3"/>
      <c r="AP858" s="3"/>
    </row>
    <row r="859" spans="1:42" ht="12.75" x14ac:dyDescent="0.2">
      <c r="A859" s="3"/>
      <c r="B859" s="3"/>
      <c r="C859" s="3"/>
      <c r="D859" s="3"/>
      <c r="E859" s="3"/>
      <c r="F859" s="3"/>
      <c r="G859" s="3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"/>
      <c r="AM859" s="3"/>
      <c r="AN859" s="3"/>
      <c r="AO859" s="3"/>
      <c r="AP859" s="3"/>
    </row>
    <row r="860" spans="1:42" ht="12.75" x14ac:dyDescent="0.2">
      <c r="A860" s="3"/>
      <c r="B860" s="3"/>
      <c r="C860" s="3"/>
      <c r="D860" s="3"/>
      <c r="E860" s="3"/>
      <c r="F860" s="3"/>
      <c r="G860" s="3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"/>
      <c r="AM860" s="3"/>
      <c r="AN860" s="3"/>
      <c r="AO860" s="3"/>
      <c r="AP860" s="3"/>
    </row>
    <row r="861" spans="1:42" ht="12.75" x14ac:dyDescent="0.2">
      <c r="A861" s="3"/>
      <c r="B861" s="3"/>
      <c r="C861" s="3"/>
      <c r="D861" s="3"/>
      <c r="E861" s="3"/>
      <c r="F861" s="3"/>
      <c r="G861" s="3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"/>
      <c r="AM861" s="3"/>
      <c r="AN861" s="3"/>
      <c r="AO861" s="3"/>
      <c r="AP861" s="3"/>
    </row>
    <row r="862" spans="1:42" ht="12.75" x14ac:dyDescent="0.2">
      <c r="A862" s="3"/>
      <c r="B862" s="3"/>
      <c r="C862" s="3"/>
      <c r="D862" s="3"/>
      <c r="E862" s="3"/>
      <c r="F862" s="3"/>
      <c r="G862" s="3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"/>
      <c r="AM862" s="3"/>
      <c r="AN862" s="3"/>
      <c r="AO862" s="3"/>
      <c r="AP862" s="3"/>
    </row>
    <row r="863" spans="1:42" ht="12.75" x14ac:dyDescent="0.2">
      <c r="A863" s="3"/>
      <c r="B863" s="3"/>
      <c r="C863" s="3"/>
      <c r="D863" s="3"/>
      <c r="E863" s="3"/>
      <c r="F863" s="3"/>
      <c r="G863" s="3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"/>
      <c r="AM863" s="3"/>
      <c r="AN863" s="3"/>
      <c r="AO863" s="3"/>
      <c r="AP863" s="3"/>
    </row>
    <row r="864" spans="1:42" ht="12.75" x14ac:dyDescent="0.2">
      <c r="A864" s="3"/>
      <c r="B864" s="3"/>
      <c r="C864" s="3"/>
      <c r="D864" s="3"/>
      <c r="E864" s="3"/>
      <c r="F864" s="3"/>
      <c r="G864" s="3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"/>
      <c r="AM864" s="3"/>
      <c r="AN864" s="3"/>
      <c r="AO864" s="3"/>
      <c r="AP864" s="3"/>
    </row>
    <row r="865" spans="1:42" ht="12.75" x14ac:dyDescent="0.2">
      <c r="A865" s="3"/>
      <c r="B865" s="3"/>
      <c r="C865" s="3"/>
      <c r="D865" s="3"/>
      <c r="E865" s="3"/>
      <c r="F865" s="3"/>
      <c r="G865" s="3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"/>
      <c r="AM865" s="3"/>
      <c r="AN865" s="3"/>
      <c r="AO865" s="3"/>
      <c r="AP865" s="3"/>
    </row>
    <row r="866" spans="1:42" ht="12.75" x14ac:dyDescent="0.2">
      <c r="A866" s="3"/>
      <c r="B866" s="3"/>
      <c r="C866" s="3"/>
      <c r="D866" s="3"/>
      <c r="E866" s="3"/>
      <c r="F866" s="3"/>
      <c r="G866" s="3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"/>
      <c r="AM866" s="3"/>
      <c r="AN866" s="3"/>
      <c r="AO866" s="3"/>
      <c r="AP866" s="3"/>
    </row>
    <row r="867" spans="1:42" ht="12.75" x14ac:dyDescent="0.2">
      <c r="A867" s="3"/>
      <c r="B867" s="3"/>
      <c r="C867" s="3"/>
      <c r="D867" s="3"/>
      <c r="E867" s="3"/>
      <c r="F867" s="3"/>
      <c r="G867" s="3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"/>
      <c r="AM867" s="3"/>
      <c r="AN867" s="3"/>
      <c r="AO867" s="3"/>
      <c r="AP867" s="3"/>
    </row>
    <row r="868" spans="1:42" ht="12.75" x14ac:dyDescent="0.2">
      <c r="A868" s="3"/>
      <c r="B868" s="3"/>
      <c r="C868" s="3"/>
      <c r="D868" s="3"/>
      <c r="E868" s="3"/>
      <c r="F868" s="3"/>
      <c r="G868" s="3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"/>
      <c r="AM868" s="3"/>
      <c r="AN868" s="3"/>
      <c r="AO868" s="3"/>
      <c r="AP868" s="3"/>
    </row>
    <row r="869" spans="1:42" ht="12.75" x14ac:dyDescent="0.2">
      <c r="A869" s="3"/>
      <c r="B869" s="3"/>
      <c r="C869" s="3"/>
      <c r="D869" s="3"/>
      <c r="E869" s="3"/>
      <c r="F869" s="3"/>
      <c r="G869" s="3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"/>
      <c r="AM869" s="3"/>
      <c r="AN869" s="3"/>
      <c r="AO869" s="3"/>
      <c r="AP869" s="3"/>
    </row>
    <row r="870" spans="1:42" ht="12.75" x14ac:dyDescent="0.2">
      <c r="A870" s="3"/>
      <c r="B870" s="3"/>
      <c r="C870" s="3"/>
      <c r="D870" s="3"/>
      <c r="E870" s="3"/>
      <c r="F870" s="3"/>
      <c r="G870" s="3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"/>
      <c r="AM870" s="3"/>
      <c r="AN870" s="3"/>
      <c r="AO870" s="3"/>
      <c r="AP870" s="3"/>
    </row>
    <row r="871" spans="1:42" ht="12.75" x14ac:dyDescent="0.2">
      <c r="A871" s="3"/>
      <c r="B871" s="3"/>
      <c r="C871" s="3"/>
      <c r="D871" s="3"/>
      <c r="E871" s="3"/>
      <c r="F871" s="3"/>
      <c r="G871" s="3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"/>
      <c r="AM871" s="3"/>
      <c r="AN871" s="3"/>
      <c r="AO871" s="3"/>
      <c r="AP871" s="3"/>
    </row>
    <row r="872" spans="1:42" ht="12.75" x14ac:dyDescent="0.2">
      <c r="A872" s="3"/>
      <c r="B872" s="3"/>
      <c r="C872" s="3"/>
      <c r="D872" s="3"/>
      <c r="E872" s="3"/>
      <c r="F872" s="3"/>
      <c r="G872" s="3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"/>
      <c r="AM872" s="3"/>
      <c r="AN872" s="3"/>
      <c r="AO872" s="3"/>
      <c r="AP872" s="3"/>
    </row>
    <row r="873" spans="1:42" ht="12.75" x14ac:dyDescent="0.2">
      <c r="A873" s="3"/>
      <c r="B873" s="3"/>
      <c r="C873" s="3"/>
      <c r="D873" s="3"/>
      <c r="E873" s="3"/>
      <c r="F873" s="3"/>
      <c r="G873" s="3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"/>
      <c r="AM873" s="3"/>
      <c r="AN873" s="3"/>
      <c r="AO873" s="3"/>
      <c r="AP873" s="3"/>
    </row>
    <row r="874" spans="1:42" ht="12.75" x14ac:dyDescent="0.2">
      <c r="A874" s="3"/>
      <c r="B874" s="3"/>
      <c r="C874" s="3"/>
      <c r="D874" s="3"/>
      <c r="E874" s="3"/>
      <c r="F874" s="3"/>
      <c r="G874" s="3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"/>
      <c r="AM874" s="3"/>
      <c r="AN874" s="3"/>
      <c r="AO874" s="3"/>
      <c r="AP874" s="3"/>
    </row>
    <row r="875" spans="1:42" ht="12.75" x14ac:dyDescent="0.2">
      <c r="A875" s="3"/>
      <c r="B875" s="3"/>
      <c r="C875" s="3"/>
      <c r="D875" s="3"/>
      <c r="E875" s="3"/>
      <c r="F875" s="3"/>
      <c r="G875" s="3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"/>
      <c r="AM875" s="3"/>
      <c r="AN875" s="3"/>
      <c r="AO875" s="3"/>
      <c r="AP875" s="3"/>
    </row>
    <row r="876" spans="1:42" ht="12.75" x14ac:dyDescent="0.2">
      <c r="A876" s="3"/>
      <c r="B876" s="3"/>
      <c r="C876" s="3"/>
      <c r="D876" s="3"/>
      <c r="E876" s="3"/>
      <c r="F876" s="3"/>
      <c r="G876" s="3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"/>
      <c r="AM876" s="3"/>
      <c r="AN876" s="3"/>
      <c r="AO876" s="3"/>
      <c r="AP876" s="3"/>
    </row>
    <row r="877" spans="1:42" ht="12.75" x14ac:dyDescent="0.2">
      <c r="A877" s="3"/>
      <c r="B877" s="3"/>
      <c r="C877" s="3"/>
      <c r="D877" s="3"/>
      <c r="E877" s="3"/>
      <c r="F877" s="3"/>
      <c r="G877" s="3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"/>
      <c r="AM877" s="3"/>
      <c r="AN877" s="3"/>
      <c r="AO877" s="3"/>
      <c r="AP877" s="3"/>
    </row>
    <row r="878" spans="1:42" ht="12.75" x14ac:dyDescent="0.2">
      <c r="A878" s="3"/>
      <c r="B878" s="3"/>
      <c r="C878" s="3"/>
      <c r="D878" s="3"/>
      <c r="E878" s="3"/>
      <c r="F878" s="3"/>
      <c r="G878" s="3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"/>
      <c r="AM878" s="3"/>
      <c r="AN878" s="3"/>
      <c r="AO878" s="3"/>
      <c r="AP878" s="3"/>
    </row>
    <row r="879" spans="1:42" ht="12.75" x14ac:dyDescent="0.2">
      <c r="A879" s="3"/>
      <c r="B879" s="3"/>
      <c r="C879" s="3"/>
      <c r="D879" s="3"/>
      <c r="E879" s="3"/>
      <c r="F879" s="3"/>
      <c r="G879" s="3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"/>
      <c r="AM879" s="3"/>
      <c r="AN879" s="3"/>
      <c r="AO879" s="3"/>
      <c r="AP879" s="3"/>
    </row>
    <row r="880" spans="1:42" ht="12.75" x14ac:dyDescent="0.2">
      <c r="A880" s="3"/>
      <c r="B880" s="3"/>
      <c r="C880" s="3"/>
      <c r="D880" s="3"/>
      <c r="E880" s="3"/>
      <c r="F880" s="3"/>
      <c r="G880" s="3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"/>
      <c r="AM880" s="3"/>
      <c r="AN880" s="3"/>
      <c r="AO880" s="3"/>
      <c r="AP880" s="3"/>
    </row>
    <row r="881" spans="1:42" ht="12.75" x14ac:dyDescent="0.2">
      <c r="A881" s="3"/>
      <c r="B881" s="3"/>
      <c r="C881" s="3"/>
      <c r="D881" s="3"/>
      <c r="E881" s="3"/>
      <c r="F881" s="3"/>
      <c r="G881" s="3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"/>
      <c r="AM881" s="3"/>
      <c r="AN881" s="3"/>
      <c r="AO881" s="3"/>
      <c r="AP881" s="3"/>
    </row>
    <row r="882" spans="1:42" ht="12.75" x14ac:dyDescent="0.2">
      <c r="A882" s="3"/>
      <c r="B882" s="3"/>
      <c r="C882" s="3"/>
      <c r="D882" s="3"/>
      <c r="E882" s="3"/>
      <c r="F882" s="3"/>
      <c r="G882" s="3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"/>
      <c r="AM882" s="3"/>
      <c r="AN882" s="3"/>
      <c r="AO882" s="3"/>
      <c r="AP882" s="3"/>
    </row>
    <row r="883" spans="1:42" ht="12.75" x14ac:dyDescent="0.2">
      <c r="A883" s="3"/>
      <c r="B883" s="3"/>
      <c r="C883" s="3"/>
      <c r="D883" s="3"/>
      <c r="E883" s="3"/>
      <c r="F883" s="3"/>
      <c r="G883" s="3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"/>
      <c r="AM883" s="3"/>
      <c r="AN883" s="3"/>
      <c r="AO883" s="3"/>
      <c r="AP883" s="3"/>
    </row>
    <row r="884" spans="1:42" ht="12.75" x14ac:dyDescent="0.2">
      <c r="A884" s="3"/>
      <c r="B884" s="3"/>
      <c r="C884" s="3"/>
      <c r="D884" s="3"/>
      <c r="E884" s="3"/>
      <c r="F884" s="3"/>
      <c r="G884" s="3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"/>
      <c r="AM884" s="3"/>
      <c r="AN884" s="3"/>
      <c r="AO884" s="3"/>
      <c r="AP884" s="3"/>
    </row>
    <row r="885" spans="1:42" ht="12.75" x14ac:dyDescent="0.2">
      <c r="A885" s="3"/>
      <c r="B885" s="3"/>
      <c r="C885" s="3"/>
      <c r="D885" s="3"/>
      <c r="E885" s="3"/>
      <c r="F885" s="3"/>
      <c r="G885" s="3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"/>
      <c r="AM885" s="3"/>
      <c r="AN885" s="3"/>
      <c r="AO885" s="3"/>
      <c r="AP885" s="3"/>
    </row>
    <row r="886" spans="1:42" ht="12.75" x14ac:dyDescent="0.2">
      <c r="A886" s="3"/>
      <c r="B886" s="3"/>
      <c r="C886" s="3"/>
      <c r="D886" s="3"/>
      <c r="E886" s="3"/>
      <c r="F886" s="3"/>
      <c r="G886" s="3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"/>
      <c r="AM886" s="3"/>
      <c r="AN886" s="3"/>
      <c r="AO886" s="3"/>
      <c r="AP886" s="3"/>
    </row>
    <row r="887" spans="1:42" ht="12.75" x14ac:dyDescent="0.2">
      <c r="A887" s="3"/>
      <c r="B887" s="3"/>
      <c r="C887" s="3"/>
      <c r="D887" s="3"/>
      <c r="E887" s="3"/>
      <c r="F887" s="3"/>
      <c r="G887" s="3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"/>
      <c r="AM887" s="3"/>
      <c r="AN887" s="3"/>
      <c r="AO887" s="3"/>
      <c r="AP887" s="3"/>
    </row>
    <row r="888" spans="1:42" ht="12.75" x14ac:dyDescent="0.2">
      <c r="A888" s="3"/>
      <c r="B888" s="3"/>
      <c r="C888" s="3"/>
      <c r="D888" s="3"/>
      <c r="E888" s="3"/>
      <c r="F888" s="3"/>
      <c r="G888" s="3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"/>
      <c r="AM888" s="3"/>
      <c r="AN888" s="3"/>
      <c r="AO888" s="3"/>
      <c r="AP888" s="3"/>
    </row>
    <row r="889" spans="1:42" ht="12.75" x14ac:dyDescent="0.2">
      <c r="A889" s="3"/>
      <c r="B889" s="3"/>
      <c r="C889" s="3"/>
      <c r="D889" s="3"/>
      <c r="E889" s="3"/>
      <c r="F889" s="3"/>
      <c r="G889" s="3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"/>
      <c r="AM889" s="3"/>
      <c r="AN889" s="3"/>
      <c r="AO889" s="3"/>
      <c r="AP889" s="3"/>
    </row>
    <row r="890" spans="1:42" ht="12.75" x14ac:dyDescent="0.2">
      <c r="A890" s="3"/>
      <c r="B890" s="3"/>
      <c r="C890" s="3"/>
      <c r="D890" s="3"/>
      <c r="E890" s="3"/>
      <c r="F890" s="3"/>
      <c r="G890" s="3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"/>
      <c r="AM890" s="3"/>
      <c r="AN890" s="3"/>
      <c r="AO890" s="3"/>
      <c r="AP890" s="3"/>
    </row>
    <row r="891" spans="1:42" ht="12.75" x14ac:dyDescent="0.2">
      <c r="A891" s="3"/>
      <c r="B891" s="3"/>
      <c r="C891" s="3"/>
      <c r="D891" s="3"/>
      <c r="E891" s="3"/>
      <c r="F891" s="3"/>
      <c r="G891" s="3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"/>
      <c r="AM891" s="3"/>
      <c r="AN891" s="3"/>
      <c r="AO891" s="3"/>
      <c r="AP891" s="3"/>
    </row>
    <row r="892" spans="1:42" ht="12.75" x14ac:dyDescent="0.2">
      <c r="A892" s="3"/>
      <c r="B892" s="3"/>
      <c r="C892" s="3"/>
      <c r="D892" s="3"/>
      <c r="E892" s="3"/>
      <c r="F892" s="3"/>
      <c r="G892" s="3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"/>
      <c r="AM892" s="3"/>
      <c r="AN892" s="3"/>
      <c r="AO892" s="3"/>
      <c r="AP892" s="3"/>
    </row>
    <row r="893" spans="1:42" ht="12.75" x14ac:dyDescent="0.2">
      <c r="A893" s="3"/>
      <c r="B893" s="3"/>
      <c r="C893" s="3"/>
      <c r="D893" s="3"/>
      <c r="E893" s="3"/>
      <c r="F893" s="3"/>
      <c r="G893" s="3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"/>
      <c r="AM893" s="3"/>
      <c r="AN893" s="3"/>
      <c r="AO893" s="3"/>
      <c r="AP893" s="3"/>
    </row>
    <row r="894" spans="1:42" ht="12.75" x14ac:dyDescent="0.2">
      <c r="A894" s="3"/>
      <c r="B894" s="3"/>
      <c r="C894" s="3"/>
      <c r="D894" s="3"/>
      <c r="E894" s="3"/>
      <c r="F894" s="3"/>
      <c r="G894" s="3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"/>
      <c r="AM894" s="3"/>
      <c r="AN894" s="3"/>
      <c r="AO894" s="3"/>
      <c r="AP894" s="3"/>
    </row>
    <row r="895" spans="1:42" ht="12.75" x14ac:dyDescent="0.2">
      <c r="A895" s="3"/>
      <c r="B895" s="3"/>
      <c r="C895" s="3"/>
      <c r="D895" s="3"/>
      <c r="E895" s="3"/>
      <c r="F895" s="3"/>
      <c r="G895" s="3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"/>
      <c r="AM895" s="3"/>
      <c r="AN895" s="3"/>
      <c r="AO895" s="3"/>
      <c r="AP895" s="3"/>
    </row>
    <row r="896" spans="1:42" ht="12.75" x14ac:dyDescent="0.2">
      <c r="A896" s="3"/>
      <c r="B896" s="3"/>
      <c r="C896" s="3"/>
      <c r="D896" s="3"/>
      <c r="E896" s="3"/>
      <c r="F896" s="3"/>
      <c r="G896" s="3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"/>
      <c r="AM896" s="3"/>
      <c r="AN896" s="3"/>
      <c r="AO896" s="3"/>
      <c r="AP896" s="3"/>
    </row>
    <row r="897" spans="1:42" ht="12.75" x14ac:dyDescent="0.2">
      <c r="A897" s="3"/>
      <c r="B897" s="3"/>
      <c r="C897" s="3"/>
      <c r="D897" s="3"/>
      <c r="E897" s="3"/>
      <c r="F897" s="3"/>
      <c r="G897" s="3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"/>
      <c r="AM897" s="3"/>
      <c r="AN897" s="3"/>
      <c r="AO897" s="3"/>
      <c r="AP897" s="3"/>
    </row>
    <row r="898" spans="1:42" ht="12.75" x14ac:dyDescent="0.2">
      <c r="A898" s="3"/>
      <c r="B898" s="3"/>
      <c r="C898" s="3"/>
      <c r="D898" s="3"/>
      <c r="E898" s="3"/>
      <c r="F898" s="3"/>
      <c r="G898" s="3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"/>
      <c r="AM898" s="3"/>
      <c r="AN898" s="3"/>
      <c r="AO898" s="3"/>
      <c r="AP898" s="3"/>
    </row>
    <row r="899" spans="1:42" ht="12.75" x14ac:dyDescent="0.2">
      <c r="A899" s="3"/>
      <c r="B899" s="3"/>
      <c r="C899" s="3"/>
      <c r="D899" s="3"/>
      <c r="E899" s="3"/>
      <c r="F899" s="3"/>
      <c r="G899" s="3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"/>
      <c r="AM899" s="3"/>
      <c r="AN899" s="3"/>
      <c r="AO899" s="3"/>
      <c r="AP899" s="3"/>
    </row>
    <row r="900" spans="1:42" ht="12.75" x14ac:dyDescent="0.2">
      <c r="A900" s="3"/>
      <c r="B900" s="3"/>
      <c r="C900" s="3"/>
      <c r="D900" s="3"/>
      <c r="E900" s="3"/>
      <c r="F900" s="3"/>
      <c r="G900" s="3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"/>
      <c r="AM900" s="3"/>
      <c r="AN900" s="3"/>
      <c r="AO900" s="3"/>
      <c r="AP900" s="3"/>
    </row>
    <row r="901" spans="1:42" ht="12.75" x14ac:dyDescent="0.2">
      <c r="A901" s="3"/>
      <c r="B901" s="3"/>
      <c r="C901" s="3"/>
      <c r="D901" s="3"/>
      <c r="E901" s="3"/>
      <c r="F901" s="3"/>
      <c r="G901" s="3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"/>
      <c r="AM901" s="3"/>
      <c r="AN901" s="3"/>
      <c r="AO901" s="3"/>
      <c r="AP901" s="3"/>
    </row>
    <row r="902" spans="1:42" ht="12.75" x14ac:dyDescent="0.2">
      <c r="A902" s="3"/>
      <c r="B902" s="3"/>
      <c r="C902" s="3"/>
      <c r="D902" s="3"/>
      <c r="E902" s="3"/>
      <c r="F902" s="3"/>
      <c r="G902" s="3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"/>
      <c r="AM902" s="3"/>
      <c r="AN902" s="3"/>
      <c r="AO902" s="3"/>
      <c r="AP902" s="3"/>
    </row>
    <row r="903" spans="1:42" ht="12.75" x14ac:dyDescent="0.2">
      <c r="A903" s="3"/>
      <c r="B903" s="3"/>
      <c r="C903" s="3"/>
      <c r="D903" s="3"/>
      <c r="E903" s="3"/>
      <c r="F903" s="3"/>
      <c r="G903" s="3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"/>
      <c r="AM903" s="3"/>
      <c r="AN903" s="3"/>
      <c r="AO903" s="3"/>
      <c r="AP903" s="3"/>
    </row>
    <row r="904" spans="1:42" ht="12.75" x14ac:dyDescent="0.2">
      <c r="A904" s="3"/>
      <c r="B904" s="3"/>
      <c r="C904" s="3"/>
      <c r="D904" s="3"/>
      <c r="E904" s="3"/>
      <c r="F904" s="3"/>
      <c r="G904" s="3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"/>
      <c r="AM904" s="3"/>
      <c r="AN904" s="3"/>
      <c r="AO904" s="3"/>
      <c r="AP904" s="3"/>
    </row>
    <row r="905" spans="1:42" ht="12.75" x14ac:dyDescent="0.2">
      <c r="A905" s="3"/>
      <c r="B905" s="3"/>
      <c r="C905" s="3"/>
      <c r="D905" s="3"/>
      <c r="E905" s="3"/>
      <c r="F905" s="3"/>
      <c r="G905" s="3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"/>
      <c r="AM905" s="3"/>
      <c r="AN905" s="3"/>
      <c r="AO905" s="3"/>
      <c r="AP905" s="3"/>
    </row>
    <row r="906" spans="1:42" ht="12.75" x14ac:dyDescent="0.2">
      <c r="A906" s="3"/>
      <c r="B906" s="3"/>
      <c r="C906" s="3"/>
      <c r="D906" s="3"/>
      <c r="E906" s="3"/>
      <c r="F906" s="3"/>
      <c r="G906" s="3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"/>
      <c r="AM906" s="3"/>
      <c r="AN906" s="3"/>
      <c r="AO906" s="3"/>
      <c r="AP906" s="3"/>
    </row>
    <row r="907" spans="1:42" ht="12.75" x14ac:dyDescent="0.2">
      <c r="A907" s="3"/>
      <c r="B907" s="3"/>
      <c r="C907" s="3"/>
      <c r="D907" s="3"/>
      <c r="E907" s="3"/>
      <c r="F907" s="3"/>
      <c r="G907" s="3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"/>
      <c r="AM907" s="3"/>
      <c r="AN907" s="3"/>
      <c r="AO907" s="3"/>
      <c r="AP907" s="3"/>
    </row>
    <row r="908" spans="1:42" ht="12.75" x14ac:dyDescent="0.2">
      <c r="A908" s="3"/>
      <c r="B908" s="3"/>
      <c r="C908" s="3"/>
      <c r="D908" s="3"/>
      <c r="E908" s="3"/>
      <c r="F908" s="3"/>
      <c r="G908" s="3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"/>
      <c r="AM908" s="3"/>
      <c r="AN908" s="3"/>
      <c r="AO908" s="3"/>
      <c r="AP908" s="3"/>
    </row>
    <row r="909" spans="1:42" ht="12.75" x14ac:dyDescent="0.2">
      <c r="A909" s="3"/>
      <c r="B909" s="3"/>
      <c r="C909" s="3"/>
      <c r="D909" s="3"/>
      <c r="E909" s="3"/>
      <c r="F909" s="3"/>
      <c r="G909" s="3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"/>
      <c r="AM909" s="3"/>
      <c r="AN909" s="3"/>
      <c r="AO909" s="3"/>
      <c r="AP909" s="3"/>
    </row>
    <row r="910" spans="1:42" ht="12.75" x14ac:dyDescent="0.2">
      <c r="A910" s="3"/>
      <c r="B910" s="3"/>
      <c r="C910" s="3"/>
      <c r="D910" s="3"/>
      <c r="E910" s="3"/>
      <c r="F910" s="3"/>
      <c r="G910" s="3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"/>
      <c r="AM910" s="3"/>
      <c r="AN910" s="3"/>
      <c r="AO910" s="3"/>
      <c r="AP910" s="3"/>
    </row>
    <row r="911" spans="1:42" ht="12.75" x14ac:dyDescent="0.2">
      <c r="A911" s="3"/>
      <c r="B911" s="3"/>
      <c r="C911" s="3"/>
      <c r="D911" s="3"/>
      <c r="E911" s="3"/>
      <c r="F911" s="3"/>
      <c r="G911" s="3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"/>
      <c r="AM911" s="3"/>
      <c r="AN911" s="3"/>
      <c r="AO911" s="3"/>
      <c r="AP911" s="3"/>
    </row>
    <row r="912" spans="1:42" ht="12.75" x14ac:dyDescent="0.2">
      <c r="A912" s="3"/>
      <c r="B912" s="3"/>
      <c r="C912" s="3"/>
      <c r="D912" s="3"/>
      <c r="E912" s="3"/>
      <c r="F912" s="3"/>
      <c r="G912" s="3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"/>
      <c r="AM912" s="3"/>
      <c r="AN912" s="3"/>
      <c r="AO912" s="3"/>
      <c r="AP912" s="3"/>
    </row>
    <row r="913" spans="1:42" ht="12.75" x14ac:dyDescent="0.2">
      <c r="A913" s="3"/>
      <c r="B913" s="3"/>
      <c r="C913" s="3"/>
      <c r="D913" s="3"/>
      <c r="E913" s="3"/>
      <c r="F913" s="3"/>
      <c r="G913" s="3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"/>
      <c r="AM913" s="3"/>
      <c r="AN913" s="3"/>
      <c r="AO913" s="3"/>
      <c r="AP913" s="3"/>
    </row>
    <row r="914" spans="1:42" ht="12.75" x14ac:dyDescent="0.2">
      <c r="A914" s="3"/>
      <c r="B914" s="3"/>
      <c r="C914" s="3"/>
      <c r="D914" s="3"/>
      <c r="E914" s="3"/>
      <c r="F914" s="3"/>
      <c r="G914" s="3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"/>
      <c r="AM914" s="3"/>
      <c r="AN914" s="3"/>
      <c r="AO914" s="3"/>
      <c r="AP914" s="3"/>
    </row>
    <row r="915" spans="1:42" ht="12.75" x14ac:dyDescent="0.2">
      <c r="A915" s="3"/>
      <c r="B915" s="3"/>
      <c r="C915" s="3"/>
      <c r="D915" s="3"/>
      <c r="E915" s="3"/>
      <c r="F915" s="3"/>
      <c r="G915" s="3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"/>
      <c r="AM915" s="3"/>
      <c r="AN915" s="3"/>
      <c r="AO915" s="3"/>
      <c r="AP915" s="3"/>
    </row>
    <row r="916" spans="1:42" ht="12.75" x14ac:dyDescent="0.2">
      <c r="A916" s="3"/>
      <c r="B916" s="3"/>
      <c r="C916" s="3"/>
      <c r="D916" s="3"/>
      <c r="E916" s="3"/>
      <c r="F916" s="3"/>
      <c r="G916" s="3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"/>
      <c r="AM916" s="3"/>
      <c r="AN916" s="3"/>
      <c r="AO916" s="3"/>
      <c r="AP916" s="3"/>
    </row>
    <row r="917" spans="1:42" ht="12.75" x14ac:dyDescent="0.2">
      <c r="A917" s="3"/>
      <c r="B917" s="3"/>
      <c r="C917" s="3"/>
      <c r="D917" s="3"/>
      <c r="E917" s="3"/>
      <c r="F917" s="3"/>
      <c r="G917" s="3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"/>
      <c r="AM917" s="3"/>
      <c r="AN917" s="3"/>
      <c r="AO917" s="3"/>
      <c r="AP917" s="3"/>
    </row>
    <row r="918" spans="1:42" ht="12.75" x14ac:dyDescent="0.2">
      <c r="A918" s="3"/>
      <c r="B918" s="3"/>
      <c r="C918" s="3"/>
      <c r="D918" s="3"/>
      <c r="E918" s="3"/>
      <c r="F918" s="3"/>
      <c r="G918" s="3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"/>
      <c r="AM918" s="3"/>
      <c r="AN918" s="3"/>
      <c r="AO918" s="3"/>
      <c r="AP918" s="3"/>
    </row>
    <row r="919" spans="1:42" ht="12.75" x14ac:dyDescent="0.2">
      <c r="A919" s="3"/>
      <c r="B919" s="3"/>
      <c r="C919" s="3"/>
      <c r="D919" s="3"/>
      <c r="E919" s="3"/>
      <c r="F919" s="3"/>
      <c r="G919" s="3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"/>
      <c r="AM919" s="3"/>
      <c r="AN919" s="3"/>
      <c r="AO919" s="3"/>
      <c r="AP919" s="3"/>
    </row>
    <row r="920" spans="1:42" ht="12.75" x14ac:dyDescent="0.2">
      <c r="A920" s="3"/>
      <c r="B920" s="3"/>
      <c r="C920" s="3"/>
      <c r="D920" s="3"/>
      <c r="E920" s="3"/>
      <c r="F920" s="3"/>
      <c r="G920" s="3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"/>
      <c r="AM920" s="3"/>
      <c r="AN920" s="3"/>
      <c r="AO920" s="3"/>
      <c r="AP920" s="3"/>
    </row>
    <row r="921" spans="1:42" ht="12.75" x14ac:dyDescent="0.2">
      <c r="A921" s="3"/>
      <c r="B921" s="3"/>
      <c r="C921" s="3"/>
      <c r="D921" s="3"/>
      <c r="E921" s="3"/>
      <c r="F921" s="3"/>
      <c r="G921" s="3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"/>
      <c r="AM921" s="3"/>
      <c r="AN921" s="3"/>
      <c r="AO921" s="3"/>
      <c r="AP921" s="3"/>
    </row>
    <row r="922" spans="1:42" ht="12.75" x14ac:dyDescent="0.2">
      <c r="A922" s="3"/>
      <c r="B922" s="3"/>
      <c r="C922" s="3"/>
      <c r="D922" s="3"/>
      <c r="E922" s="3"/>
      <c r="F922" s="3"/>
      <c r="G922" s="3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"/>
      <c r="AM922" s="3"/>
      <c r="AN922" s="3"/>
      <c r="AO922" s="3"/>
      <c r="AP922" s="3"/>
    </row>
    <row r="923" spans="1:42" ht="12.75" x14ac:dyDescent="0.2">
      <c r="A923" s="3"/>
      <c r="B923" s="3"/>
      <c r="C923" s="3"/>
      <c r="D923" s="3"/>
      <c r="E923" s="3"/>
      <c r="F923" s="3"/>
      <c r="G923" s="3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"/>
      <c r="AM923" s="3"/>
      <c r="AN923" s="3"/>
      <c r="AO923" s="3"/>
      <c r="AP923" s="3"/>
    </row>
    <row r="924" spans="1:42" ht="12.75" x14ac:dyDescent="0.2">
      <c r="A924" s="3"/>
      <c r="B924" s="3"/>
      <c r="C924" s="3"/>
      <c r="D924" s="3"/>
      <c r="E924" s="3"/>
      <c r="F924" s="3"/>
      <c r="G924" s="3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"/>
      <c r="AM924" s="3"/>
      <c r="AN924" s="3"/>
      <c r="AO924" s="3"/>
      <c r="AP924" s="3"/>
    </row>
    <row r="925" spans="1:42" ht="12.75" x14ac:dyDescent="0.2">
      <c r="A925" s="3"/>
      <c r="B925" s="3"/>
      <c r="C925" s="3"/>
      <c r="D925" s="3"/>
      <c r="E925" s="3"/>
      <c r="F925" s="3"/>
      <c r="G925" s="3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"/>
      <c r="AM925" s="3"/>
      <c r="AN925" s="3"/>
      <c r="AO925" s="3"/>
      <c r="AP925" s="3"/>
    </row>
    <row r="926" spans="1:42" ht="12.75" x14ac:dyDescent="0.2">
      <c r="A926" s="3"/>
      <c r="B926" s="3"/>
      <c r="C926" s="3"/>
      <c r="D926" s="3"/>
      <c r="E926" s="3"/>
      <c r="F926" s="3"/>
      <c r="G926" s="3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"/>
      <c r="AM926" s="3"/>
      <c r="AN926" s="3"/>
      <c r="AO926" s="3"/>
      <c r="AP926" s="3"/>
    </row>
    <row r="927" spans="1:42" ht="12.75" x14ac:dyDescent="0.2">
      <c r="A927" s="3"/>
      <c r="B927" s="3"/>
      <c r="C927" s="3"/>
      <c r="D927" s="3"/>
      <c r="E927" s="3"/>
      <c r="F927" s="3"/>
      <c r="G927" s="3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"/>
      <c r="AM927" s="3"/>
      <c r="AN927" s="3"/>
      <c r="AO927" s="3"/>
      <c r="AP927" s="3"/>
    </row>
    <row r="928" spans="1:42" ht="12.75" x14ac:dyDescent="0.2">
      <c r="A928" s="3"/>
      <c r="B928" s="3"/>
      <c r="C928" s="3"/>
      <c r="D928" s="3"/>
      <c r="E928" s="3"/>
      <c r="F928" s="3"/>
      <c r="G928" s="3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"/>
      <c r="AM928" s="3"/>
      <c r="AN928" s="3"/>
      <c r="AO928" s="3"/>
      <c r="AP928" s="3"/>
    </row>
    <row r="929" spans="1:42" ht="12.75" x14ac:dyDescent="0.2">
      <c r="A929" s="3"/>
      <c r="B929" s="3"/>
      <c r="C929" s="3"/>
      <c r="D929" s="3"/>
      <c r="E929" s="3"/>
      <c r="F929" s="3"/>
      <c r="G929" s="3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"/>
      <c r="AM929" s="3"/>
      <c r="AN929" s="3"/>
      <c r="AO929" s="3"/>
      <c r="AP929" s="3"/>
    </row>
    <row r="930" spans="1:42" ht="12.75" x14ac:dyDescent="0.2">
      <c r="A930" s="3"/>
      <c r="B930" s="3"/>
      <c r="C930" s="3"/>
      <c r="D930" s="3"/>
      <c r="E930" s="3"/>
      <c r="F930" s="3"/>
      <c r="G930" s="3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"/>
      <c r="AM930" s="3"/>
      <c r="AN930" s="3"/>
      <c r="AO930" s="3"/>
      <c r="AP930" s="3"/>
    </row>
    <row r="931" spans="1:42" ht="12.75" x14ac:dyDescent="0.2">
      <c r="A931" s="3"/>
      <c r="B931" s="3"/>
      <c r="C931" s="3"/>
      <c r="D931" s="3"/>
      <c r="E931" s="3"/>
      <c r="F931" s="3"/>
      <c r="G931" s="3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"/>
      <c r="AM931" s="3"/>
      <c r="AN931" s="3"/>
      <c r="AO931" s="3"/>
      <c r="AP931" s="3"/>
    </row>
    <row r="932" spans="1:42" ht="12.75" x14ac:dyDescent="0.2">
      <c r="A932" s="3"/>
      <c r="B932" s="3"/>
      <c r="C932" s="3"/>
      <c r="D932" s="3"/>
      <c r="E932" s="3"/>
      <c r="F932" s="3"/>
      <c r="G932" s="3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"/>
      <c r="AM932" s="3"/>
      <c r="AN932" s="3"/>
      <c r="AO932" s="3"/>
      <c r="AP932" s="3"/>
    </row>
    <row r="933" spans="1:42" ht="12.75" x14ac:dyDescent="0.2">
      <c r="A933" s="3"/>
      <c r="B933" s="3"/>
      <c r="C933" s="3"/>
      <c r="D933" s="3"/>
      <c r="E933" s="3"/>
      <c r="F933" s="3"/>
      <c r="G933" s="3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"/>
      <c r="AM933" s="3"/>
      <c r="AN933" s="3"/>
      <c r="AO933" s="3"/>
      <c r="AP933" s="3"/>
    </row>
    <row r="934" spans="1:42" ht="12.75" x14ac:dyDescent="0.2">
      <c r="A934" s="3"/>
      <c r="B934" s="3"/>
      <c r="C934" s="3"/>
      <c r="D934" s="3"/>
      <c r="E934" s="3"/>
      <c r="F934" s="3"/>
      <c r="G934" s="3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"/>
      <c r="AM934" s="3"/>
      <c r="AN934" s="3"/>
      <c r="AO934" s="3"/>
      <c r="AP934" s="3"/>
    </row>
    <row r="935" spans="1:42" ht="12.75" x14ac:dyDescent="0.2">
      <c r="A935" s="3"/>
      <c r="B935" s="3"/>
      <c r="C935" s="3"/>
      <c r="D935" s="3"/>
      <c r="E935" s="3"/>
      <c r="F935" s="3"/>
      <c r="G935" s="3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"/>
      <c r="AM935" s="3"/>
      <c r="AN935" s="3"/>
      <c r="AO935" s="3"/>
      <c r="AP935" s="3"/>
    </row>
    <row r="936" spans="1:42" ht="12.75" x14ac:dyDescent="0.2">
      <c r="A936" s="3"/>
      <c r="B936" s="3"/>
      <c r="C936" s="3"/>
      <c r="D936" s="3"/>
      <c r="E936" s="3"/>
      <c r="F936" s="3"/>
      <c r="G936" s="3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"/>
      <c r="AM936" s="3"/>
      <c r="AN936" s="3"/>
      <c r="AO936" s="3"/>
      <c r="AP936" s="3"/>
    </row>
    <row r="937" spans="1:42" ht="12.75" x14ac:dyDescent="0.2">
      <c r="A937" s="3"/>
      <c r="B937" s="3"/>
      <c r="C937" s="3"/>
      <c r="D937" s="3"/>
      <c r="E937" s="3"/>
      <c r="F937" s="3"/>
      <c r="G937" s="3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"/>
      <c r="AM937" s="3"/>
      <c r="AN937" s="3"/>
      <c r="AO937" s="3"/>
      <c r="AP937" s="3"/>
    </row>
    <row r="938" spans="1:42" ht="12.75" x14ac:dyDescent="0.2">
      <c r="A938" s="3"/>
      <c r="B938" s="3"/>
      <c r="C938" s="3"/>
      <c r="D938" s="3"/>
      <c r="E938" s="3"/>
      <c r="F938" s="3"/>
      <c r="G938" s="3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"/>
      <c r="AM938" s="3"/>
      <c r="AN938" s="3"/>
      <c r="AO938" s="3"/>
      <c r="AP938" s="3"/>
    </row>
    <row r="939" spans="1:42" ht="12.75" x14ac:dyDescent="0.2">
      <c r="A939" s="3"/>
      <c r="B939" s="3"/>
      <c r="C939" s="3"/>
      <c r="D939" s="3"/>
      <c r="E939" s="3"/>
      <c r="F939" s="3"/>
      <c r="G939" s="3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"/>
      <c r="AM939" s="3"/>
      <c r="AN939" s="3"/>
      <c r="AO939" s="3"/>
      <c r="AP939" s="3"/>
    </row>
    <row r="940" spans="1:42" ht="12.75" x14ac:dyDescent="0.2">
      <c r="A940" s="3"/>
      <c r="B940" s="3"/>
      <c r="C940" s="3"/>
      <c r="D940" s="3"/>
      <c r="E940" s="3"/>
      <c r="F940" s="3"/>
      <c r="G940" s="3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"/>
      <c r="AM940" s="3"/>
      <c r="AN940" s="3"/>
      <c r="AO940" s="3"/>
      <c r="AP940" s="3"/>
    </row>
    <row r="941" spans="1:42" ht="12.75" x14ac:dyDescent="0.2">
      <c r="A941" s="3"/>
      <c r="B941" s="3"/>
      <c r="C941" s="3"/>
      <c r="D941" s="3"/>
      <c r="E941" s="3"/>
      <c r="F941" s="3"/>
      <c r="G941" s="3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"/>
      <c r="AM941" s="3"/>
      <c r="AN941" s="3"/>
      <c r="AO941" s="3"/>
      <c r="AP941" s="3"/>
    </row>
    <row r="942" spans="1:42" ht="12.75" x14ac:dyDescent="0.2">
      <c r="A942" s="3"/>
      <c r="B942" s="3"/>
      <c r="C942" s="3"/>
      <c r="D942" s="3"/>
      <c r="E942" s="3"/>
      <c r="F942" s="3"/>
      <c r="G942" s="3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"/>
      <c r="AM942" s="3"/>
      <c r="AN942" s="3"/>
      <c r="AO942" s="3"/>
      <c r="AP942" s="3"/>
    </row>
    <row r="943" spans="1:42" ht="12.75" x14ac:dyDescent="0.2">
      <c r="A943" s="3"/>
      <c r="B943" s="3"/>
      <c r="C943" s="3"/>
      <c r="D943" s="3"/>
      <c r="E943" s="3"/>
      <c r="F943" s="3"/>
      <c r="G943" s="3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"/>
      <c r="AM943" s="3"/>
      <c r="AN943" s="3"/>
      <c r="AO943" s="3"/>
      <c r="AP943" s="3"/>
    </row>
    <row r="944" spans="1:42" ht="12.75" x14ac:dyDescent="0.2">
      <c r="A944" s="3"/>
      <c r="B944" s="3"/>
      <c r="C944" s="3"/>
      <c r="D944" s="3"/>
      <c r="E944" s="3"/>
      <c r="F944" s="3"/>
      <c r="G944" s="3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"/>
      <c r="AM944" s="3"/>
      <c r="AN944" s="3"/>
      <c r="AO944" s="3"/>
      <c r="AP944" s="3"/>
    </row>
    <row r="945" spans="1:42" ht="12.75" x14ac:dyDescent="0.2">
      <c r="A945" s="3"/>
      <c r="B945" s="3"/>
      <c r="C945" s="3"/>
      <c r="D945" s="3"/>
      <c r="E945" s="3"/>
      <c r="F945" s="3"/>
      <c r="G945" s="3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"/>
      <c r="AM945" s="3"/>
      <c r="AN945" s="3"/>
      <c r="AO945" s="3"/>
      <c r="AP945" s="3"/>
    </row>
    <row r="946" spans="1:42" ht="12.75" x14ac:dyDescent="0.2">
      <c r="A946" s="3"/>
      <c r="B946" s="3"/>
      <c r="C946" s="3"/>
      <c r="D946" s="3"/>
      <c r="E946" s="3"/>
      <c r="F946" s="3"/>
      <c r="G946" s="3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"/>
      <c r="AM946" s="3"/>
      <c r="AN946" s="3"/>
      <c r="AO946" s="3"/>
      <c r="AP946" s="3"/>
    </row>
    <row r="947" spans="1:42" ht="12.75" x14ac:dyDescent="0.2">
      <c r="A947" s="3"/>
      <c r="B947" s="3"/>
      <c r="C947" s="3"/>
      <c r="D947" s="3"/>
      <c r="E947" s="3"/>
      <c r="F947" s="3"/>
      <c r="G947" s="3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"/>
      <c r="AM947" s="3"/>
      <c r="AN947" s="3"/>
      <c r="AO947" s="3"/>
      <c r="AP947" s="3"/>
    </row>
    <row r="948" spans="1:42" ht="12.75" x14ac:dyDescent="0.2">
      <c r="A948" s="3"/>
      <c r="B948" s="3"/>
      <c r="C948" s="3"/>
      <c r="D948" s="3"/>
      <c r="E948" s="3"/>
      <c r="F948" s="3"/>
      <c r="G948" s="3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"/>
      <c r="AM948" s="3"/>
      <c r="AN948" s="3"/>
      <c r="AO948" s="3"/>
      <c r="AP948" s="3"/>
    </row>
    <row r="949" spans="1:42" ht="12.75" x14ac:dyDescent="0.2">
      <c r="A949" s="3"/>
      <c r="B949" s="3"/>
      <c r="C949" s="3"/>
      <c r="D949" s="3"/>
      <c r="E949" s="3"/>
      <c r="F949" s="3"/>
      <c r="G949" s="3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"/>
      <c r="AM949" s="3"/>
      <c r="AN949" s="3"/>
      <c r="AO949" s="3"/>
      <c r="AP949" s="3"/>
    </row>
    <row r="950" spans="1:42" ht="12.75" x14ac:dyDescent="0.2">
      <c r="A950" s="3"/>
      <c r="B950" s="3"/>
      <c r="C950" s="3"/>
      <c r="D950" s="3"/>
      <c r="E950" s="3"/>
      <c r="F950" s="3"/>
      <c r="G950" s="3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"/>
      <c r="AM950" s="3"/>
      <c r="AN950" s="3"/>
      <c r="AO950" s="3"/>
      <c r="AP950" s="3"/>
    </row>
    <row r="951" spans="1:42" ht="12.75" x14ac:dyDescent="0.2">
      <c r="A951" s="3"/>
      <c r="B951" s="3"/>
      <c r="C951" s="3"/>
      <c r="D951" s="3"/>
      <c r="E951" s="3"/>
      <c r="F951" s="3"/>
      <c r="G951" s="3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"/>
      <c r="AM951" s="3"/>
      <c r="AN951" s="3"/>
      <c r="AO951" s="3"/>
      <c r="AP951" s="3"/>
    </row>
    <row r="952" spans="1:42" ht="12.75" x14ac:dyDescent="0.2">
      <c r="A952" s="3"/>
      <c r="B952" s="3"/>
      <c r="C952" s="3"/>
      <c r="D952" s="3"/>
      <c r="E952" s="3"/>
      <c r="F952" s="3"/>
      <c r="G952" s="3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"/>
      <c r="AM952" s="3"/>
      <c r="AN952" s="3"/>
      <c r="AO952" s="3"/>
      <c r="AP952" s="3"/>
    </row>
    <row r="953" spans="1:42" ht="12.75" x14ac:dyDescent="0.2">
      <c r="A953" s="3"/>
      <c r="B953" s="3"/>
      <c r="C953" s="3"/>
      <c r="D953" s="3"/>
      <c r="E953" s="3"/>
      <c r="F953" s="3"/>
      <c r="G953" s="3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"/>
      <c r="AM953" s="3"/>
      <c r="AN953" s="3"/>
      <c r="AO953" s="3"/>
      <c r="AP953" s="3"/>
    </row>
    <row r="954" spans="1:42" ht="12.75" x14ac:dyDescent="0.2">
      <c r="A954" s="3"/>
      <c r="B954" s="3"/>
      <c r="C954" s="3"/>
      <c r="D954" s="3"/>
      <c r="E954" s="3"/>
      <c r="F954" s="3"/>
      <c r="G954" s="3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"/>
      <c r="AM954" s="3"/>
      <c r="AN954" s="3"/>
      <c r="AO954" s="3"/>
      <c r="AP954" s="3"/>
    </row>
    <row r="955" spans="1:42" ht="12.75" x14ac:dyDescent="0.2">
      <c r="A955" s="3"/>
      <c r="B955" s="3"/>
      <c r="C955" s="3"/>
      <c r="D955" s="3"/>
      <c r="E955" s="3"/>
      <c r="F955" s="3"/>
      <c r="G955" s="3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"/>
      <c r="AM955" s="3"/>
      <c r="AN955" s="3"/>
      <c r="AO955" s="3"/>
      <c r="AP955" s="3"/>
    </row>
    <row r="956" spans="1:42" ht="12.75" x14ac:dyDescent="0.2">
      <c r="A956" s="3"/>
      <c r="B956" s="3"/>
      <c r="C956" s="3"/>
      <c r="D956" s="3"/>
      <c r="E956" s="3"/>
      <c r="F956" s="3"/>
      <c r="G956" s="3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"/>
      <c r="AM956" s="3"/>
      <c r="AN956" s="3"/>
      <c r="AO956" s="3"/>
      <c r="AP956" s="3"/>
    </row>
    <row r="957" spans="1:42" ht="12.75" x14ac:dyDescent="0.2">
      <c r="A957" s="3"/>
      <c r="B957" s="3"/>
      <c r="C957" s="3"/>
      <c r="D957" s="3"/>
      <c r="E957" s="3"/>
      <c r="F957" s="3"/>
      <c r="G957" s="3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"/>
      <c r="AM957" s="3"/>
      <c r="AN957" s="3"/>
      <c r="AO957" s="3"/>
      <c r="AP957" s="3"/>
    </row>
    <row r="958" spans="1:42" ht="12.75" x14ac:dyDescent="0.2">
      <c r="A958" s="3"/>
      <c r="B958" s="3"/>
      <c r="C958" s="3"/>
      <c r="D958" s="3"/>
      <c r="E958" s="3"/>
      <c r="F958" s="3"/>
      <c r="G958" s="3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"/>
      <c r="AM958" s="3"/>
      <c r="AN958" s="3"/>
      <c r="AO958" s="3"/>
      <c r="AP958" s="3"/>
    </row>
    <row r="959" spans="1:42" ht="12.75" x14ac:dyDescent="0.2">
      <c r="A959" s="3"/>
      <c r="B959" s="3"/>
      <c r="C959" s="3"/>
      <c r="D959" s="3"/>
      <c r="E959" s="3"/>
      <c r="F959" s="3"/>
      <c r="G959" s="3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"/>
      <c r="AM959" s="3"/>
      <c r="AN959" s="3"/>
      <c r="AO959" s="3"/>
      <c r="AP95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W284"/>
  <sheetViews>
    <sheetView tabSelected="1" topLeftCell="C1" workbookViewId="0">
      <pane ySplit="1" topLeftCell="A2" activePane="bottomLeft" state="frozen"/>
      <selection pane="bottomLeft" activeCell="C2" sqref="C2"/>
    </sheetView>
  </sheetViews>
  <sheetFormatPr defaultColWidth="12.7109375" defaultRowHeight="15.75" customHeight="1" x14ac:dyDescent="0.2"/>
  <cols>
    <col min="1" max="1" width="7.5703125" style="97" customWidth="1"/>
    <col min="2" max="2" width="7.7109375" style="97" customWidth="1"/>
    <col min="3" max="3" width="19.85546875" customWidth="1"/>
    <col min="4" max="4" width="23.7109375" customWidth="1"/>
    <col min="5" max="5" width="21" customWidth="1"/>
    <col min="6" max="6" width="17.85546875" customWidth="1"/>
    <col min="8" max="16" width="10.7109375" bestFit="1" customWidth="1"/>
    <col min="17" max="37" width="11.7109375" bestFit="1" customWidth="1"/>
    <col min="38" max="38" width="6.85546875" customWidth="1"/>
    <col min="39" max="39" width="7" customWidth="1"/>
    <col min="40" max="40" width="9.5703125" customWidth="1"/>
    <col min="41" max="41" width="19" customWidth="1"/>
    <col min="42" max="42" width="14" customWidth="1"/>
    <col min="43" max="43" width="10.42578125" customWidth="1"/>
    <col min="44" max="44" width="14" customWidth="1"/>
    <col min="45" max="45" width="19.42578125" customWidth="1"/>
    <col min="46" max="46" width="14.85546875" style="97" customWidth="1"/>
    <col min="47" max="47" width="19.140625" style="97" customWidth="1"/>
    <col min="48" max="48" width="76.140625" customWidth="1"/>
    <col min="49" max="49" width="14.28515625" customWidth="1"/>
    <col min="50" max="51" width="14.7109375" customWidth="1"/>
  </cols>
  <sheetData>
    <row r="1" spans="1:49" ht="15.75" customHeight="1" x14ac:dyDescent="0.25">
      <c r="A1" s="95" t="s">
        <v>0</v>
      </c>
      <c r="B1" s="161">
        <v>0.69861111111111107</v>
      </c>
      <c r="C1" s="35" t="s">
        <v>2</v>
      </c>
      <c r="D1" s="35" t="s">
        <v>3</v>
      </c>
      <c r="E1" s="35" t="s">
        <v>4</v>
      </c>
      <c r="F1" s="35" t="s">
        <v>5</v>
      </c>
      <c r="G1" s="58" t="s">
        <v>6</v>
      </c>
      <c r="H1" s="74">
        <v>45962</v>
      </c>
      <c r="I1" s="74">
        <v>45963</v>
      </c>
      <c r="J1" s="74">
        <v>45964</v>
      </c>
      <c r="K1" s="74">
        <v>45965</v>
      </c>
      <c r="L1" s="74">
        <v>45966</v>
      </c>
      <c r="M1" s="74">
        <v>45967</v>
      </c>
      <c r="N1" s="74">
        <v>45968</v>
      </c>
      <c r="O1" s="74">
        <v>45969</v>
      </c>
      <c r="P1" s="74">
        <v>45970</v>
      </c>
      <c r="Q1" s="74">
        <v>45971</v>
      </c>
      <c r="R1" s="74">
        <v>45972</v>
      </c>
      <c r="S1" s="74">
        <v>45973</v>
      </c>
      <c r="T1" s="74">
        <v>45974</v>
      </c>
      <c r="U1" s="74">
        <v>45975</v>
      </c>
      <c r="V1" s="74">
        <v>45976</v>
      </c>
      <c r="W1" s="74">
        <v>45977</v>
      </c>
      <c r="X1" s="74">
        <v>45978</v>
      </c>
      <c r="Y1" s="74">
        <v>45979</v>
      </c>
      <c r="Z1" s="74">
        <v>45980</v>
      </c>
      <c r="AA1" s="74">
        <v>45981</v>
      </c>
      <c r="AB1" s="74">
        <v>45982</v>
      </c>
      <c r="AC1" s="74">
        <v>45983</v>
      </c>
      <c r="AD1" s="74">
        <v>45984</v>
      </c>
      <c r="AE1" s="74">
        <v>45985</v>
      </c>
      <c r="AF1" s="74">
        <v>45986</v>
      </c>
      <c r="AG1" s="74">
        <v>45987</v>
      </c>
      <c r="AH1" s="74">
        <v>45988</v>
      </c>
      <c r="AI1" s="74">
        <v>45989</v>
      </c>
      <c r="AJ1" s="74">
        <v>45990</v>
      </c>
      <c r="AK1" s="74">
        <v>45991</v>
      </c>
      <c r="AL1" s="104" t="s">
        <v>377</v>
      </c>
      <c r="AM1" s="105" t="s">
        <v>378</v>
      </c>
      <c r="AN1" s="105" t="s">
        <v>379</v>
      </c>
      <c r="AO1" s="105" t="s">
        <v>380</v>
      </c>
      <c r="AP1" s="105" t="s">
        <v>381</v>
      </c>
      <c r="AQ1" s="105" t="s">
        <v>382</v>
      </c>
      <c r="AR1" s="105" t="s">
        <v>383</v>
      </c>
      <c r="AS1" s="105" t="s">
        <v>384</v>
      </c>
      <c r="AT1" s="105" t="s">
        <v>385</v>
      </c>
      <c r="AU1" s="105" t="s">
        <v>386</v>
      </c>
      <c r="AV1" s="114" t="s">
        <v>387</v>
      </c>
      <c r="AW1" s="105" t="s">
        <v>388</v>
      </c>
    </row>
    <row r="2" spans="1:49" ht="15.75" customHeight="1" x14ac:dyDescent="0.25">
      <c r="A2" s="96">
        <v>1</v>
      </c>
      <c r="B2" s="148">
        <v>171</v>
      </c>
      <c r="C2" s="32" t="s">
        <v>7</v>
      </c>
      <c r="D2" s="32" t="s">
        <v>8</v>
      </c>
      <c r="E2" s="32" t="s">
        <v>9</v>
      </c>
      <c r="F2" s="32" t="s">
        <v>10</v>
      </c>
      <c r="G2" s="59" t="s">
        <v>11</v>
      </c>
      <c r="H2" s="75" t="s">
        <v>12</v>
      </c>
      <c r="I2" s="75" t="s">
        <v>13</v>
      </c>
      <c r="J2" s="76" t="s">
        <v>378</v>
      </c>
      <c r="K2" s="76" t="s">
        <v>378</v>
      </c>
      <c r="L2" s="76" t="s">
        <v>378</v>
      </c>
      <c r="M2" s="76" t="s">
        <v>378</v>
      </c>
      <c r="N2" s="76" t="s">
        <v>378</v>
      </c>
      <c r="O2" s="76" t="s">
        <v>378</v>
      </c>
      <c r="P2" s="75" t="s">
        <v>13</v>
      </c>
      <c r="Q2" s="76" t="s">
        <v>378</v>
      </c>
      <c r="R2" s="76" t="s">
        <v>378</v>
      </c>
      <c r="S2" s="76" t="s">
        <v>378</v>
      </c>
      <c r="T2" s="76" t="s">
        <v>378</v>
      </c>
      <c r="U2" s="76" t="s">
        <v>378</v>
      </c>
      <c r="V2" s="103" t="s">
        <v>378</v>
      </c>
      <c r="W2" s="75" t="s">
        <v>13</v>
      </c>
      <c r="X2" s="76" t="s">
        <v>378</v>
      </c>
      <c r="Y2" s="76" t="s">
        <v>378</v>
      </c>
      <c r="Z2" s="76" t="s">
        <v>378</v>
      </c>
      <c r="AA2" s="76" t="s">
        <v>378</v>
      </c>
      <c r="AB2" s="76" t="s">
        <v>378</v>
      </c>
      <c r="AC2" s="76" t="s">
        <v>378</v>
      </c>
      <c r="AD2" s="75" t="s">
        <v>13</v>
      </c>
      <c r="AE2" s="76" t="s">
        <v>378</v>
      </c>
      <c r="AF2" s="76" t="s">
        <v>378</v>
      </c>
      <c r="AG2" s="76" t="s">
        <v>378</v>
      </c>
      <c r="AH2" s="76" t="s">
        <v>378</v>
      </c>
      <c r="AI2" s="76" t="s">
        <v>378</v>
      </c>
      <c r="AJ2" s="76" t="s">
        <v>378</v>
      </c>
      <c r="AK2" s="75" t="s">
        <v>13</v>
      </c>
      <c r="AL2" s="106">
        <f t="shared" ref="AL2:AL65" si="0">COUNTIF(H2:AK2,"P")</f>
        <v>0</v>
      </c>
      <c r="AM2" s="106">
        <f t="shared" ref="AM2:AM65" si="1">COUNTIF(H2:AK2,"WFH")</f>
        <v>24</v>
      </c>
      <c r="AN2" s="106">
        <f t="shared" ref="AN2:AN65" si="2">COUNTIF(H2:AK2,"HD")/2</f>
        <v>0</v>
      </c>
      <c r="AO2" s="106">
        <f t="shared" ref="AO2:AO65" si="3">AL2+AM2+AN2</f>
        <v>24</v>
      </c>
      <c r="AP2" s="106">
        <f t="shared" ref="AP2:AP65" si="4">COUNTIF(H2:AK2,"A")+AN2</f>
        <v>0</v>
      </c>
      <c r="AQ2" s="134">
        <v>10</v>
      </c>
      <c r="AR2" s="134">
        <v>260</v>
      </c>
      <c r="AS2" s="134">
        <v>33</v>
      </c>
      <c r="AT2" s="135">
        <v>12.692307692307692</v>
      </c>
      <c r="AU2" s="106" t="s">
        <v>427</v>
      </c>
      <c r="AV2" s="100" t="s">
        <v>428</v>
      </c>
      <c r="AW2" s="100"/>
    </row>
    <row r="3" spans="1:49" ht="15.75" customHeight="1" x14ac:dyDescent="0.25">
      <c r="A3" s="96">
        <v>2</v>
      </c>
      <c r="B3" s="148">
        <v>261</v>
      </c>
      <c r="C3" s="32" t="s">
        <v>365</v>
      </c>
      <c r="D3" s="32" t="s">
        <v>44</v>
      </c>
      <c r="E3" s="32" t="s">
        <v>24</v>
      </c>
      <c r="F3" s="32" t="s">
        <v>17</v>
      </c>
      <c r="G3" s="60">
        <v>45714</v>
      </c>
      <c r="H3" s="77" t="s">
        <v>389</v>
      </c>
      <c r="I3" s="77" t="s">
        <v>13</v>
      </c>
      <c r="J3" s="78" t="s">
        <v>390</v>
      </c>
      <c r="K3" s="78" t="s">
        <v>390</v>
      </c>
      <c r="L3" s="78" t="s">
        <v>390</v>
      </c>
      <c r="M3" s="78" t="s">
        <v>390</v>
      </c>
      <c r="N3" s="78" t="s">
        <v>390</v>
      </c>
      <c r="O3" s="78" t="s">
        <v>390</v>
      </c>
      <c r="P3" s="77" t="s">
        <v>13</v>
      </c>
      <c r="Q3" s="78" t="s">
        <v>390</v>
      </c>
      <c r="R3" s="81" t="s">
        <v>392</v>
      </c>
      <c r="S3" s="78" t="s">
        <v>390</v>
      </c>
      <c r="T3" s="78" t="s">
        <v>390</v>
      </c>
      <c r="U3" s="78" t="s">
        <v>390</v>
      </c>
      <c r="V3" s="82" t="s">
        <v>391</v>
      </c>
      <c r="W3" s="77" t="s">
        <v>13</v>
      </c>
      <c r="X3" s="78" t="s">
        <v>390</v>
      </c>
      <c r="Y3" s="78" t="s">
        <v>390</v>
      </c>
      <c r="Z3" s="78" t="s">
        <v>390</v>
      </c>
      <c r="AA3" s="78" t="s">
        <v>390</v>
      </c>
      <c r="AB3" s="78" t="s">
        <v>390</v>
      </c>
      <c r="AC3" s="78" t="s">
        <v>390</v>
      </c>
      <c r="AD3" s="77" t="s">
        <v>13</v>
      </c>
      <c r="AE3" s="78" t="s">
        <v>390</v>
      </c>
      <c r="AF3" s="78" t="s">
        <v>390</v>
      </c>
      <c r="AG3" s="78" t="s">
        <v>390</v>
      </c>
      <c r="AH3" s="78" t="s">
        <v>390</v>
      </c>
      <c r="AI3" s="78" t="s">
        <v>390</v>
      </c>
      <c r="AJ3" s="78" t="s">
        <v>390</v>
      </c>
      <c r="AK3" s="77" t="s">
        <v>13</v>
      </c>
      <c r="AL3" s="106">
        <f t="shared" si="0"/>
        <v>22</v>
      </c>
      <c r="AM3" s="106">
        <f t="shared" si="1"/>
        <v>0</v>
      </c>
      <c r="AN3" s="106">
        <f t="shared" si="2"/>
        <v>0.5</v>
      </c>
      <c r="AO3" s="106">
        <f t="shared" si="3"/>
        <v>22.5</v>
      </c>
      <c r="AP3" s="106">
        <f t="shared" si="4"/>
        <v>0.5</v>
      </c>
      <c r="AQ3" s="134">
        <v>120</v>
      </c>
      <c r="AR3" s="134">
        <v>3480</v>
      </c>
      <c r="AS3" s="134">
        <v>2067</v>
      </c>
      <c r="AT3" s="135">
        <v>59.396551724137936</v>
      </c>
      <c r="AU3" s="106" t="s">
        <v>427</v>
      </c>
      <c r="AV3" s="100"/>
      <c r="AW3" s="100"/>
    </row>
    <row r="4" spans="1:49" ht="15.75" customHeight="1" x14ac:dyDescent="0.25">
      <c r="A4" s="96">
        <v>3</v>
      </c>
      <c r="B4" s="148">
        <v>263</v>
      </c>
      <c r="C4" s="32" t="s">
        <v>368</v>
      </c>
      <c r="D4" s="32" t="s">
        <v>44</v>
      </c>
      <c r="E4" s="32" t="s">
        <v>9</v>
      </c>
      <c r="F4" s="32" t="s">
        <v>17</v>
      </c>
      <c r="G4" s="60">
        <v>45714</v>
      </c>
      <c r="H4" s="77" t="s">
        <v>389</v>
      </c>
      <c r="I4" s="77" t="s">
        <v>13</v>
      </c>
      <c r="J4" s="78" t="s">
        <v>390</v>
      </c>
      <c r="K4" s="78" t="s">
        <v>390</v>
      </c>
      <c r="L4" s="78" t="s">
        <v>390</v>
      </c>
      <c r="M4" s="78" t="s">
        <v>390</v>
      </c>
      <c r="N4" s="78" t="s">
        <v>390</v>
      </c>
      <c r="O4" s="78" t="s">
        <v>390</v>
      </c>
      <c r="P4" s="77" t="s">
        <v>13</v>
      </c>
      <c r="Q4" s="78" t="s">
        <v>390</v>
      </c>
      <c r="R4" s="78" t="s">
        <v>390</v>
      </c>
      <c r="S4" s="78" t="s">
        <v>390</v>
      </c>
      <c r="T4" s="78" t="s">
        <v>390</v>
      </c>
      <c r="U4" s="78" t="s">
        <v>390</v>
      </c>
      <c r="V4" s="78" t="s">
        <v>390</v>
      </c>
      <c r="W4" s="77" t="s">
        <v>13</v>
      </c>
      <c r="X4" s="78" t="s">
        <v>390</v>
      </c>
      <c r="Y4" s="78" t="s">
        <v>390</v>
      </c>
      <c r="Z4" s="78" t="s">
        <v>390</v>
      </c>
      <c r="AA4" s="78" t="s">
        <v>390</v>
      </c>
      <c r="AB4" s="78" t="s">
        <v>390</v>
      </c>
      <c r="AC4" s="79" t="s">
        <v>391</v>
      </c>
      <c r="AD4" s="77" t="s">
        <v>13</v>
      </c>
      <c r="AE4" s="78" t="s">
        <v>390</v>
      </c>
      <c r="AF4" s="78" t="s">
        <v>390</v>
      </c>
      <c r="AG4" s="78" t="s">
        <v>390</v>
      </c>
      <c r="AH4" s="78" t="s">
        <v>390</v>
      </c>
      <c r="AI4" s="78" t="s">
        <v>390</v>
      </c>
      <c r="AJ4" s="78" t="s">
        <v>390</v>
      </c>
      <c r="AK4" s="77" t="s">
        <v>13</v>
      </c>
      <c r="AL4" s="106">
        <f t="shared" si="0"/>
        <v>23</v>
      </c>
      <c r="AM4" s="106">
        <f t="shared" si="1"/>
        <v>0</v>
      </c>
      <c r="AN4" s="106">
        <f t="shared" si="2"/>
        <v>0</v>
      </c>
      <c r="AO4" s="106">
        <f t="shared" si="3"/>
        <v>23</v>
      </c>
      <c r="AP4" s="106">
        <f t="shared" si="4"/>
        <v>0</v>
      </c>
      <c r="AQ4" s="134">
        <v>10</v>
      </c>
      <c r="AR4" s="134">
        <v>260</v>
      </c>
      <c r="AS4" s="134">
        <v>177</v>
      </c>
      <c r="AT4" s="135">
        <v>68.07692307692308</v>
      </c>
      <c r="AU4" s="106" t="s">
        <v>427</v>
      </c>
      <c r="AV4" s="100"/>
      <c r="AW4" s="100"/>
    </row>
    <row r="5" spans="1:49" ht="15.75" customHeight="1" x14ac:dyDescent="0.25">
      <c r="A5" s="96">
        <v>4</v>
      </c>
      <c r="B5" s="148">
        <v>266</v>
      </c>
      <c r="C5" s="32" t="s">
        <v>355</v>
      </c>
      <c r="D5" s="32" t="s">
        <v>19</v>
      </c>
      <c r="E5" s="32" t="s">
        <v>39</v>
      </c>
      <c r="F5" s="32" t="s">
        <v>17</v>
      </c>
      <c r="G5" s="60">
        <v>45733</v>
      </c>
      <c r="H5" s="77" t="s">
        <v>389</v>
      </c>
      <c r="I5" s="77" t="s">
        <v>13</v>
      </c>
      <c r="J5" s="78" t="s">
        <v>390</v>
      </c>
      <c r="K5" s="78" t="s">
        <v>390</v>
      </c>
      <c r="L5" s="78" t="s">
        <v>390</v>
      </c>
      <c r="M5" s="78" t="s">
        <v>390</v>
      </c>
      <c r="N5" s="78" t="s">
        <v>390</v>
      </c>
      <c r="O5" s="79" t="s">
        <v>391</v>
      </c>
      <c r="P5" s="77" t="s">
        <v>13</v>
      </c>
      <c r="Q5" s="85" t="s">
        <v>378</v>
      </c>
      <c r="R5" s="85" t="s">
        <v>378</v>
      </c>
      <c r="S5" s="85" t="s">
        <v>378</v>
      </c>
      <c r="T5" s="85" t="s">
        <v>378</v>
      </c>
      <c r="U5" s="85" t="s">
        <v>378</v>
      </c>
      <c r="V5" s="85" t="s">
        <v>378</v>
      </c>
      <c r="W5" s="77" t="s">
        <v>13</v>
      </c>
      <c r="X5" s="85" t="s">
        <v>378</v>
      </c>
      <c r="Y5" s="85" t="s">
        <v>378</v>
      </c>
      <c r="Z5" s="85" t="s">
        <v>378</v>
      </c>
      <c r="AA5" s="85" t="s">
        <v>378</v>
      </c>
      <c r="AB5" s="85" t="s">
        <v>378</v>
      </c>
      <c r="AC5" s="85" t="s">
        <v>378</v>
      </c>
      <c r="AD5" s="77" t="s">
        <v>13</v>
      </c>
      <c r="AE5" s="85" t="s">
        <v>378</v>
      </c>
      <c r="AF5" s="85" t="s">
        <v>378</v>
      </c>
      <c r="AG5" s="85" t="s">
        <v>378</v>
      </c>
      <c r="AH5" s="85" t="s">
        <v>378</v>
      </c>
      <c r="AI5" s="85" t="s">
        <v>378</v>
      </c>
      <c r="AJ5" s="85" t="s">
        <v>378</v>
      </c>
      <c r="AK5" s="77" t="s">
        <v>13</v>
      </c>
      <c r="AL5" s="106">
        <f t="shared" si="0"/>
        <v>5</v>
      </c>
      <c r="AM5" s="106">
        <f t="shared" si="1"/>
        <v>18</v>
      </c>
      <c r="AN5" s="106">
        <f t="shared" si="2"/>
        <v>0</v>
      </c>
      <c r="AO5" s="106">
        <f t="shared" si="3"/>
        <v>23</v>
      </c>
      <c r="AP5" s="106">
        <f t="shared" si="4"/>
        <v>0</v>
      </c>
      <c r="AQ5" s="134">
        <v>14</v>
      </c>
      <c r="AR5" s="134">
        <v>364</v>
      </c>
      <c r="AS5" s="134">
        <v>188</v>
      </c>
      <c r="AT5" s="135">
        <v>51.648351648351657</v>
      </c>
      <c r="AU5" s="106" t="s">
        <v>427</v>
      </c>
      <c r="AV5" s="100"/>
      <c r="AW5" s="100"/>
    </row>
    <row r="6" spans="1:49" ht="15.75" customHeight="1" x14ac:dyDescent="0.25">
      <c r="A6" s="96">
        <v>5</v>
      </c>
      <c r="B6" s="148">
        <v>267</v>
      </c>
      <c r="C6" s="32" t="s">
        <v>363</v>
      </c>
      <c r="D6" s="32" t="s">
        <v>364</v>
      </c>
      <c r="E6" s="32" t="s">
        <v>45</v>
      </c>
      <c r="F6" s="32" t="s">
        <v>17</v>
      </c>
      <c r="G6" s="60">
        <v>45733</v>
      </c>
      <c r="H6" s="77" t="s">
        <v>389</v>
      </c>
      <c r="I6" s="77" t="s">
        <v>13</v>
      </c>
      <c r="J6" s="80" t="s">
        <v>14</v>
      </c>
      <c r="K6" s="85" t="s">
        <v>378</v>
      </c>
      <c r="L6" s="85" t="s">
        <v>378</v>
      </c>
      <c r="M6" s="85" t="s">
        <v>378</v>
      </c>
      <c r="N6" s="85" t="s">
        <v>378</v>
      </c>
      <c r="O6" s="85" t="s">
        <v>378</v>
      </c>
      <c r="P6" s="77" t="s">
        <v>13</v>
      </c>
      <c r="Q6" s="85" t="s">
        <v>378</v>
      </c>
      <c r="R6" s="85" t="s">
        <v>378</v>
      </c>
      <c r="S6" s="85" t="s">
        <v>378</v>
      </c>
      <c r="T6" s="85" t="s">
        <v>378</v>
      </c>
      <c r="U6" s="80" t="s">
        <v>14</v>
      </c>
      <c r="V6" s="80" t="s">
        <v>14</v>
      </c>
      <c r="W6" s="77" t="s">
        <v>13</v>
      </c>
      <c r="X6" s="80" t="s">
        <v>14</v>
      </c>
      <c r="Y6" s="80" t="s">
        <v>14</v>
      </c>
      <c r="Z6" s="80" t="s">
        <v>14</v>
      </c>
      <c r="AA6" s="80" t="s">
        <v>14</v>
      </c>
      <c r="AB6" s="85" t="s">
        <v>378</v>
      </c>
      <c r="AC6" s="80" t="s">
        <v>14</v>
      </c>
      <c r="AD6" s="77" t="s">
        <v>13</v>
      </c>
      <c r="AE6" s="85" t="s">
        <v>378</v>
      </c>
      <c r="AF6" s="85" t="s">
        <v>378</v>
      </c>
      <c r="AG6" s="80" t="s">
        <v>14</v>
      </c>
      <c r="AH6" s="80" t="s">
        <v>14</v>
      </c>
      <c r="AI6" s="80" t="s">
        <v>14</v>
      </c>
      <c r="AJ6" s="79" t="s">
        <v>391</v>
      </c>
      <c r="AK6" s="77" t="s">
        <v>13</v>
      </c>
      <c r="AL6" s="106">
        <f t="shared" si="0"/>
        <v>0</v>
      </c>
      <c r="AM6" s="106">
        <f t="shared" si="1"/>
        <v>12</v>
      </c>
      <c r="AN6" s="106">
        <f t="shared" si="2"/>
        <v>0</v>
      </c>
      <c r="AO6" s="106">
        <f t="shared" si="3"/>
        <v>12</v>
      </c>
      <c r="AP6" s="106">
        <f t="shared" si="4"/>
        <v>11</v>
      </c>
      <c r="AQ6" s="134"/>
      <c r="AR6" s="134"/>
      <c r="AS6" s="134"/>
      <c r="AT6" s="135"/>
      <c r="AU6" s="106" t="s">
        <v>427</v>
      </c>
      <c r="AV6" s="100"/>
      <c r="AW6" s="100"/>
    </row>
    <row r="7" spans="1:49" ht="15.75" customHeight="1" x14ac:dyDescent="0.25">
      <c r="A7" s="96">
        <v>6</v>
      </c>
      <c r="B7" s="148">
        <v>268</v>
      </c>
      <c r="C7" s="32" t="s">
        <v>15</v>
      </c>
      <c r="D7" s="32" t="s">
        <v>16</v>
      </c>
      <c r="E7" s="32" t="s">
        <v>9</v>
      </c>
      <c r="F7" s="32" t="s">
        <v>17</v>
      </c>
      <c r="G7" s="60">
        <v>45733</v>
      </c>
      <c r="H7" s="77" t="s">
        <v>389</v>
      </c>
      <c r="I7" s="77" t="s">
        <v>13</v>
      </c>
      <c r="J7" s="78" t="s">
        <v>390</v>
      </c>
      <c r="K7" s="78" t="s">
        <v>390</v>
      </c>
      <c r="L7" s="78" t="s">
        <v>390</v>
      </c>
      <c r="M7" s="78" t="s">
        <v>390</v>
      </c>
      <c r="N7" s="78" t="s">
        <v>390</v>
      </c>
      <c r="O7" s="79" t="s">
        <v>391</v>
      </c>
      <c r="P7" s="77" t="s">
        <v>13</v>
      </c>
      <c r="Q7" s="80" t="s">
        <v>14</v>
      </c>
      <c r="R7" s="78" t="s">
        <v>390</v>
      </c>
      <c r="S7" s="78" t="s">
        <v>390</v>
      </c>
      <c r="T7" s="81" t="s">
        <v>392</v>
      </c>
      <c r="U7" s="78" t="s">
        <v>390</v>
      </c>
      <c r="V7" s="78" t="s">
        <v>390</v>
      </c>
      <c r="W7" s="77" t="s">
        <v>13</v>
      </c>
      <c r="X7" s="78" t="s">
        <v>390</v>
      </c>
      <c r="Y7" s="78" t="s">
        <v>390</v>
      </c>
      <c r="Z7" s="78" t="s">
        <v>390</v>
      </c>
      <c r="AA7" s="78" t="s">
        <v>390</v>
      </c>
      <c r="AB7" s="78" t="s">
        <v>390</v>
      </c>
      <c r="AC7" s="78" t="s">
        <v>390</v>
      </c>
      <c r="AD7" s="77" t="s">
        <v>13</v>
      </c>
      <c r="AE7" s="78" t="s">
        <v>390</v>
      </c>
      <c r="AF7" s="80" t="s">
        <v>14</v>
      </c>
      <c r="AG7" s="78" t="s">
        <v>390</v>
      </c>
      <c r="AH7" s="78" t="s">
        <v>390</v>
      </c>
      <c r="AI7" s="78" t="s">
        <v>390</v>
      </c>
      <c r="AJ7" s="78" t="s">
        <v>390</v>
      </c>
      <c r="AK7" s="77" t="s">
        <v>13</v>
      </c>
      <c r="AL7" s="106">
        <f t="shared" si="0"/>
        <v>20</v>
      </c>
      <c r="AM7" s="106">
        <f t="shared" si="1"/>
        <v>0</v>
      </c>
      <c r="AN7" s="106">
        <f t="shared" si="2"/>
        <v>0.5</v>
      </c>
      <c r="AO7" s="106">
        <f t="shared" si="3"/>
        <v>20.5</v>
      </c>
      <c r="AP7" s="106">
        <f t="shared" si="4"/>
        <v>2.5</v>
      </c>
      <c r="AQ7" s="134">
        <v>10</v>
      </c>
      <c r="AR7" s="134">
        <v>260</v>
      </c>
      <c r="AS7" s="134">
        <v>30</v>
      </c>
      <c r="AT7" s="135">
        <v>11.538461538461538</v>
      </c>
      <c r="AU7" s="106" t="s">
        <v>427</v>
      </c>
      <c r="AV7" s="100"/>
      <c r="AW7" s="100"/>
    </row>
    <row r="8" spans="1:49" ht="15.75" customHeight="1" x14ac:dyDescent="0.25">
      <c r="A8" s="96">
        <v>7</v>
      </c>
      <c r="B8" s="148">
        <v>272</v>
      </c>
      <c r="C8" s="32" t="s">
        <v>354</v>
      </c>
      <c r="D8" s="32" t="s">
        <v>19</v>
      </c>
      <c r="E8" s="30" t="s">
        <v>28</v>
      </c>
      <c r="F8" s="32" t="s">
        <v>17</v>
      </c>
      <c r="G8" s="60">
        <v>45741</v>
      </c>
      <c r="H8" s="77" t="s">
        <v>389</v>
      </c>
      <c r="I8" s="77" t="s">
        <v>13</v>
      </c>
      <c r="J8" s="78" t="s">
        <v>390</v>
      </c>
      <c r="K8" s="78" t="s">
        <v>390</v>
      </c>
      <c r="L8" s="78" t="s">
        <v>390</v>
      </c>
      <c r="M8" s="78" t="s">
        <v>390</v>
      </c>
      <c r="N8" s="81" t="s">
        <v>392</v>
      </c>
      <c r="O8" s="85" t="s">
        <v>378</v>
      </c>
      <c r="P8" s="77" t="s">
        <v>13</v>
      </c>
      <c r="Q8" s="85" t="s">
        <v>378</v>
      </c>
      <c r="R8" s="85" t="s">
        <v>378</v>
      </c>
      <c r="S8" s="85" t="s">
        <v>378</v>
      </c>
      <c r="T8" s="85" t="s">
        <v>378</v>
      </c>
      <c r="U8" s="85" t="s">
        <v>378</v>
      </c>
      <c r="V8" s="85" t="s">
        <v>378</v>
      </c>
      <c r="W8" s="77" t="s">
        <v>13</v>
      </c>
      <c r="X8" s="85" t="s">
        <v>378</v>
      </c>
      <c r="Y8" s="85" t="s">
        <v>378</v>
      </c>
      <c r="Z8" s="85" t="s">
        <v>378</v>
      </c>
      <c r="AA8" s="79" t="s">
        <v>391</v>
      </c>
      <c r="AB8" s="85" t="s">
        <v>378</v>
      </c>
      <c r="AC8" s="85" t="s">
        <v>378</v>
      </c>
      <c r="AD8" s="77" t="s">
        <v>13</v>
      </c>
      <c r="AE8" s="78" t="s">
        <v>390</v>
      </c>
      <c r="AF8" s="78" t="s">
        <v>390</v>
      </c>
      <c r="AG8" s="85" t="s">
        <v>378</v>
      </c>
      <c r="AH8" s="80" t="s">
        <v>14</v>
      </c>
      <c r="AI8" s="78" t="s">
        <v>390</v>
      </c>
      <c r="AJ8" s="78" t="s">
        <v>390</v>
      </c>
      <c r="AK8" s="77" t="s">
        <v>13</v>
      </c>
      <c r="AL8" s="106">
        <f t="shared" si="0"/>
        <v>8</v>
      </c>
      <c r="AM8" s="106">
        <f t="shared" si="1"/>
        <v>13</v>
      </c>
      <c r="AN8" s="106">
        <f t="shared" si="2"/>
        <v>0.5</v>
      </c>
      <c r="AO8" s="106">
        <f t="shared" si="3"/>
        <v>21.5</v>
      </c>
      <c r="AP8" s="106">
        <f t="shared" si="4"/>
        <v>1.5</v>
      </c>
      <c r="AQ8" s="134"/>
      <c r="AR8" s="134"/>
      <c r="AS8" s="134"/>
      <c r="AT8" s="135"/>
      <c r="AU8" s="106" t="s">
        <v>427</v>
      </c>
      <c r="AV8" s="100"/>
      <c r="AW8" s="100"/>
    </row>
    <row r="9" spans="1:49" ht="15.75" customHeight="1" x14ac:dyDescent="0.25">
      <c r="A9" s="96">
        <v>8</v>
      </c>
      <c r="B9" s="148">
        <v>274</v>
      </c>
      <c r="C9" s="32" t="s">
        <v>362</v>
      </c>
      <c r="D9" s="32" t="s">
        <v>83</v>
      </c>
      <c r="E9" s="32" t="s">
        <v>20</v>
      </c>
      <c r="F9" s="32" t="s">
        <v>17</v>
      </c>
      <c r="G9" s="67">
        <v>45748</v>
      </c>
      <c r="H9" s="77" t="s">
        <v>389</v>
      </c>
      <c r="I9" s="77" t="s">
        <v>13</v>
      </c>
      <c r="J9" s="78" t="s">
        <v>390</v>
      </c>
      <c r="K9" s="78" t="s">
        <v>390</v>
      </c>
      <c r="L9" s="78" t="s">
        <v>390</v>
      </c>
      <c r="M9" s="78" t="s">
        <v>390</v>
      </c>
      <c r="N9" s="78" t="s">
        <v>390</v>
      </c>
      <c r="O9" s="78" t="s">
        <v>390</v>
      </c>
      <c r="P9" s="77" t="s">
        <v>13</v>
      </c>
      <c r="Q9" s="78" t="s">
        <v>390</v>
      </c>
      <c r="R9" s="78" t="s">
        <v>390</v>
      </c>
      <c r="S9" s="78" t="s">
        <v>390</v>
      </c>
      <c r="T9" s="78" t="s">
        <v>390</v>
      </c>
      <c r="U9" s="78" t="s">
        <v>390</v>
      </c>
      <c r="V9" s="78" t="s">
        <v>390</v>
      </c>
      <c r="W9" s="77" t="s">
        <v>13</v>
      </c>
      <c r="X9" s="78" t="s">
        <v>390</v>
      </c>
      <c r="Y9" s="78" t="s">
        <v>390</v>
      </c>
      <c r="Z9" s="78" t="s">
        <v>390</v>
      </c>
      <c r="AA9" s="78" t="s">
        <v>390</v>
      </c>
      <c r="AB9" s="78" t="s">
        <v>390</v>
      </c>
      <c r="AC9" s="79" t="s">
        <v>391</v>
      </c>
      <c r="AD9" s="77" t="s">
        <v>13</v>
      </c>
      <c r="AE9" s="78" t="s">
        <v>390</v>
      </c>
      <c r="AF9" s="78" t="s">
        <v>390</v>
      </c>
      <c r="AG9" s="78" t="s">
        <v>390</v>
      </c>
      <c r="AH9" s="78" t="s">
        <v>390</v>
      </c>
      <c r="AI9" s="78" t="s">
        <v>390</v>
      </c>
      <c r="AJ9" s="78" t="s">
        <v>390</v>
      </c>
      <c r="AK9" s="77" t="s">
        <v>13</v>
      </c>
      <c r="AL9" s="106">
        <f t="shared" si="0"/>
        <v>23</v>
      </c>
      <c r="AM9" s="106">
        <f t="shared" si="1"/>
        <v>0</v>
      </c>
      <c r="AN9" s="106">
        <f t="shared" si="2"/>
        <v>0</v>
      </c>
      <c r="AO9" s="106">
        <f t="shared" si="3"/>
        <v>23</v>
      </c>
      <c r="AP9" s="106">
        <f t="shared" si="4"/>
        <v>0</v>
      </c>
      <c r="AQ9" s="134"/>
      <c r="AR9" s="134"/>
      <c r="AS9" s="134"/>
      <c r="AT9" s="135"/>
      <c r="AU9" s="106" t="s">
        <v>427</v>
      </c>
      <c r="AV9" s="100"/>
      <c r="AW9" s="100"/>
    </row>
    <row r="10" spans="1:49" ht="15.75" customHeight="1" x14ac:dyDescent="0.25">
      <c r="A10" s="96">
        <v>9</v>
      </c>
      <c r="B10" s="148">
        <v>277</v>
      </c>
      <c r="C10" s="32" t="s">
        <v>353</v>
      </c>
      <c r="D10" s="32" t="s">
        <v>44</v>
      </c>
      <c r="E10" s="30" t="s">
        <v>28</v>
      </c>
      <c r="F10" s="32" t="s">
        <v>17</v>
      </c>
      <c r="G10" s="67">
        <v>45750</v>
      </c>
      <c r="H10" s="77" t="s">
        <v>389</v>
      </c>
      <c r="I10" s="77" t="s">
        <v>13</v>
      </c>
      <c r="J10" s="78" t="s">
        <v>390</v>
      </c>
      <c r="K10" s="78" t="s">
        <v>390</v>
      </c>
      <c r="L10" s="78" t="s">
        <v>390</v>
      </c>
      <c r="M10" s="78" t="s">
        <v>390</v>
      </c>
      <c r="N10" s="78" t="s">
        <v>390</v>
      </c>
      <c r="O10" s="78" t="s">
        <v>390</v>
      </c>
      <c r="P10" s="77" t="s">
        <v>13</v>
      </c>
      <c r="Q10" s="78" t="s">
        <v>390</v>
      </c>
      <c r="R10" s="78" t="s">
        <v>390</v>
      </c>
      <c r="S10" s="78" t="s">
        <v>390</v>
      </c>
      <c r="T10" s="78" t="s">
        <v>390</v>
      </c>
      <c r="U10" s="78" t="s">
        <v>390</v>
      </c>
      <c r="V10" s="85" t="s">
        <v>378</v>
      </c>
      <c r="W10" s="77" t="s">
        <v>13</v>
      </c>
      <c r="X10" s="85" t="s">
        <v>378</v>
      </c>
      <c r="Y10" s="78" t="s">
        <v>390</v>
      </c>
      <c r="Z10" s="78" t="s">
        <v>390</v>
      </c>
      <c r="AA10" s="78" t="s">
        <v>390</v>
      </c>
      <c r="AB10" s="80" t="s">
        <v>14</v>
      </c>
      <c r="AC10" s="79" t="s">
        <v>391</v>
      </c>
      <c r="AD10" s="77" t="s">
        <v>13</v>
      </c>
      <c r="AE10" s="78" t="s">
        <v>390</v>
      </c>
      <c r="AF10" s="78" t="s">
        <v>390</v>
      </c>
      <c r="AG10" s="78" t="s">
        <v>390</v>
      </c>
      <c r="AH10" s="78" t="s">
        <v>390</v>
      </c>
      <c r="AI10" s="78" t="s">
        <v>390</v>
      </c>
      <c r="AJ10" s="78" t="s">
        <v>390</v>
      </c>
      <c r="AK10" s="77" t="s">
        <v>13</v>
      </c>
      <c r="AL10" s="106">
        <f t="shared" si="0"/>
        <v>20</v>
      </c>
      <c r="AM10" s="106">
        <f t="shared" si="1"/>
        <v>2</v>
      </c>
      <c r="AN10" s="106">
        <f t="shared" si="2"/>
        <v>0</v>
      </c>
      <c r="AO10" s="106">
        <f t="shared" si="3"/>
        <v>22</v>
      </c>
      <c r="AP10" s="106">
        <f t="shared" si="4"/>
        <v>1</v>
      </c>
      <c r="AQ10" s="134"/>
      <c r="AR10" s="134"/>
      <c r="AS10" s="134"/>
      <c r="AT10" s="135"/>
      <c r="AU10" s="106" t="s">
        <v>427</v>
      </c>
      <c r="AV10" s="100"/>
      <c r="AW10" s="100"/>
    </row>
    <row r="11" spans="1:49" ht="15.75" customHeight="1" x14ac:dyDescent="0.25">
      <c r="A11" s="96">
        <v>10</v>
      </c>
      <c r="B11" s="148">
        <v>290</v>
      </c>
      <c r="C11" s="32" t="s">
        <v>359</v>
      </c>
      <c r="D11" s="32" t="s">
        <v>16</v>
      </c>
      <c r="E11" s="32" t="s">
        <v>39</v>
      </c>
      <c r="F11" s="32" t="s">
        <v>17</v>
      </c>
      <c r="G11" s="59" t="s">
        <v>360</v>
      </c>
      <c r="H11" s="77" t="s">
        <v>389</v>
      </c>
      <c r="I11" s="77" t="s">
        <v>13</v>
      </c>
      <c r="J11" s="78" t="s">
        <v>390</v>
      </c>
      <c r="K11" s="78" t="s">
        <v>390</v>
      </c>
      <c r="L11" s="78" t="s">
        <v>390</v>
      </c>
      <c r="M11" s="78" t="s">
        <v>390</v>
      </c>
      <c r="N11" s="78" t="s">
        <v>390</v>
      </c>
      <c r="O11" s="78" t="s">
        <v>390</v>
      </c>
      <c r="P11" s="77" t="s">
        <v>13</v>
      </c>
      <c r="Q11" s="78" t="s">
        <v>390</v>
      </c>
      <c r="R11" s="78" t="s">
        <v>390</v>
      </c>
      <c r="S11" s="78" t="s">
        <v>390</v>
      </c>
      <c r="T11" s="78" t="s">
        <v>390</v>
      </c>
      <c r="U11" s="78" t="s">
        <v>390</v>
      </c>
      <c r="V11" s="78" t="s">
        <v>390</v>
      </c>
      <c r="W11" s="77" t="s">
        <v>13</v>
      </c>
      <c r="X11" s="78" t="s">
        <v>390</v>
      </c>
      <c r="Y11" s="78" t="s">
        <v>390</v>
      </c>
      <c r="Z11" s="78" t="s">
        <v>390</v>
      </c>
      <c r="AA11" s="78" t="s">
        <v>390</v>
      </c>
      <c r="AB11" s="139" t="s">
        <v>14</v>
      </c>
      <c r="AC11" s="80" t="s">
        <v>14</v>
      </c>
      <c r="AD11" s="77" t="s">
        <v>13</v>
      </c>
      <c r="AE11" s="78" t="s">
        <v>390</v>
      </c>
      <c r="AF11" s="78" t="s">
        <v>390</v>
      </c>
      <c r="AG11" s="78" t="s">
        <v>390</v>
      </c>
      <c r="AH11" s="78" t="s">
        <v>390</v>
      </c>
      <c r="AI11" s="78" t="s">
        <v>390</v>
      </c>
      <c r="AJ11" s="79" t="s">
        <v>391</v>
      </c>
      <c r="AK11" s="77" t="s">
        <v>13</v>
      </c>
      <c r="AL11" s="106">
        <f t="shared" si="0"/>
        <v>21</v>
      </c>
      <c r="AM11" s="106">
        <f t="shared" si="1"/>
        <v>0</v>
      </c>
      <c r="AN11" s="106">
        <f t="shared" si="2"/>
        <v>0</v>
      </c>
      <c r="AO11" s="106">
        <f t="shared" si="3"/>
        <v>21</v>
      </c>
      <c r="AP11" s="106">
        <f t="shared" si="4"/>
        <v>2</v>
      </c>
      <c r="AQ11" s="134"/>
      <c r="AR11" s="134"/>
      <c r="AS11" s="134"/>
      <c r="AT11" s="135"/>
      <c r="AU11" s="106" t="s">
        <v>427</v>
      </c>
      <c r="AV11" s="100"/>
      <c r="AW11" s="100"/>
    </row>
    <row r="12" spans="1:49" ht="15.75" customHeight="1" x14ac:dyDescent="0.25">
      <c r="A12" s="96">
        <v>11</v>
      </c>
      <c r="B12" s="148">
        <v>291</v>
      </c>
      <c r="C12" s="32" t="s">
        <v>18</v>
      </c>
      <c r="D12" s="32" t="s">
        <v>19</v>
      </c>
      <c r="E12" s="32" t="s">
        <v>20</v>
      </c>
      <c r="F12" s="32" t="s">
        <v>17</v>
      </c>
      <c r="G12" s="59" t="s">
        <v>21</v>
      </c>
      <c r="H12" s="77" t="s">
        <v>389</v>
      </c>
      <c r="I12" s="77" t="s">
        <v>13</v>
      </c>
      <c r="J12" s="78" t="s">
        <v>390</v>
      </c>
      <c r="K12" s="78" t="s">
        <v>390</v>
      </c>
      <c r="L12" s="78" t="s">
        <v>390</v>
      </c>
      <c r="M12" s="78" t="s">
        <v>390</v>
      </c>
      <c r="N12" s="78" t="s">
        <v>390</v>
      </c>
      <c r="O12" s="78" t="s">
        <v>390</v>
      </c>
      <c r="P12" s="77" t="s">
        <v>13</v>
      </c>
      <c r="Q12" s="78" t="s">
        <v>390</v>
      </c>
      <c r="R12" s="78" t="s">
        <v>390</v>
      </c>
      <c r="S12" s="78" t="s">
        <v>390</v>
      </c>
      <c r="T12" s="78" t="s">
        <v>390</v>
      </c>
      <c r="U12" s="78" t="s">
        <v>390</v>
      </c>
      <c r="V12" s="78" t="s">
        <v>390</v>
      </c>
      <c r="W12" s="77" t="s">
        <v>13</v>
      </c>
      <c r="X12" s="78" t="s">
        <v>390</v>
      </c>
      <c r="Y12" s="78" t="s">
        <v>390</v>
      </c>
      <c r="Z12" s="78" t="s">
        <v>390</v>
      </c>
      <c r="AA12" s="78" t="s">
        <v>390</v>
      </c>
      <c r="AB12" s="78" t="s">
        <v>390</v>
      </c>
      <c r="AC12" s="79" t="s">
        <v>391</v>
      </c>
      <c r="AD12" s="77" t="s">
        <v>13</v>
      </c>
      <c r="AE12" s="78" t="s">
        <v>390</v>
      </c>
      <c r="AF12" s="78" t="s">
        <v>390</v>
      </c>
      <c r="AG12" s="78" t="s">
        <v>390</v>
      </c>
      <c r="AH12" s="78" t="s">
        <v>390</v>
      </c>
      <c r="AI12" s="78" t="s">
        <v>390</v>
      </c>
      <c r="AJ12" s="78" t="s">
        <v>390</v>
      </c>
      <c r="AK12" s="77" t="s">
        <v>13</v>
      </c>
      <c r="AL12" s="106">
        <f t="shared" si="0"/>
        <v>23</v>
      </c>
      <c r="AM12" s="106">
        <f t="shared" si="1"/>
        <v>0</v>
      </c>
      <c r="AN12" s="106">
        <f t="shared" si="2"/>
        <v>0</v>
      </c>
      <c r="AO12" s="106">
        <f t="shared" si="3"/>
        <v>23</v>
      </c>
      <c r="AP12" s="106">
        <f t="shared" si="4"/>
        <v>0</v>
      </c>
      <c r="AQ12" s="134">
        <v>15</v>
      </c>
      <c r="AR12" s="134">
        <v>390</v>
      </c>
      <c r="AS12" s="134">
        <v>335</v>
      </c>
      <c r="AT12" s="135">
        <v>85.897435897435898</v>
      </c>
      <c r="AU12" s="106" t="s">
        <v>427</v>
      </c>
      <c r="AV12" s="100"/>
      <c r="AW12" s="100"/>
    </row>
    <row r="13" spans="1:49" ht="15.75" customHeight="1" x14ac:dyDescent="0.25">
      <c r="A13" s="96">
        <v>12</v>
      </c>
      <c r="B13" s="148">
        <v>292</v>
      </c>
      <c r="C13" s="32" t="s">
        <v>22</v>
      </c>
      <c r="D13" s="32" t="s">
        <v>23</v>
      </c>
      <c r="E13" s="32" t="s">
        <v>24</v>
      </c>
      <c r="F13" s="32" t="s">
        <v>17</v>
      </c>
      <c r="G13" s="59" t="s">
        <v>25</v>
      </c>
      <c r="H13" s="77" t="s">
        <v>389</v>
      </c>
      <c r="I13" s="77" t="s">
        <v>13</v>
      </c>
      <c r="J13" s="80" t="s">
        <v>14</v>
      </c>
      <c r="K13" s="80" t="s">
        <v>14</v>
      </c>
      <c r="L13" s="80" t="s">
        <v>14</v>
      </c>
      <c r="M13" s="80" t="s">
        <v>14</v>
      </c>
      <c r="N13" s="80" t="s">
        <v>14</v>
      </c>
      <c r="O13" s="139" t="s">
        <v>14</v>
      </c>
      <c r="P13" s="77" t="s">
        <v>13</v>
      </c>
      <c r="Q13" s="80" t="s">
        <v>14</v>
      </c>
      <c r="R13" s="78" t="s">
        <v>390</v>
      </c>
      <c r="S13" s="78" t="s">
        <v>390</v>
      </c>
      <c r="T13" s="78" t="s">
        <v>390</v>
      </c>
      <c r="U13" s="81" t="s">
        <v>392</v>
      </c>
      <c r="V13" s="80" t="s">
        <v>14</v>
      </c>
      <c r="W13" s="77" t="s">
        <v>13</v>
      </c>
      <c r="X13" s="78" t="s">
        <v>390</v>
      </c>
      <c r="Y13" s="81" t="s">
        <v>392</v>
      </c>
      <c r="Z13" s="80" t="s">
        <v>14</v>
      </c>
      <c r="AA13" s="78" t="s">
        <v>390</v>
      </c>
      <c r="AB13" s="78" t="s">
        <v>390</v>
      </c>
      <c r="AC13" s="78" t="s">
        <v>390</v>
      </c>
      <c r="AD13" s="77" t="s">
        <v>13</v>
      </c>
      <c r="AE13" s="81" t="s">
        <v>392</v>
      </c>
      <c r="AF13" s="78" t="s">
        <v>390</v>
      </c>
      <c r="AG13" s="79" t="s">
        <v>391</v>
      </c>
      <c r="AH13" s="78" t="s">
        <v>390</v>
      </c>
      <c r="AI13" s="78" t="s">
        <v>390</v>
      </c>
      <c r="AJ13" s="78" t="s">
        <v>390</v>
      </c>
      <c r="AK13" s="77" t="s">
        <v>13</v>
      </c>
      <c r="AL13" s="106">
        <f t="shared" si="0"/>
        <v>11</v>
      </c>
      <c r="AM13" s="106">
        <f t="shared" si="1"/>
        <v>0</v>
      </c>
      <c r="AN13" s="106">
        <f t="shared" si="2"/>
        <v>1.5</v>
      </c>
      <c r="AO13" s="106">
        <f t="shared" si="3"/>
        <v>12.5</v>
      </c>
      <c r="AP13" s="106">
        <f t="shared" si="4"/>
        <v>10.5</v>
      </c>
      <c r="AQ13" s="134">
        <v>15</v>
      </c>
      <c r="AR13" s="134">
        <v>390</v>
      </c>
      <c r="AS13" s="134">
        <v>214</v>
      </c>
      <c r="AT13" s="135">
        <v>54.871794871794876</v>
      </c>
      <c r="AU13" s="106" t="s">
        <v>427</v>
      </c>
      <c r="AV13" s="100"/>
      <c r="AW13" s="100"/>
    </row>
    <row r="14" spans="1:49" ht="15.75" customHeight="1" x14ac:dyDescent="0.25">
      <c r="A14" s="96">
        <v>13</v>
      </c>
      <c r="B14" s="148">
        <v>294</v>
      </c>
      <c r="C14" s="32" t="s">
        <v>26</v>
      </c>
      <c r="D14" s="32" t="s">
        <v>19</v>
      </c>
      <c r="E14" s="32" t="s">
        <v>20</v>
      </c>
      <c r="F14" s="32" t="s">
        <v>17</v>
      </c>
      <c r="G14" s="61">
        <v>45784</v>
      </c>
      <c r="H14" s="77" t="s">
        <v>389</v>
      </c>
      <c r="I14" s="77" t="s">
        <v>13</v>
      </c>
      <c r="J14" s="78" t="s">
        <v>390</v>
      </c>
      <c r="K14" s="78" t="s">
        <v>390</v>
      </c>
      <c r="L14" s="78" t="s">
        <v>390</v>
      </c>
      <c r="M14" s="78" t="s">
        <v>390</v>
      </c>
      <c r="N14" s="78" t="s">
        <v>390</v>
      </c>
      <c r="O14" s="78" t="s">
        <v>390</v>
      </c>
      <c r="P14" s="77" t="s">
        <v>13</v>
      </c>
      <c r="Q14" s="78" t="s">
        <v>390</v>
      </c>
      <c r="R14" s="78" t="s">
        <v>390</v>
      </c>
      <c r="S14" s="78" t="s">
        <v>390</v>
      </c>
      <c r="T14" s="78" t="s">
        <v>390</v>
      </c>
      <c r="U14" s="78" t="s">
        <v>390</v>
      </c>
      <c r="V14" s="79" t="s">
        <v>391</v>
      </c>
      <c r="W14" s="77" t="s">
        <v>13</v>
      </c>
      <c r="X14" s="78" t="s">
        <v>390</v>
      </c>
      <c r="Y14" s="78" t="s">
        <v>390</v>
      </c>
      <c r="Z14" s="78" t="s">
        <v>390</v>
      </c>
      <c r="AA14" s="78" t="s">
        <v>390</v>
      </c>
      <c r="AB14" s="78" t="s">
        <v>390</v>
      </c>
      <c r="AC14" s="78" t="s">
        <v>390</v>
      </c>
      <c r="AD14" s="77" t="s">
        <v>13</v>
      </c>
      <c r="AE14" s="78" t="s">
        <v>390</v>
      </c>
      <c r="AF14" s="80" t="s">
        <v>14</v>
      </c>
      <c r="AG14" s="78" t="s">
        <v>390</v>
      </c>
      <c r="AH14" s="78" t="s">
        <v>390</v>
      </c>
      <c r="AI14" s="78" t="s">
        <v>390</v>
      </c>
      <c r="AJ14" s="78" t="s">
        <v>390</v>
      </c>
      <c r="AK14" s="77" t="s">
        <v>13</v>
      </c>
      <c r="AL14" s="106">
        <f t="shared" si="0"/>
        <v>22</v>
      </c>
      <c r="AM14" s="106">
        <f t="shared" si="1"/>
        <v>0</v>
      </c>
      <c r="AN14" s="106">
        <f t="shared" si="2"/>
        <v>0</v>
      </c>
      <c r="AO14" s="106">
        <f t="shared" si="3"/>
        <v>22</v>
      </c>
      <c r="AP14" s="106">
        <f t="shared" si="4"/>
        <v>1</v>
      </c>
      <c r="AQ14" s="134">
        <v>12</v>
      </c>
      <c r="AR14" s="134">
        <v>312</v>
      </c>
      <c r="AS14" s="134">
        <v>262</v>
      </c>
      <c r="AT14" s="135">
        <v>83.974358974358978</v>
      </c>
      <c r="AU14" s="106" t="s">
        <v>427</v>
      </c>
      <c r="AV14" s="100"/>
      <c r="AW14" s="100"/>
    </row>
    <row r="15" spans="1:49" ht="15.75" customHeight="1" x14ac:dyDescent="0.25">
      <c r="A15" s="96">
        <v>14</v>
      </c>
      <c r="B15" s="148">
        <v>296</v>
      </c>
      <c r="C15" s="32" t="s">
        <v>352</v>
      </c>
      <c r="D15" s="32" t="s">
        <v>23</v>
      </c>
      <c r="E15" s="32" t="s">
        <v>109</v>
      </c>
      <c r="F15" s="32" t="s">
        <v>17</v>
      </c>
      <c r="G15" s="59" t="s">
        <v>289</v>
      </c>
      <c r="H15" s="75" t="s">
        <v>12</v>
      </c>
      <c r="I15" s="75" t="s">
        <v>13</v>
      </c>
      <c r="J15" s="80" t="s">
        <v>14</v>
      </c>
      <c r="K15" s="84" t="s">
        <v>390</v>
      </c>
      <c r="L15" s="84" t="s">
        <v>390</v>
      </c>
      <c r="M15" s="84" t="s">
        <v>390</v>
      </c>
      <c r="N15" s="84" t="s">
        <v>390</v>
      </c>
      <c r="O15" s="84" t="s">
        <v>390</v>
      </c>
      <c r="P15" s="75" t="s">
        <v>13</v>
      </c>
      <c r="Q15" s="84" t="s">
        <v>390</v>
      </c>
      <c r="R15" s="84" t="s">
        <v>390</v>
      </c>
      <c r="S15" s="84" t="s">
        <v>390</v>
      </c>
      <c r="T15" s="84" t="s">
        <v>390</v>
      </c>
      <c r="U15" s="84" t="s">
        <v>390</v>
      </c>
      <c r="V15" s="82" t="s">
        <v>391</v>
      </c>
      <c r="W15" s="75" t="s">
        <v>13</v>
      </c>
      <c r="X15" s="84" t="s">
        <v>390</v>
      </c>
      <c r="Y15" s="76" t="s">
        <v>378</v>
      </c>
      <c r="Z15" s="84" t="s">
        <v>390</v>
      </c>
      <c r="AA15" s="84" t="s">
        <v>390</v>
      </c>
      <c r="AB15" s="84" t="s">
        <v>390</v>
      </c>
      <c r="AC15" s="82" t="s">
        <v>391</v>
      </c>
      <c r="AD15" s="75" t="s">
        <v>13</v>
      </c>
      <c r="AE15" s="84" t="s">
        <v>390</v>
      </c>
      <c r="AF15" s="84" t="s">
        <v>390</v>
      </c>
      <c r="AG15" s="84" t="s">
        <v>390</v>
      </c>
      <c r="AH15" s="84" t="s">
        <v>390</v>
      </c>
      <c r="AI15" s="84" t="s">
        <v>390</v>
      </c>
      <c r="AJ15" s="84" t="s">
        <v>390</v>
      </c>
      <c r="AK15" s="75" t="s">
        <v>13</v>
      </c>
      <c r="AL15" s="106">
        <f t="shared" si="0"/>
        <v>20</v>
      </c>
      <c r="AM15" s="106">
        <f t="shared" si="1"/>
        <v>1</v>
      </c>
      <c r="AN15" s="106">
        <f t="shared" si="2"/>
        <v>0</v>
      </c>
      <c r="AO15" s="106">
        <f t="shared" si="3"/>
        <v>21</v>
      </c>
      <c r="AP15" s="106">
        <f t="shared" si="4"/>
        <v>1</v>
      </c>
      <c r="AQ15" s="134"/>
      <c r="AR15" s="134"/>
      <c r="AS15" s="134"/>
      <c r="AT15" s="135"/>
      <c r="AU15" s="106" t="s">
        <v>427</v>
      </c>
      <c r="AV15" s="100"/>
      <c r="AW15" s="100"/>
    </row>
    <row r="16" spans="1:49" ht="15.75" customHeight="1" x14ac:dyDescent="0.25">
      <c r="A16" s="96">
        <v>15</v>
      </c>
      <c r="B16" s="148">
        <v>297</v>
      </c>
      <c r="C16" s="32" t="s">
        <v>350</v>
      </c>
      <c r="D16" s="32" t="s">
        <v>23</v>
      </c>
      <c r="E16" s="32" t="s">
        <v>39</v>
      </c>
      <c r="F16" s="32" t="s">
        <v>17</v>
      </c>
      <c r="G16" s="59" t="s">
        <v>351</v>
      </c>
      <c r="H16" s="77" t="s">
        <v>389</v>
      </c>
      <c r="I16" s="77" t="s">
        <v>13</v>
      </c>
      <c r="J16" s="78" t="s">
        <v>390</v>
      </c>
      <c r="K16" s="80" t="s">
        <v>14</v>
      </c>
      <c r="L16" s="80" t="s">
        <v>14</v>
      </c>
      <c r="M16" s="80" t="s">
        <v>14</v>
      </c>
      <c r="N16" s="80" t="s">
        <v>14</v>
      </c>
      <c r="O16" s="79" t="s">
        <v>391</v>
      </c>
      <c r="P16" s="77" t="s">
        <v>13</v>
      </c>
      <c r="Q16" s="78" t="s">
        <v>390</v>
      </c>
      <c r="R16" s="78" t="s">
        <v>390</v>
      </c>
      <c r="S16" s="78" t="s">
        <v>390</v>
      </c>
      <c r="T16" s="78" t="s">
        <v>390</v>
      </c>
      <c r="U16" s="80" t="s">
        <v>14</v>
      </c>
      <c r="V16" s="78" t="s">
        <v>390</v>
      </c>
      <c r="W16" s="77" t="s">
        <v>13</v>
      </c>
      <c r="X16" s="78" t="s">
        <v>390</v>
      </c>
      <c r="Y16" s="78" t="s">
        <v>390</v>
      </c>
      <c r="Z16" s="80" t="s">
        <v>14</v>
      </c>
      <c r="AA16" s="78" t="s">
        <v>390</v>
      </c>
      <c r="AB16" s="78" t="s">
        <v>390</v>
      </c>
      <c r="AC16" s="78" t="s">
        <v>390</v>
      </c>
      <c r="AD16" s="77" t="s">
        <v>13</v>
      </c>
      <c r="AE16" s="78" t="s">
        <v>390</v>
      </c>
      <c r="AF16" s="78" t="s">
        <v>390</v>
      </c>
      <c r="AG16" s="78" t="s">
        <v>390</v>
      </c>
      <c r="AH16" s="78" t="s">
        <v>390</v>
      </c>
      <c r="AI16" s="80" t="s">
        <v>14</v>
      </c>
      <c r="AJ16" s="80" t="s">
        <v>14</v>
      </c>
      <c r="AK16" s="77" t="s">
        <v>13</v>
      </c>
      <c r="AL16" s="106">
        <f t="shared" si="0"/>
        <v>15</v>
      </c>
      <c r="AM16" s="106">
        <f t="shared" si="1"/>
        <v>0</v>
      </c>
      <c r="AN16" s="106">
        <f t="shared" si="2"/>
        <v>0</v>
      </c>
      <c r="AO16" s="106">
        <f t="shared" si="3"/>
        <v>15</v>
      </c>
      <c r="AP16" s="106">
        <f t="shared" si="4"/>
        <v>8</v>
      </c>
      <c r="AQ16" s="134">
        <v>50</v>
      </c>
      <c r="AR16" s="134">
        <v>1350</v>
      </c>
      <c r="AS16" s="134">
        <v>604</v>
      </c>
      <c r="AT16" s="135">
        <v>44.74074074074074</v>
      </c>
      <c r="AU16" s="106" t="s">
        <v>427</v>
      </c>
      <c r="AV16" s="100"/>
      <c r="AW16" s="100"/>
    </row>
    <row r="17" spans="1:49" ht="15.75" customHeight="1" x14ac:dyDescent="0.25">
      <c r="A17" s="96">
        <v>16</v>
      </c>
      <c r="B17" s="148">
        <v>300</v>
      </c>
      <c r="C17" s="32" t="s">
        <v>27</v>
      </c>
      <c r="D17" s="32" t="s">
        <v>23</v>
      </c>
      <c r="E17" s="30" t="s">
        <v>28</v>
      </c>
      <c r="F17" s="32" t="s">
        <v>17</v>
      </c>
      <c r="G17" s="59" t="s">
        <v>29</v>
      </c>
      <c r="H17" s="77" t="s">
        <v>389</v>
      </c>
      <c r="I17" s="77" t="s">
        <v>13</v>
      </c>
      <c r="J17" s="78" t="s">
        <v>390</v>
      </c>
      <c r="K17" s="80" t="s">
        <v>14</v>
      </c>
      <c r="L17" s="80" t="s">
        <v>14</v>
      </c>
      <c r="M17" s="78" t="s">
        <v>390</v>
      </c>
      <c r="N17" s="78" t="s">
        <v>390</v>
      </c>
      <c r="O17" s="136" t="s">
        <v>390</v>
      </c>
      <c r="P17" s="77" t="s">
        <v>13</v>
      </c>
      <c r="Q17" s="78" t="s">
        <v>390</v>
      </c>
      <c r="R17" s="78" t="s">
        <v>390</v>
      </c>
      <c r="S17" s="78" t="s">
        <v>390</v>
      </c>
      <c r="T17" s="78" t="s">
        <v>390</v>
      </c>
      <c r="U17" s="78" t="s">
        <v>390</v>
      </c>
      <c r="V17" s="78" t="s">
        <v>390</v>
      </c>
      <c r="W17" s="77" t="s">
        <v>13</v>
      </c>
      <c r="X17" s="79" t="s">
        <v>391</v>
      </c>
      <c r="Y17" s="78" t="s">
        <v>390</v>
      </c>
      <c r="Z17" s="78" t="s">
        <v>390</v>
      </c>
      <c r="AA17" s="78" t="s">
        <v>390</v>
      </c>
      <c r="AB17" s="78" t="s">
        <v>390</v>
      </c>
      <c r="AC17" s="78" t="s">
        <v>390</v>
      </c>
      <c r="AD17" s="77" t="s">
        <v>13</v>
      </c>
      <c r="AE17" s="78" t="s">
        <v>390</v>
      </c>
      <c r="AF17" s="78" t="s">
        <v>390</v>
      </c>
      <c r="AG17" s="78" t="s">
        <v>390</v>
      </c>
      <c r="AH17" s="78" t="s">
        <v>390</v>
      </c>
      <c r="AI17" s="78" t="s">
        <v>390</v>
      </c>
      <c r="AJ17" s="78" t="s">
        <v>390</v>
      </c>
      <c r="AK17" s="77" t="s">
        <v>13</v>
      </c>
      <c r="AL17" s="106">
        <f t="shared" si="0"/>
        <v>21</v>
      </c>
      <c r="AM17" s="106">
        <f t="shared" si="1"/>
        <v>0</v>
      </c>
      <c r="AN17" s="106">
        <f t="shared" si="2"/>
        <v>0</v>
      </c>
      <c r="AO17" s="106">
        <f t="shared" si="3"/>
        <v>21</v>
      </c>
      <c r="AP17" s="106">
        <f t="shared" si="4"/>
        <v>2</v>
      </c>
      <c r="AQ17" s="134">
        <v>50</v>
      </c>
      <c r="AR17" s="134">
        <v>1350</v>
      </c>
      <c r="AS17" s="134">
        <v>1058</v>
      </c>
      <c r="AT17" s="135">
        <v>78.370370370370367</v>
      </c>
      <c r="AU17" s="106" t="s">
        <v>427</v>
      </c>
      <c r="AV17" s="100"/>
      <c r="AW17" s="100"/>
    </row>
    <row r="18" spans="1:49" ht="15.75" customHeight="1" x14ac:dyDescent="0.25">
      <c r="A18" s="96">
        <v>17</v>
      </c>
      <c r="B18" s="148">
        <v>301</v>
      </c>
      <c r="C18" s="32" t="s">
        <v>30</v>
      </c>
      <c r="D18" s="32" t="s">
        <v>31</v>
      </c>
      <c r="E18" s="32" t="s">
        <v>24</v>
      </c>
      <c r="F18" s="32" t="s">
        <v>17</v>
      </c>
      <c r="G18" s="59" t="s">
        <v>29</v>
      </c>
      <c r="H18" s="77" t="s">
        <v>389</v>
      </c>
      <c r="I18" s="77" t="s">
        <v>13</v>
      </c>
      <c r="J18" s="78" t="s">
        <v>390</v>
      </c>
      <c r="K18" s="78" t="s">
        <v>390</v>
      </c>
      <c r="L18" s="78" t="s">
        <v>390</v>
      </c>
      <c r="M18" s="78" t="s">
        <v>390</v>
      </c>
      <c r="N18" s="78" t="s">
        <v>390</v>
      </c>
      <c r="O18" s="82" t="s">
        <v>391</v>
      </c>
      <c r="P18" s="77" t="s">
        <v>13</v>
      </c>
      <c r="Q18" s="81" t="s">
        <v>392</v>
      </c>
      <c r="R18" s="78" t="s">
        <v>390</v>
      </c>
      <c r="S18" s="78" t="s">
        <v>390</v>
      </c>
      <c r="T18" s="78" t="s">
        <v>390</v>
      </c>
      <c r="U18" s="78" t="s">
        <v>390</v>
      </c>
      <c r="V18" s="80" t="s">
        <v>14</v>
      </c>
      <c r="W18" s="77" t="s">
        <v>13</v>
      </c>
      <c r="X18" s="80" t="s">
        <v>14</v>
      </c>
      <c r="Y18" s="78" t="s">
        <v>390</v>
      </c>
      <c r="Z18" s="78" t="s">
        <v>390</v>
      </c>
      <c r="AA18" s="78" t="s">
        <v>390</v>
      </c>
      <c r="AB18" s="78" t="s">
        <v>390</v>
      </c>
      <c r="AC18" s="78" t="s">
        <v>390</v>
      </c>
      <c r="AD18" s="77" t="s">
        <v>13</v>
      </c>
      <c r="AE18" s="78" t="s">
        <v>390</v>
      </c>
      <c r="AF18" s="78" t="s">
        <v>390</v>
      </c>
      <c r="AG18" s="78" t="s">
        <v>390</v>
      </c>
      <c r="AH18" s="78" t="s">
        <v>390</v>
      </c>
      <c r="AI18" s="78" t="s">
        <v>390</v>
      </c>
      <c r="AJ18" s="81" t="s">
        <v>392</v>
      </c>
      <c r="AK18" s="77" t="s">
        <v>13</v>
      </c>
      <c r="AL18" s="106">
        <f t="shared" si="0"/>
        <v>19</v>
      </c>
      <c r="AM18" s="106">
        <f t="shared" si="1"/>
        <v>0</v>
      </c>
      <c r="AN18" s="106">
        <f t="shared" si="2"/>
        <v>1</v>
      </c>
      <c r="AO18" s="106">
        <f t="shared" si="3"/>
        <v>20</v>
      </c>
      <c r="AP18" s="106">
        <f t="shared" si="4"/>
        <v>3</v>
      </c>
      <c r="AQ18" s="134"/>
      <c r="AR18" s="134"/>
      <c r="AS18" s="134"/>
      <c r="AT18" s="135"/>
      <c r="AU18" s="106" t="s">
        <v>427</v>
      </c>
      <c r="AV18" s="100"/>
      <c r="AW18" s="100"/>
    </row>
    <row r="19" spans="1:49" ht="15.75" customHeight="1" x14ac:dyDescent="0.25">
      <c r="A19" s="96">
        <v>18</v>
      </c>
      <c r="B19" s="148">
        <v>305</v>
      </c>
      <c r="C19" s="32" t="s">
        <v>361</v>
      </c>
      <c r="D19" s="32" t="s">
        <v>23</v>
      </c>
      <c r="E19" s="32" t="s">
        <v>39</v>
      </c>
      <c r="F19" s="32" t="s">
        <v>17</v>
      </c>
      <c r="G19" s="61">
        <v>45811</v>
      </c>
      <c r="H19" s="77" t="s">
        <v>389</v>
      </c>
      <c r="I19" s="77" t="s">
        <v>13</v>
      </c>
      <c r="J19" s="78" t="s">
        <v>390</v>
      </c>
      <c r="K19" s="78" t="s">
        <v>390</v>
      </c>
      <c r="L19" s="85" t="s">
        <v>378</v>
      </c>
      <c r="M19" s="79" t="s">
        <v>391</v>
      </c>
      <c r="N19" s="78" t="s">
        <v>390</v>
      </c>
      <c r="O19" s="78" t="s">
        <v>390</v>
      </c>
      <c r="P19" s="77" t="s">
        <v>13</v>
      </c>
      <c r="Q19" s="78" t="s">
        <v>390</v>
      </c>
      <c r="R19" s="78" t="s">
        <v>390</v>
      </c>
      <c r="S19" s="78" t="s">
        <v>390</v>
      </c>
      <c r="T19" s="78" t="s">
        <v>390</v>
      </c>
      <c r="U19" s="78" t="s">
        <v>390</v>
      </c>
      <c r="V19" s="85" t="s">
        <v>378</v>
      </c>
      <c r="W19" s="77" t="s">
        <v>13</v>
      </c>
      <c r="X19" s="78" t="s">
        <v>390</v>
      </c>
      <c r="Y19" s="78" t="s">
        <v>390</v>
      </c>
      <c r="Z19" s="78" t="s">
        <v>390</v>
      </c>
      <c r="AA19" s="78" t="s">
        <v>390</v>
      </c>
      <c r="AB19" s="78" t="s">
        <v>390</v>
      </c>
      <c r="AC19" s="78" t="s">
        <v>390</v>
      </c>
      <c r="AD19" s="77" t="s">
        <v>13</v>
      </c>
      <c r="AE19" s="78" t="s">
        <v>390</v>
      </c>
      <c r="AF19" s="78" t="s">
        <v>390</v>
      </c>
      <c r="AG19" s="78" t="s">
        <v>390</v>
      </c>
      <c r="AH19" s="78" t="s">
        <v>390</v>
      </c>
      <c r="AI19" s="78" t="s">
        <v>390</v>
      </c>
      <c r="AJ19" s="85" t="s">
        <v>378</v>
      </c>
      <c r="AK19" s="77" t="s">
        <v>13</v>
      </c>
      <c r="AL19" s="106">
        <f t="shared" si="0"/>
        <v>20</v>
      </c>
      <c r="AM19" s="106">
        <f t="shared" si="1"/>
        <v>3</v>
      </c>
      <c r="AN19" s="106">
        <f t="shared" si="2"/>
        <v>0</v>
      </c>
      <c r="AO19" s="106">
        <f t="shared" si="3"/>
        <v>23</v>
      </c>
      <c r="AP19" s="106">
        <f t="shared" si="4"/>
        <v>0</v>
      </c>
      <c r="AQ19" s="134">
        <v>50</v>
      </c>
      <c r="AR19" s="134">
        <v>1450</v>
      </c>
      <c r="AS19" s="134">
        <v>5</v>
      </c>
      <c r="AT19" s="135">
        <v>0.34482758620689657</v>
      </c>
      <c r="AU19" s="106" t="s">
        <v>427</v>
      </c>
      <c r="AV19" s="100"/>
      <c r="AW19" s="100"/>
    </row>
    <row r="20" spans="1:49" ht="15.75" customHeight="1" x14ac:dyDescent="0.25">
      <c r="A20" s="96">
        <v>19</v>
      </c>
      <c r="B20" s="148">
        <v>306</v>
      </c>
      <c r="C20" s="32" t="s">
        <v>348</v>
      </c>
      <c r="D20" s="32" t="s">
        <v>23</v>
      </c>
      <c r="E20" s="30" t="s">
        <v>28</v>
      </c>
      <c r="F20" s="32" t="s">
        <v>17</v>
      </c>
      <c r="G20" s="61">
        <v>45814</v>
      </c>
      <c r="H20" s="77" t="s">
        <v>389</v>
      </c>
      <c r="I20" s="77" t="s">
        <v>13</v>
      </c>
      <c r="J20" s="78" t="s">
        <v>390</v>
      </c>
      <c r="K20" s="78" t="s">
        <v>390</v>
      </c>
      <c r="L20" s="78" t="s">
        <v>390</v>
      </c>
      <c r="M20" s="78" t="s">
        <v>390</v>
      </c>
      <c r="N20" s="78" t="s">
        <v>390</v>
      </c>
      <c r="O20" s="79" t="s">
        <v>391</v>
      </c>
      <c r="P20" s="77" t="s">
        <v>13</v>
      </c>
      <c r="Q20" s="78" t="s">
        <v>390</v>
      </c>
      <c r="R20" s="78" t="s">
        <v>390</v>
      </c>
      <c r="S20" s="78" t="s">
        <v>390</v>
      </c>
      <c r="T20" s="78" t="s">
        <v>390</v>
      </c>
      <c r="U20" s="78" t="s">
        <v>390</v>
      </c>
      <c r="V20" s="136" t="s">
        <v>390</v>
      </c>
      <c r="W20" s="77" t="s">
        <v>13</v>
      </c>
      <c r="X20" s="78" t="s">
        <v>390</v>
      </c>
      <c r="Y20" s="78" t="s">
        <v>390</v>
      </c>
      <c r="Z20" s="78" t="s">
        <v>390</v>
      </c>
      <c r="AA20" s="78" t="s">
        <v>390</v>
      </c>
      <c r="AB20" s="78" t="s">
        <v>390</v>
      </c>
      <c r="AC20" s="78" t="s">
        <v>390</v>
      </c>
      <c r="AD20" s="77" t="s">
        <v>13</v>
      </c>
      <c r="AE20" s="78" t="s">
        <v>390</v>
      </c>
      <c r="AF20" s="78" t="s">
        <v>390</v>
      </c>
      <c r="AG20" s="78" t="s">
        <v>390</v>
      </c>
      <c r="AH20" s="78" t="s">
        <v>390</v>
      </c>
      <c r="AI20" s="78" t="s">
        <v>390</v>
      </c>
      <c r="AJ20" s="78" t="s">
        <v>390</v>
      </c>
      <c r="AK20" s="77" t="s">
        <v>13</v>
      </c>
      <c r="AL20" s="106">
        <f t="shared" si="0"/>
        <v>23</v>
      </c>
      <c r="AM20" s="106">
        <f t="shared" si="1"/>
        <v>0</v>
      </c>
      <c r="AN20" s="106">
        <f t="shared" si="2"/>
        <v>0</v>
      </c>
      <c r="AO20" s="106">
        <f t="shared" si="3"/>
        <v>23</v>
      </c>
      <c r="AP20" s="106">
        <f t="shared" si="4"/>
        <v>0</v>
      </c>
      <c r="AQ20" s="134">
        <v>50</v>
      </c>
      <c r="AR20" s="134">
        <v>1350</v>
      </c>
      <c r="AS20" s="134">
        <v>1036</v>
      </c>
      <c r="AT20" s="135">
        <v>76.740740740740748</v>
      </c>
      <c r="AU20" s="106" t="s">
        <v>427</v>
      </c>
      <c r="AV20" s="100"/>
      <c r="AW20" s="100"/>
    </row>
    <row r="21" spans="1:49" ht="15.75" customHeight="1" x14ac:dyDescent="0.25">
      <c r="A21" s="96">
        <v>20</v>
      </c>
      <c r="B21" s="148">
        <v>307</v>
      </c>
      <c r="C21" s="32" t="s">
        <v>370</v>
      </c>
      <c r="D21" s="32" t="s">
        <v>19</v>
      </c>
      <c r="E21" s="32" t="s">
        <v>28</v>
      </c>
      <c r="F21" s="32" t="s">
        <v>17</v>
      </c>
      <c r="G21" s="61">
        <v>45815</v>
      </c>
      <c r="H21" s="77" t="s">
        <v>389</v>
      </c>
      <c r="I21" s="77" t="s">
        <v>13</v>
      </c>
      <c r="J21" s="78" t="s">
        <v>390</v>
      </c>
      <c r="K21" s="78" t="s">
        <v>390</v>
      </c>
      <c r="L21" s="78" t="s">
        <v>390</v>
      </c>
      <c r="M21" s="78" t="s">
        <v>390</v>
      </c>
      <c r="N21" s="78" t="s">
        <v>390</v>
      </c>
      <c r="O21" s="78" t="s">
        <v>390</v>
      </c>
      <c r="P21" s="77" t="s">
        <v>13</v>
      </c>
      <c r="Q21" s="78" t="s">
        <v>390</v>
      </c>
      <c r="R21" s="78" t="s">
        <v>390</v>
      </c>
      <c r="S21" s="78" t="s">
        <v>390</v>
      </c>
      <c r="T21" s="78" t="s">
        <v>390</v>
      </c>
      <c r="U21" s="78" t="s">
        <v>390</v>
      </c>
      <c r="V21" s="79" t="s">
        <v>391</v>
      </c>
      <c r="W21" s="77" t="s">
        <v>13</v>
      </c>
      <c r="X21" s="78" t="s">
        <v>390</v>
      </c>
      <c r="Y21" s="78" t="s">
        <v>390</v>
      </c>
      <c r="Z21" s="78" t="s">
        <v>390</v>
      </c>
      <c r="AA21" s="78" t="s">
        <v>390</v>
      </c>
      <c r="AB21" s="78" t="s">
        <v>390</v>
      </c>
      <c r="AC21" s="78" t="s">
        <v>390</v>
      </c>
      <c r="AD21" s="77" t="s">
        <v>13</v>
      </c>
      <c r="AE21" s="80" t="s">
        <v>14</v>
      </c>
      <c r="AF21" s="85" t="s">
        <v>378</v>
      </c>
      <c r="AG21" s="85" t="s">
        <v>378</v>
      </c>
      <c r="AH21" s="85" t="s">
        <v>378</v>
      </c>
      <c r="AI21" s="85" t="s">
        <v>378</v>
      </c>
      <c r="AJ21" s="85" t="s">
        <v>378</v>
      </c>
      <c r="AK21" s="77" t="s">
        <v>13</v>
      </c>
      <c r="AL21" s="106">
        <f t="shared" si="0"/>
        <v>17</v>
      </c>
      <c r="AM21" s="106">
        <f t="shared" si="1"/>
        <v>5</v>
      </c>
      <c r="AN21" s="106">
        <f t="shared" si="2"/>
        <v>0</v>
      </c>
      <c r="AO21" s="106">
        <f t="shared" si="3"/>
        <v>22</v>
      </c>
      <c r="AP21" s="106">
        <f t="shared" si="4"/>
        <v>1</v>
      </c>
      <c r="AQ21" s="134">
        <v>80</v>
      </c>
      <c r="AR21" s="134">
        <v>2320</v>
      </c>
      <c r="AS21" s="134">
        <v>234</v>
      </c>
      <c r="AT21" s="135">
        <v>10.086206896551724</v>
      </c>
      <c r="AU21" s="106" t="s">
        <v>427</v>
      </c>
      <c r="AV21" s="100"/>
      <c r="AW21" s="100"/>
    </row>
    <row r="22" spans="1:49" ht="15.75" customHeight="1" x14ac:dyDescent="0.25">
      <c r="A22" s="96">
        <v>21</v>
      </c>
      <c r="B22" s="148">
        <v>308</v>
      </c>
      <c r="C22" s="32" t="s">
        <v>32</v>
      </c>
      <c r="D22" s="32" t="s">
        <v>19</v>
      </c>
      <c r="E22" s="32" t="s">
        <v>24</v>
      </c>
      <c r="F22" s="32" t="s">
        <v>17</v>
      </c>
      <c r="G22" s="61">
        <v>45817</v>
      </c>
      <c r="H22" s="77" t="s">
        <v>389</v>
      </c>
      <c r="I22" s="77" t="s">
        <v>13</v>
      </c>
      <c r="J22" s="78" t="s">
        <v>390</v>
      </c>
      <c r="K22" s="78" t="s">
        <v>390</v>
      </c>
      <c r="L22" s="78" t="s">
        <v>390</v>
      </c>
      <c r="M22" s="78" t="s">
        <v>390</v>
      </c>
      <c r="N22" s="81" t="s">
        <v>392</v>
      </c>
      <c r="O22" s="80" t="s">
        <v>391</v>
      </c>
      <c r="P22" s="77" t="s">
        <v>13</v>
      </c>
      <c r="Q22" s="80" t="s">
        <v>14</v>
      </c>
      <c r="R22" s="78" t="s">
        <v>390</v>
      </c>
      <c r="S22" s="78" t="s">
        <v>390</v>
      </c>
      <c r="T22" s="78" t="s">
        <v>390</v>
      </c>
      <c r="U22" s="78" t="s">
        <v>390</v>
      </c>
      <c r="V22" s="78" t="s">
        <v>390</v>
      </c>
      <c r="W22" s="77" t="s">
        <v>13</v>
      </c>
      <c r="X22" s="78" t="s">
        <v>390</v>
      </c>
      <c r="Y22" s="78" t="s">
        <v>390</v>
      </c>
      <c r="Z22" s="78" t="s">
        <v>390</v>
      </c>
      <c r="AA22" s="78" t="s">
        <v>390</v>
      </c>
      <c r="AB22" s="78" t="s">
        <v>390</v>
      </c>
      <c r="AC22" s="78" t="s">
        <v>390</v>
      </c>
      <c r="AD22" s="77" t="s">
        <v>13</v>
      </c>
      <c r="AE22" s="78" t="s">
        <v>390</v>
      </c>
      <c r="AF22" s="78" t="s">
        <v>390</v>
      </c>
      <c r="AG22" s="78" t="s">
        <v>390</v>
      </c>
      <c r="AH22" s="78" t="s">
        <v>390</v>
      </c>
      <c r="AI22" s="80" t="s">
        <v>14</v>
      </c>
      <c r="AJ22" s="78" t="s">
        <v>390</v>
      </c>
      <c r="AK22" s="78" t="s">
        <v>390</v>
      </c>
      <c r="AL22" s="106">
        <f t="shared" si="0"/>
        <v>21</v>
      </c>
      <c r="AM22" s="106">
        <f t="shared" si="1"/>
        <v>0</v>
      </c>
      <c r="AN22" s="106">
        <f t="shared" si="2"/>
        <v>0.5</v>
      </c>
      <c r="AO22" s="106">
        <f t="shared" si="3"/>
        <v>21.5</v>
      </c>
      <c r="AP22" s="106">
        <f t="shared" si="4"/>
        <v>2.5</v>
      </c>
      <c r="AQ22" s="134">
        <v>50</v>
      </c>
      <c r="AR22" s="134">
        <v>1450</v>
      </c>
      <c r="AS22" s="134">
        <v>4</v>
      </c>
      <c r="AT22" s="135">
        <v>0.27586206896551724</v>
      </c>
      <c r="AU22" s="106" t="s">
        <v>427</v>
      </c>
      <c r="AV22" s="100"/>
      <c r="AW22" s="100"/>
    </row>
    <row r="23" spans="1:49" ht="15.75" customHeight="1" x14ac:dyDescent="0.25">
      <c r="A23" s="96">
        <v>22</v>
      </c>
      <c r="B23" s="148">
        <v>309</v>
      </c>
      <c r="C23" s="32" t="s">
        <v>33</v>
      </c>
      <c r="D23" s="32" t="s">
        <v>34</v>
      </c>
      <c r="E23" s="32" t="s">
        <v>9</v>
      </c>
      <c r="F23" s="32" t="s">
        <v>17</v>
      </c>
      <c r="G23" s="61">
        <v>45817</v>
      </c>
      <c r="H23" s="77" t="s">
        <v>389</v>
      </c>
      <c r="I23" s="77" t="s">
        <v>13</v>
      </c>
      <c r="J23" s="78" t="s">
        <v>390</v>
      </c>
      <c r="K23" s="78" t="s">
        <v>390</v>
      </c>
      <c r="L23" s="78" t="s">
        <v>390</v>
      </c>
      <c r="M23" s="80" t="s">
        <v>14</v>
      </c>
      <c r="N23" s="80" t="s">
        <v>14</v>
      </c>
      <c r="O23" s="80" t="s">
        <v>14</v>
      </c>
      <c r="P23" s="77" t="s">
        <v>13</v>
      </c>
      <c r="Q23" s="78" t="s">
        <v>390</v>
      </c>
      <c r="R23" s="78" t="s">
        <v>390</v>
      </c>
      <c r="S23" s="78" t="s">
        <v>390</v>
      </c>
      <c r="T23" s="78" t="s">
        <v>390</v>
      </c>
      <c r="U23" s="78" t="s">
        <v>390</v>
      </c>
      <c r="V23" s="78" t="s">
        <v>390</v>
      </c>
      <c r="W23" s="77" t="s">
        <v>13</v>
      </c>
      <c r="X23" s="78" t="s">
        <v>390</v>
      </c>
      <c r="Y23" s="78" t="s">
        <v>390</v>
      </c>
      <c r="Z23" s="78" t="s">
        <v>390</v>
      </c>
      <c r="AA23" s="78" t="s">
        <v>390</v>
      </c>
      <c r="AB23" s="80" t="s">
        <v>14</v>
      </c>
      <c r="AC23" s="79" t="s">
        <v>391</v>
      </c>
      <c r="AD23" s="77" t="s">
        <v>13</v>
      </c>
      <c r="AE23" s="78" t="s">
        <v>390</v>
      </c>
      <c r="AF23" s="78" t="s">
        <v>390</v>
      </c>
      <c r="AG23" s="78" t="s">
        <v>390</v>
      </c>
      <c r="AH23" s="78" t="s">
        <v>390</v>
      </c>
      <c r="AI23" s="78" t="s">
        <v>390</v>
      </c>
      <c r="AJ23" s="78" t="s">
        <v>390</v>
      </c>
      <c r="AK23" s="77" t="s">
        <v>13</v>
      </c>
      <c r="AL23" s="106">
        <f t="shared" si="0"/>
        <v>19</v>
      </c>
      <c r="AM23" s="106">
        <f t="shared" si="1"/>
        <v>0</v>
      </c>
      <c r="AN23" s="106">
        <f t="shared" si="2"/>
        <v>0</v>
      </c>
      <c r="AO23" s="106">
        <f t="shared" si="3"/>
        <v>19</v>
      </c>
      <c r="AP23" s="106">
        <f t="shared" si="4"/>
        <v>4</v>
      </c>
      <c r="AQ23" s="134"/>
      <c r="AR23" s="134"/>
      <c r="AS23" s="134"/>
      <c r="AT23" s="135"/>
      <c r="AU23" s="106" t="s">
        <v>427</v>
      </c>
      <c r="AV23" s="100"/>
      <c r="AW23" s="100"/>
    </row>
    <row r="24" spans="1:49" ht="15.75" customHeight="1" x14ac:dyDescent="0.25">
      <c r="A24" s="96">
        <v>23</v>
      </c>
      <c r="B24" s="148">
        <v>310</v>
      </c>
      <c r="C24" s="32" t="s">
        <v>35</v>
      </c>
      <c r="D24" s="32" t="s">
        <v>19</v>
      </c>
      <c r="E24" s="32" t="s">
        <v>9</v>
      </c>
      <c r="F24" s="32" t="s">
        <v>17</v>
      </c>
      <c r="G24" s="59" t="s">
        <v>36</v>
      </c>
      <c r="H24" s="75" t="s">
        <v>12</v>
      </c>
      <c r="I24" s="75" t="s">
        <v>13</v>
      </c>
      <c r="J24" s="80" t="s">
        <v>14</v>
      </c>
      <c r="K24" s="83" t="s">
        <v>14</v>
      </c>
      <c r="L24" s="83" t="s">
        <v>14</v>
      </c>
      <c r="M24" s="83" t="s">
        <v>14</v>
      </c>
      <c r="N24" s="83" t="s">
        <v>14</v>
      </c>
      <c r="O24" s="83" t="s">
        <v>14</v>
      </c>
      <c r="P24" s="75" t="s">
        <v>13</v>
      </c>
      <c r="Q24" s="83" t="s">
        <v>14</v>
      </c>
      <c r="R24" s="83" t="s">
        <v>14</v>
      </c>
      <c r="S24" s="83" t="s">
        <v>14</v>
      </c>
      <c r="T24" s="83" t="s">
        <v>14</v>
      </c>
      <c r="U24" s="83" t="s">
        <v>14</v>
      </c>
      <c r="V24" s="83" t="s">
        <v>14</v>
      </c>
      <c r="W24" s="75" t="s">
        <v>13</v>
      </c>
      <c r="X24" s="83" t="s">
        <v>14</v>
      </c>
      <c r="Y24" s="83" t="s">
        <v>14</v>
      </c>
      <c r="Z24" s="83" t="s">
        <v>14</v>
      </c>
      <c r="AA24" s="83" t="s">
        <v>14</v>
      </c>
      <c r="AB24" s="84" t="s">
        <v>390</v>
      </c>
      <c r="AC24" s="84" t="s">
        <v>390</v>
      </c>
      <c r="AD24" s="75" t="s">
        <v>13</v>
      </c>
      <c r="AE24" s="84" t="s">
        <v>390</v>
      </c>
      <c r="AF24" s="84" t="s">
        <v>390</v>
      </c>
      <c r="AG24" s="84" t="s">
        <v>390</v>
      </c>
      <c r="AH24" s="84" t="s">
        <v>390</v>
      </c>
      <c r="AI24" s="84" t="s">
        <v>390</v>
      </c>
      <c r="AJ24" s="84" t="s">
        <v>390</v>
      </c>
      <c r="AK24" s="75" t="s">
        <v>13</v>
      </c>
      <c r="AL24" s="106">
        <f t="shared" si="0"/>
        <v>8</v>
      </c>
      <c r="AM24" s="106">
        <f t="shared" si="1"/>
        <v>0</v>
      </c>
      <c r="AN24" s="106">
        <f t="shared" si="2"/>
        <v>0</v>
      </c>
      <c r="AO24" s="106">
        <f t="shared" si="3"/>
        <v>8</v>
      </c>
      <c r="AP24" s="106">
        <f t="shared" si="4"/>
        <v>16</v>
      </c>
      <c r="AQ24" s="134"/>
      <c r="AR24" s="134"/>
      <c r="AS24" s="134"/>
      <c r="AT24" s="135"/>
      <c r="AU24" s="106" t="s">
        <v>427</v>
      </c>
      <c r="AV24" s="100"/>
      <c r="AW24" s="100"/>
    </row>
    <row r="25" spans="1:49" ht="15.75" customHeight="1" x14ac:dyDescent="0.25">
      <c r="A25" s="96">
        <v>24</v>
      </c>
      <c r="B25" s="148">
        <v>312</v>
      </c>
      <c r="C25" s="32" t="s">
        <v>371</v>
      </c>
      <c r="D25" s="32" t="s">
        <v>19</v>
      </c>
      <c r="E25" s="32" t="s">
        <v>39</v>
      </c>
      <c r="F25" s="32" t="s">
        <v>17</v>
      </c>
      <c r="G25" s="59" t="s">
        <v>299</v>
      </c>
      <c r="H25" s="77" t="s">
        <v>389</v>
      </c>
      <c r="I25" s="77" t="s">
        <v>13</v>
      </c>
      <c r="J25" s="78" t="s">
        <v>390</v>
      </c>
      <c r="K25" s="78" t="s">
        <v>390</v>
      </c>
      <c r="L25" s="78" t="s">
        <v>390</v>
      </c>
      <c r="M25" s="78" t="s">
        <v>390</v>
      </c>
      <c r="N25" s="78" t="s">
        <v>390</v>
      </c>
      <c r="O25" s="78" t="s">
        <v>390</v>
      </c>
      <c r="P25" s="77" t="s">
        <v>13</v>
      </c>
      <c r="Q25" s="78" t="s">
        <v>390</v>
      </c>
      <c r="R25" s="78" t="s">
        <v>390</v>
      </c>
      <c r="S25" s="78" t="s">
        <v>390</v>
      </c>
      <c r="T25" s="78" t="s">
        <v>390</v>
      </c>
      <c r="U25" s="78" t="s">
        <v>390</v>
      </c>
      <c r="V25" s="79" t="s">
        <v>391</v>
      </c>
      <c r="W25" s="77" t="s">
        <v>13</v>
      </c>
      <c r="X25" s="78" t="s">
        <v>390</v>
      </c>
      <c r="Y25" s="78" t="s">
        <v>390</v>
      </c>
      <c r="Z25" s="78" t="s">
        <v>390</v>
      </c>
      <c r="AA25" s="78" t="s">
        <v>390</v>
      </c>
      <c r="AB25" s="78" t="s">
        <v>390</v>
      </c>
      <c r="AC25" s="78" t="s">
        <v>390</v>
      </c>
      <c r="AD25" s="77" t="s">
        <v>13</v>
      </c>
      <c r="AE25" s="78" t="s">
        <v>390</v>
      </c>
      <c r="AF25" s="78" t="s">
        <v>390</v>
      </c>
      <c r="AG25" s="78" t="s">
        <v>390</v>
      </c>
      <c r="AH25" s="78" t="s">
        <v>390</v>
      </c>
      <c r="AI25" s="78" t="s">
        <v>390</v>
      </c>
      <c r="AJ25" s="78" t="s">
        <v>390</v>
      </c>
      <c r="AK25" s="77" t="s">
        <v>13</v>
      </c>
      <c r="AL25" s="106">
        <f t="shared" si="0"/>
        <v>23</v>
      </c>
      <c r="AM25" s="106">
        <f t="shared" si="1"/>
        <v>0</v>
      </c>
      <c r="AN25" s="106">
        <f t="shared" si="2"/>
        <v>0</v>
      </c>
      <c r="AO25" s="106">
        <f t="shared" si="3"/>
        <v>23</v>
      </c>
      <c r="AP25" s="106">
        <f t="shared" si="4"/>
        <v>0</v>
      </c>
      <c r="AQ25" s="134"/>
      <c r="AR25" s="134"/>
      <c r="AS25" s="134"/>
      <c r="AT25" s="135"/>
      <c r="AU25" s="106" t="s">
        <v>427</v>
      </c>
      <c r="AV25" s="100"/>
      <c r="AW25" s="100"/>
    </row>
    <row r="26" spans="1:49" ht="15.75" customHeight="1" x14ac:dyDescent="0.25">
      <c r="A26" s="96">
        <v>25</v>
      </c>
      <c r="B26" s="148">
        <v>315</v>
      </c>
      <c r="C26" s="32" t="s">
        <v>37</v>
      </c>
      <c r="D26" s="32" t="s">
        <v>38</v>
      </c>
      <c r="E26" s="32" t="s">
        <v>39</v>
      </c>
      <c r="F26" s="32" t="s">
        <v>17</v>
      </c>
      <c r="G26" s="61">
        <v>45839</v>
      </c>
      <c r="H26" s="77" t="s">
        <v>389</v>
      </c>
      <c r="I26" s="77" t="s">
        <v>13</v>
      </c>
      <c r="J26" s="78" t="s">
        <v>390</v>
      </c>
      <c r="K26" s="78" t="s">
        <v>390</v>
      </c>
      <c r="L26" s="78" t="s">
        <v>390</v>
      </c>
      <c r="M26" s="78" t="s">
        <v>390</v>
      </c>
      <c r="N26" s="80" t="s">
        <v>14</v>
      </c>
      <c r="O26" s="78" t="s">
        <v>390</v>
      </c>
      <c r="P26" s="77" t="s">
        <v>13</v>
      </c>
      <c r="Q26" s="78" t="s">
        <v>390</v>
      </c>
      <c r="R26" s="78" t="s">
        <v>390</v>
      </c>
      <c r="S26" s="78" t="s">
        <v>390</v>
      </c>
      <c r="T26" s="78" t="s">
        <v>390</v>
      </c>
      <c r="U26" s="78" t="s">
        <v>390</v>
      </c>
      <c r="V26" s="78" t="s">
        <v>390</v>
      </c>
      <c r="W26" s="77" t="s">
        <v>13</v>
      </c>
      <c r="X26" s="78" t="s">
        <v>390</v>
      </c>
      <c r="Y26" s="78" t="s">
        <v>390</v>
      </c>
      <c r="Z26" s="78" t="s">
        <v>390</v>
      </c>
      <c r="AA26" s="78" t="s">
        <v>390</v>
      </c>
      <c r="AB26" s="81" t="s">
        <v>392</v>
      </c>
      <c r="AC26" s="78" t="s">
        <v>390</v>
      </c>
      <c r="AD26" s="77" t="s">
        <v>13</v>
      </c>
      <c r="AE26" s="78" t="s">
        <v>390</v>
      </c>
      <c r="AF26" s="78" t="s">
        <v>390</v>
      </c>
      <c r="AG26" s="78" t="s">
        <v>390</v>
      </c>
      <c r="AH26" s="78" t="s">
        <v>390</v>
      </c>
      <c r="AI26" s="78" t="s">
        <v>390</v>
      </c>
      <c r="AJ26" s="79" t="s">
        <v>391</v>
      </c>
      <c r="AK26" s="77" t="s">
        <v>13</v>
      </c>
      <c r="AL26" s="106">
        <f t="shared" si="0"/>
        <v>21</v>
      </c>
      <c r="AM26" s="106">
        <f t="shared" si="1"/>
        <v>0</v>
      </c>
      <c r="AN26" s="106">
        <f t="shared" si="2"/>
        <v>0.5</v>
      </c>
      <c r="AO26" s="106">
        <f t="shared" si="3"/>
        <v>21.5</v>
      </c>
      <c r="AP26" s="106">
        <f t="shared" si="4"/>
        <v>1.5</v>
      </c>
      <c r="AQ26" s="134">
        <v>50</v>
      </c>
      <c r="AR26" s="134">
        <v>1350</v>
      </c>
      <c r="AS26" s="134">
        <v>896</v>
      </c>
      <c r="AT26" s="135">
        <v>66.370370370370367</v>
      </c>
      <c r="AU26" s="106" t="s">
        <v>427</v>
      </c>
      <c r="AV26" s="100"/>
      <c r="AW26" s="100"/>
    </row>
    <row r="27" spans="1:49" ht="15.75" customHeight="1" x14ac:dyDescent="0.25">
      <c r="A27" s="96">
        <v>26</v>
      </c>
      <c r="B27" s="148">
        <v>317</v>
      </c>
      <c r="C27" s="32" t="s">
        <v>349</v>
      </c>
      <c r="D27" s="32" t="s">
        <v>38</v>
      </c>
      <c r="E27" s="32" t="s">
        <v>39</v>
      </c>
      <c r="F27" s="32" t="s">
        <v>17</v>
      </c>
      <c r="G27" s="61">
        <v>45845</v>
      </c>
      <c r="H27" s="77" t="s">
        <v>389</v>
      </c>
      <c r="I27" s="77" t="s">
        <v>13</v>
      </c>
      <c r="J27" s="80" t="s">
        <v>14</v>
      </c>
      <c r="K27" s="80" t="s">
        <v>14</v>
      </c>
      <c r="L27" s="80" t="s">
        <v>14</v>
      </c>
      <c r="M27" s="80" t="s">
        <v>14</v>
      </c>
      <c r="N27" s="80" t="s">
        <v>14</v>
      </c>
      <c r="O27" s="80" t="s">
        <v>14</v>
      </c>
      <c r="P27" s="77" t="s">
        <v>13</v>
      </c>
      <c r="Q27" s="80" t="s">
        <v>14</v>
      </c>
      <c r="R27" s="80" t="s">
        <v>14</v>
      </c>
      <c r="S27" s="80" t="s">
        <v>14</v>
      </c>
      <c r="T27" s="80" t="s">
        <v>14</v>
      </c>
      <c r="U27" s="80" t="s">
        <v>14</v>
      </c>
      <c r="V27" s="79" t="s">
        <v>391</v>
      </c>
      <c r="W27" s="77" t="s">
        <v>13</v>
      </c>
      <c r="X27" s="80" t="s">
        <v>14</v>
      </c>
      <c r="Y27" s="80" t="s">
        <v>14</v>
      </c>
      <c r="Z27" s="80" t="s">
        <v>14</v>
      </c>
      <c r="AA27" s="80" t="s">
        <v>14</v>
      </c>
      <c r="AB27" s="80" t="s">
        <v>14</v>
      </c>
      <c r="AC27" s="80" t="s">
        <v>14</v>
      </c>
      <c r="AD27" s="77" t="s">
        <v>13</v>
      </c>
      <c r="AE27" s="80" t="s">
        <v>14</v>
      </c>
      <c r="AF27" s="80" t="s">
        <v>14</v>
      </c>
      <c r="AG27" s="80" t="s">
        <v>14</v>
      </c>
      <c r="AH27" s="80" t="s">
        <v>14</v>
      </c>
      <c r="AI27" s="80" t="s">
        <v>14</v>
      </c>
      <c r="AJ27" s="80" t="s">
        <v>14</v>
      </c>
      <c r="AK27" s="77" t="s">
        <v>13</v>
      </c>
      <c r="AL27" s="106">
        <f t="shared" si="0"/>
        <v>0</v>
      </c>
      <c r="AM27" s="106">
        <f t="shared" si="1"/>
        <v>0</v>
      </c>
      <c r="AN27" s="106">
        <f t="shared" si="2"/>
        <v>0</v>
      </c>
      <c r="AO27" s="106">
        <f t="shared" si="3"/>
        <v>0</v>
      </c>
      <c r="AP27" s="106">
        <f t="shared" si="4"/>
        <v>23</v>
      </c>
      <c r="AQ27" s="134"/>
      <c r="AR27" s="134"/>
      <c r="AS27" s="134"/>
      <c r="AT27" s="135"/>
      <c r="AU27" s="106" t="s">
        <v>427</v>
      </c>
      <c r="AV27" s="100"/>
      <c r="AW27" s="100"/>
    </row>
    <row r="28" spans="1:49" ht="15.75" customHeight="1" x14ac:dyDescent="0.25">
      <c r="A28" s="96">
        <v>27</v>
      </c>
      <c r="B28" s="148">
        <v>319</v>
      </c>
      <c r="C28" s="32" t="s">
        <v>372</v>
      </c>
      <c r="D28" s="32" t="s">
        <v>38</v>
      </c>
      <c r="E28" s="32" t="s">
        <v>39</v>
      </c>
      <c r="F28" s="32" t="s">
        <v>17</v>
      </c>
      <c r="G28" s="61">
        <v>45845</v>
      </c>
      <c r="H28" s="77" t="s">
        <v>389</v>
      </c>
      <c r="I28" s="77" t="s">
        <v>13</v>
      </c>
      <c r="J28" s="85" t="s">
        <v>378</v>
      </c>
      <c r="K28" s="85" t="s">
        <v>378</v>
      </c>
      <c r="L28" s="85" t="s">
        <v>378</v>
      </c>
      <c r="M28" s="85" t="s">
        <v>378</v>
      </c>
      <c r="N28" s="85" t="s">
        <v>378</v>
      </c>
      <c r="O28" s="85" t="s">
        <v>378</v>
      </c>
      <c r="P28" s="77" t="s">
        <v>13</v>
      </c>
      <c r="Q28" s="85" t="s">
        <v>378</v>
      </c>
      <c r="R28" s="85" t="s">
        <v>378</v>
      </c>
      <c r="S28" s="85" t="s">
        <v>378</v>
      </c>
      <c r="T28" s="85" t="s">
        <v>378</v>
      </c>
      <c r="U28" s="85" t="s">
        <v>378</v>
      </c>
      <c r="V28" s="85" t="s">
        <v>378</v>
      </c>
      <c r="W28" s="77" t="s">
        <v>13</v>
      </c>
      <c r="X28" s="85" t="s">
        <v>378</v>
      </c>
      <c r="Y28" s="85" t="s">
        <v>378</v>
      </c>
      <c r="Z28" s="85" t="s">
        <v>378</v>
      </c>
      <c r="AA28" s="85" t="s">
        <v>378</v>
      </c>
      <c r="AB28" s="85" t="s">
        <v>378</v>
      </c>
      <c r="AC28" s="85" t="s">
        <v>378</v>
      </c>
      <c r="AD28" s="77" t="s">
        <v>13</v>
      </c>
      <c r="AE28" s="85" t="s">
        <v>378</v>
      </c>
      <c r="AF28" s="85" t="s">
        <v>378</v>
      </c>
      <c r="AG28" s="85" t="s">
        <v>378</v>
      </c>
      <c r="AH28" s="85" t="s">
        <v>378</v>
      </c>
      <c r="AI28" s="85" t="s">
        <v>378</v>
      </c>
      <c r="AJ28" s="85" t="s">
        <v>378</v>
      </c>
      <c r="AK28" s="77" t="s">
        <v>13</v>
      </c>
      <c r="AL28" s="106">
        <f t="shared" si="0"/>
        <v>0</v>
      </c>
      <c r="AM28" s="106">
        <f t="shared" si="1"/>
        <v>24</v>
      </c>
      <c r="AN28" s="106">
        <f t="shared" si="2"/>
        <v>0</v>
      </c>
      <c r="AO28" s="106">
        <f t="shared" si="3"/>
        <v>24</v>
      </c>
      <c r="AP28" s="106">
        <f t="shared" si="4"/>
        <v>0</v>
      </c>
      <c r="AQ28" s="134"/>
      <c r="AR28" s="134"/>
      <c r="AS28" s="134"/>
      <c r="AT28" s="135"/>
      <c r="AU28" s="106" t="s">
        <v>427</v>
      </c>
      <c r="AV28" s="100"/>
      <c r="AW28" s="100"/>
    </row>
    <row r="29" spans="1:49" x14ac:dyDescent="0.25">
      <c r="A29" s="96">
        <v>28</v>
      </c>
      <c r="B29" s="148">
        <v>320</v>
      </c>
      <c r="C29" s="32" t="s">
        <v>40</v>
      </c>
      <c r="D29" s="32" t="s">
        <v>41</v>
      </c>
      <c r="E29" s="32" t="s">
        <v>39</v>
      </c>
      <c r="F29" s="32" t="s">
        <v>17</v>
      </c>
      <c r="G29" s="61">
        <v>45847</v>
      </c>
      <c r="H29" s="77" t="s">
        <v>389</v>
      </c>
      <c r="I29" s="77" t="s">
        <v>13</v>
      </c>
      <c r="J29" s="80" t="s">
        <v>14</v>
      </c>
      <c r="K29" s="78" t="s">
        <v>390</v>
      </c>
      <c r="L29" s="78" t="s">
        <v>390</v>
      </c>
      <c r="M29" s="78" t="s">
        <v>390</v>
      </c>
      <c r="N29" s="78" t="s">
        <v>390</v>
      </c>
      <c r="O29" s="80" t="s">
        <v>14</v>
      </c>
      <c r="P29" s="77" t="s">
        <v>13</v>
      </c>
      <c r="Q29" s="78" t="s">
        <v>390</v>
      </c>
      <c r="R29" s="80" t="s">
        <v>14</v>
      </c>
      <c r="S29" s="78" t="s">
        <v>390</v>
      </c>
      <c r="T29" s="78" t="s">
        <v>390</v>
      </c>
      <c r="U29" s="78" t="s">
        <v>390</v>
      </c>
      <c r="V29" s="79" t="s">
        <v>391</v>
      </c>
      <c r="W29" s="77" t="s">
        <v>13</v>
      </c>
      <c r="X29" s="80" t="s">
        <v>14</v>
      </c>
      <c r="Y29" s="80" t="s">
        <v>14</v>
      </c>
      <c r="Z29" s="80" t="s">
        <v>14</v>
      </c>
      <c r="AA29" s="78" t="s">
        <v>390</v>
      </c>
      <c r="AB29" s="80" t="s">
        <v>14</v>
      </c>
      <c r="AC29" s="80" t="s">
        <v>14</v>
      </c>
      <c r="AD29" s="77" t="s">
        <v>13</v>
      </c>
      <c r="AE29" s="78" t="s">
        <v>390</v>
      </c>
      <c r="AF29" s="78" t="s">
        <v>390</v>
      </c>
      <c r="AG29" s="78" t="s">
        <v>390</v>
      </c>
      <c r="AH29" s="78" t="s">
        <v>390</v>
      </c>
      <c r="AI29" s="78" t="s">
        <v>390</v>
      </c>
      <c r="AJ29" s="78" t="s">
        <v>390</v>
      </c>
      <c r="AK29" s="77" t="s">
        <v>13</v>
      </c>
      <c r="AL29" s="106">
        <f t="shared" si="0"/>
        <v>15</v>
      </c>
      <c r="AM29" s="106">
        <f t="shared" si="1"/>
        <v>0</v>
      </c>
      <c r="AN29" s="106">
        <f t="shared" si="2"/>
        <v>0</v>
      </c>
      <c r="AO29" s="106">
        <f t="shared" si="3"/>
        <v>15</v>
      </c>
      <c r="AP29" s="106">
        <f t="shared" si="4"/>
        <v>8</v>
      </c>
      <c r="AQ29" s="134">
        <v>14</v>
      </c>
      <c r="AR29" s="134">
        <v>364</v>
      </c>
      <c r="AS29" s="134">
        <v>114</v>
      </c>
      <c r="AT29" s="135">
        <v>31.318681318681318</v>
      </c>
      <c r="AU29" s="106" t="s">
        <v>427</v>
      </c>
      <c r="AV29" s="100"/>
      <c r="AW29" s="100"/>
    </row>
    <row r="30" spans="1:49" x14ac:dyDescent="0.25">
      <c r="A30" s="96">
        <v>29</v>
      </c>
      <c r="B30" s="148">
        <v>321</v>
      </c>
      <c r="C30" s="32" t="s">
        <v>42</v>
      </c>
      <c r="D30" s="32" t="s">
        <v>8</v>
      </c>
      <c r="E30" s="32" t="s">
        <v>9</v>
      </c>
      <c r="F30" s="32" t="s">
        <v>17</v>
      </c>
      <c r="G30" s="61">
        <v>45848</v>
      </c>
      <c r="H30" s="77" t="s">
        <v>389</v>
      </c>
      <c r="I30" s="77" t="s">
        <v>13</v>
      </c>
      <c r="J30" s="78" t="s">
        <v>390</v>
      </c>
      <c r="K30" s="78" t="s">
        <v>390</v>
      </c>
      <c r="L30" s="136" t="s">
        <v>390</v>
      </c>
      <c r="M30" s="78" t="s">
        <v>390</v>
      </c>
      <c r="N30" s="78" t="s">
        <v>390</v>
      </c>
      <c r="O30" s="78" t="s">
        <v>390</v>
      </c>
      <c r="P30" s="77" t="s">
        <v>13</v>
      </c>
      <c r="Q30" s="78" t="s">
        <v>390</v>
      </c>
      <c r="R30" s="78" t="s">
        <v>390</v>
      </c>
      <c r="S30" s="78" t="s">
        <v>390</v>
      </c>
      <c r="T30" s="78" t="s">
        <v>390</v>
      </c>
      <c r="U30" s="78" t="s">
        <v>390</v>
      </c>
      <c r="V30" s="79" t="s">
        <v>391</v>
      </c>
      <c r="W30" s="77" t="s">
        <v>13</v>
      </c>
      <c r="X30" s="78" t="s">
        <v>390</v>
      </c>
      <c r="Y30" s="78" t="s">
        <v>390</v>
      </c>
      <c r="Z30" s="78" t="s">
        <v>390</v>
      </c>
      <c r="AA30" s="78" t="s">
        <v>390</v>
      </c>
      <c r="AB30" s="78" t="s">
        <v>390</v>
      </c>
      <c r="AC30" s="78" t="s">
        <v>390</v>
      </c>
      <c r="AD30" s="77" t="s">
        <v>13</v>
      </c>
      <c r="AE30" s="78" t="s">
        <v>390</v>
      </c>
      <c r="AF30" s="78" t="s">
        <v>390</v>
      </c>
      <c r="AG30" s="78" t="s">
        <v>390</v>
      </c>
      <c r="AH30" s="78" t="s">
        <v>390</v>
      </c>
      <c r="AI30" s="78" t="s">
        <v>390</v>
      </c>
      <c r="AJ30" s="78" t="s">
        <v>390</v>
      </c>
      <c r="AK30" s="77" t="s">
        <v>13</v>
      </c>
      <c r="AL30" s="106">
        <f t="shared" si="0"/>
        <v>23</v>
      </c>
      <c r="AM30" s="106">
        <f t="shared" si="1"/>
        <v>0</v>
      </c>
      <c r="AN30" s="106">
        <f t="shared" si="2"/>
        <v>0</v>
      </c>
      <c r="AO30" s="106">
        <f t="shared" si="3"/>
        <v>23</v>
      </c>
      <c r="AP30" s="106">
        <f t="shared" si="4"/>
        <v>0</v>
      </c>
      <c r="AQ30" s="134"/>
      <c r="AR30" s="134"/>
      <c r="AS30" s="134"/>
      <c r="AT30" s="135"/>
      <c r="AU30" s="106" t="s">
        <v>427</v>
      </c>
      <c r="AV30" s="100"/>
      <c r="AW30" s="100"/>
    </row>
    <row r="31" spans="1:49" x14ac:dyDescent="0.25">
      <c r="A31" s="96">
        <v>30</v>
      </c>
      <c r="B31" s="148">
        <v>322</v>
      </c>
      <c r="C31" s="32" t="s">
        <v>43</v>
      </c>
      <c r="D31" s="32" t="s">
        <v>44</v>
      </c>
      <c r="E31" s="30" t="s">
        <v>28</v>
      </c>
      <c r="F31" s="32" t="s">
        <v>17</v>
      </c>
      <c r="G31" s="61">
        <v>45849</v>
      </c>
      <c r="H31" s="77" t="s">
        <v>389</v>
      </c>
      <c r="I31" s="77" t="s">
        <v>13</v>
      </c>
      <c r="J31" s="78" t="s">
        <v>390</v>
      </c>
      <c r="K31" s="78" t="s">
        <v>390</v>
      </c>
      <c r="L31" s="78" t="s">
        <v>390</v>
      </c>
      <c r="M31" s="78" t="s">
        <v>390</v>
      </c>
      <c r="N31" s="78" t="s">
        <v>390</v>
      </c>
      <c r="O31" s="79" t="s">
        <v>391</v>
      </c>
      <c r="P31" s="77" t="s">
        <v>13</v>
      </c>
      <c r="Q31" s="78" t="s">
        <v>390</v>
      </c>
      <c r="R31" s="78" t="s">
        <v>390</v>
      </c>
      <c r="S31" s="78" t="s">
        <v>390</v>
      </c>
      <c r="T31" s="78" t="s">
        <v>390</v>
      </c>
      <c r="U31" s="136" t="s">
        <v>390</v>
      </c>
      <c r="V31" s="78" t="s">
        <v>390</v>
      </c>
      <c r="W31" s="77" t="s">
        <v>13</v>
      </c>
      <c r="X31" s="78" t="s">
        <v>390</v>
      </c>
      <c r="Y31" s="78" t="s">
        <v>390</v>
      </c>
      <c r="Z31" s="78" t="s">
        <v>390</v>
      </c>
      <c r="AA31" s="78" t="s">
        <v>390</v>
      </c>
      <c r="AB31" s="78" t="s">
        <v>390</v>
      </c>
      <c r="AC31" s="78" t="s">
        <v>390</v>
      </c>
      <c r="AD31" s="77" t="s">
        <v>13</v>
      </c>
      <c r="AE31" s="78" t="s">
        <v>390</v>
      </c>
      <c r="AF31" s="78" t="s">
        <v>390</v>
      </c>
      <c r="AG31" s="78" t="s">
        <v>390</v>
      </c>
      <c r="AH31" s="78" t="s">
        <v>390</v>
      </c>
      <c r="AI31" s="78" t="s">
        <v>390</v>
      </c>
      <c r="AJ31" s="78" t="s">
        <v>390</v>
      </c>
      <c r="AK31" s="85" t="s">
        <v>378</v>
      </c>
      <c r="AL31" s="106">
        <f t="shared" si="0"/>
        <v>23</v>
      </c>
      <c r="AM31" s="106">
        <f t="shared" si="1"/>
        <v>1</v>
      </c>
      <c r="AN31" s="106">
        <f t="shared" si="2"/>
        <v>0</v>
      </c>
      <c r="AO31" s="106">
        <f t="shared" si="3"/>
        <v>24</v>
      </c>
      <c r="AP31" s="106">
        <f t="shared" si="4"/>
        <v>0</v>
      </c>
      <c r="AQ31" s="134">
        <v>80</v>
      </c>
      <c r="AR31" s="134">
        <v>2320</v>
      </c>
      <c r="AS31" s="134">
        <v>2268</v>
      </c>
      <c r="AT31" s="135">
        <v>97.758620689655174</v>
      </c>
      <c r="AU31" s="106" t="s">
        <v>427</v>
      </c>
      <c r="AV31" s="100"/>
      <c r="AW31" s="100"/>
    </row>
    <row r="32" spans="1:49" x14ac:dyDescent="0.25">
      <c r="A32" s="96">
        <v>31</v>
      </c>
      <c r="B32" s="148">
        <v>323</v>
      </c>
      <c r="C32" s="32" t="s">
        <v>45</v>
      </c>
      <c r="D32" s="32" t="s">
        <v>46</v>
      </c>
      <c r="E32" s="32" t="s">
        <v>9</v>
      </c>
      <c r="F32" s="32" t="s">
        <v>17</v>
      </c>
      <c r="G32" s="59" t="s">
        <v>47</v>
      </c>
      <c r="H32" s="77" t="s">
        <v>389</v>
      </c>
      <c r="I32" s="77" t="s">
        <v>13</v>
      </c>
      <c r="J32" s="80" t="s">
        <v>14</v>
      </c>
      <c r="K32" s="78" t="s">
        <v>390</v>
      </c>
      <c r="L32" s="78" t="s">
        <v>390</v>
      </c>
      <c r="M32" s="78" t="s">
        <v>390</v>
      </c>
      <c r="N32" s="78" t="s">
        <v>390</v>
      </c>
      <c r="O32" s="78" t="s">
        <v>390</v>
      </c>
      <c r="P32" s="77" t="s">
        <v>13</v>
      </c>
      <c r="Q32" s="78" t="s">
        <v>390</v>
      </c>
      <c r="R32" s="78" t="s">
        <v>390</v>
      </c>
      <c r="S32" s="78" t="s">
        <v>390</v>
      </c>
      <c r="T32" s="78" t="s">
        <v>390</v>
      </c>
      <c r="U32" s="78" t="s">
        <v>390</v>
      </c>
      <c r="V32" s="79" t="s">
        <v>391</v>
      </c>
      <c r="W32" s="77" t="s">
        <v>13</v>
      </c>
      <c r="X32" s="78" t="s">
        <v>390</v>
      </c>
      <c r="Y32" s="78" t="s">
        <v>390</v>
      </c>
      <c r="Z32" s="78" t="s">
        <v>390</v>
      </c>
      <c r="AA32" s="78" t="s">
        <v>390</v>
      </c>
      <c r="AB32" s="78" t="s">
        <v>390</v>
      </c>
      <c r="AC32" s="78" t="s">
        <v>390</v>
      </c>
      <c r="AD32" s="77" t="s">
        <v>13</v>
      </c>
      <c r="AE32" s="78" t="s">
        <v>390</v>
      </c>
      <c r="AF32" s="78" t="s">
        <v>390</v>
      </c>
      <c r="AG32" s="86" t="s">
        <v>14</v>
      </c>
      <c r="AH32" s="78" t="s">
        <v>390</v>
      </c>
      <c r="AI32" s="78" t="s">
        <v>390</v>
      </c>
      <c r="AJ32" s="78" t="s">
        <v>390</v>
      </c>
      <c r="AK32" s="77" t="s">
        <v>13</v>
      </c>
      <c r="AL32" s="106">
        <f t="shared" si="0"/>
        <v>21</v>
      </c>
      <c r="AM32" s="106">
        <f t="shared" si="1"/>
        <v>0</v>
      </c>
      <c r="AN32" s="106">
        <f t="shared" si="2"/>
        <v>0</v>
      </c>
      <c r="AO32" s="106">
        <f t="shared" si="3"/>
        <v>21</v>
      </c>
      <c r="AP32" s="106">
        <f t="shared" si="4"/>
        <v>2</v>
      </c>
      <c r="AQ32" s="134">
        <v>10</v>
      </c>
      <c r="AR32" s="134">
        <v>260</v>
      </c>
      <c r="AS32" s="134">
        <v>195</v>
      </c>
      <c r="AT32" s="135">
        <v>75</v>
      </c>
      <c r="AU32" s="106" t="s">
        <v>427</v>
      </c>
      <c r="AV32" s="100"/>
      <c r="AW32" s="100"/>
    </row>
    <row r="33" spans="1:49" x14ac:dyDescent="0.25">
      <c r="A33" s="96">
        <v>32</v>
      </c>
      <c r="B33" s="148">
        <v>326</v>
      </c>
      <c r="C33" s="32" t="s">
        <v>345</v>
      </c>
      <c r="D33" s="32" t="s">
        <v>346</v>
      </c>
      <c r="E33" s="32" t="s">
        <v>9</v>
      </c>
      <c r="F33" s="32" t="s">
        <v>17</v>
      </c>
      <c r="G33" s="59" t="s">
        <v>347</v>
      </c>
      <c r="H33" s="77" t="s">
        <v>389</v>
      </c>
      <c r="I33" s="77" t="s">
        <v>13</v>
      </c>
      <c r="J33" s="78" t="s">
        <v>390</v>
      </c>
      <c r="K33" s="78" t="s">
        <v>390</v>
      </c>
      <c r="L33" s="136" t="s">
        <v>390</v>
      </c>
      <c r="M33" s="78" t="s">
        <v>390</v>
      </c>
      <c r="N33" s="78" t="s">
        <v>390</v>
      </c>
      <c r="O33" s="79" t="s">
        <v>391</v>
      </c>
      <c r="P33" s="77" t="s">
        <v>13</v>
      </c>
      <c r="Q33" s="78" t="s">
        <v>390</v>
      </c>
      <c r="R33" s="78" t="s">
        <v>390</v>
      </c>
      <c r="S33" s="78" t="s">
        <v>390</v>
      </c>
      <c r="T33" s="78" t="s">
        <v>390</v>
      </c>
      <c r="U33" s="78" t="s">
        <v>390</v>
      </c>
      <c r="V33" s="78" t="s">
        <v>390</v>
      </c>
      <c r="W33" s="77" t="s">
        <v>13</v>
      </c>
      <c r="X33" s="78" t="s">
        <v>390</v>
      </c>
      <c r="Y33" s="78" t="s">
        <v>390</v>
      </c>
      <c r="Z33" s="78" t="s">
        <v>390</v>
      </c>
      <c r="AA33" s="78" t="s">
        <v>390</v>
      </c>
      <c r="AB33" s="86" t="s">
        <v>14</v>
      </c>
      <c r="AC33" s="78" t="s">
        <v>390</v>
      </c>
      <c r="AD33" s="77" t="s">
        <v>13</v>
      </c>
      <c r="AE33" s="78" t="s">
        <v>390</v>
      </c>
      <c r="AF33" s="78" t="s">
        <v>390</v>
      </c>
      <c r="AG33" s="78" t="s">
        <v>390</v>
      </c>
      <c r="AH33" s="78" t="s">
        <v>390</v>
      </c>
      <c r="AI33" s="78" t="s">
        <v>390</v>
      </c>
      <c r="AJ33" s="78" t="s">
        <v>390</v>
      </c>
      <c r="AK33" s="77" t="s">
        <v>13</v>
      </c>
      <c r="AL33" s="106">
        <f t="shared" si="0"/>
        <v>22</v>
      </c>
      <c r="AM33" s="106">
        <f t="shared" si="1"/>
        <v>0</v>
      </c>
      <c r="AN33" s="106">
        <f t="shared" si="2"/>
        <v>0</v>
      </c>
      <c r="AO33" s="106">
        <f t="shared" si="3"/>
        <v>22</v>
      </c>
      <c r="AP33" s="106">
        <f t="shared" si="4"/>
        <v>1</v>
      </c>
      <c r="AQ33" s="134"/>
      <c r="AR33" s="134"/>
      <c r="AS33" s="134"/>
      <c r="AT33" s="135"/>
      <c r="AU33" s="106" t="s">
        <v>427</v>
      </c>
      <c r="AV33" s="100"/>
      <c r="AW33" s="100"/>
    </row>
    <row r="34" spans="1:49" x14ac:dyDescent="0.25">
      <c r="A34" s="96">
        <v>33</v>
      </c>
      <c r="B34" s="148">
        <v>328</v>
      </c>
      <c r="C34" s="32" t="s">
        <v>48</v>
      </c>
      <c r="D34" s="32" t="s">
        <v>49</v>
      </c>
      <c r="E34" s="32" t="s">
        <v>9</v>
      </c>
      <c r="F34" s="32" t="s">
        <v>17</v>
      </c>
      <c r="G34" s="59" t="s">
        <v>50</v>
      </c>
      <c r="H34" s="77" t="s">
        <v>389</v>
      </c>
      <c r="I34" s="77" t="s">
        <v>13</v>
      </c>
      <c r="J34" s="78" t="s">
        <v>390</v>
      </c>
      <c r="K34" s="78" t="s">
        <v>390</v>
      </c>
      <c r="L34" s="78" t="s">
        <v>390</v>
      </c>
      <c r="M34" s="78" t="s">
        <v>390</v>
      </c>
      <c r="N34" s="78" t="s">
        <v>390</v>
      </c>
      <c r="O34" s="78" t="s">
        <v>390</v>
      </c>
      <c r="P34" s="77" t="s">
        <v>13</v>
      </c>
      <c r="Q34" s="78" t="s">
        <v>390</v>
      </c>
      <c r="R34" s="78" t="s">
        <v>390</v>
      </c>
      <c r="S34" s="78" t="s">
        <v>390</v>
      </c>
      <c r="T34" s="78" t="s">
        <v>390</v>
      </c>
      <c r="U34" s="78" t="s">
        <v>390</v>
      </c>
      <c r="V34" s="78" t="s">
        <v>390</v>
      </c>
      <c r="W34" s="77" t="s">
        <v>13</v>
      </c>
      <c r="X34" s="86" t="s">
        <v>14</v>
      </c>
      <c r="Y34" s="86" t="s">
        <v>14</v>
      </c>
      <c r="Z34" s="86" t="s">
        <v>14</v>
      </c>
      <c r="AA34" s="86" t="s">
        <v>14</v>
      </c>
      <c r="AB34" s="79" t="s">
        <v>391</v>
      </c>
      <c r="AC34" s="78" t="s">
        <v>390</v>
      </c>
      <c r="AD34" s="77" t="s">
        <v>13</v>
      </c>
      <c r="AE34" s="78" t="s">
        <v>390</v>
      </c>
      <c r="AF34" s="78" t="s">
        <v>390</v>
      </c>
      <c r="AG34" s="78" t="s">
        <v>390</v>
      </c>
      <c r="AH34" s="136" t="s">
        <v>390</v>
      </c>
      <c r="AI34" s="78" t="s">
        <v>390</v>
      </c>
      <c r="AJ34" s="78" t="s">
        <v>390</v>
      </c>
      <c r="AK34" s="77" t="s">
        <v>13</v>
      </c>
      <c r="AL34" s="106">
        <f t="shared" si="0"/>
        <v>19</v>
      </c>
      <c r="AM34" s="106">
        <f t="shared" si="1"/>
        <v>0</v>
      </c>
      <c r="AN34" s="106">
        <f t="shared" si="2"/>
        <v>0</v>
      </c>
      <c r="AO34" s="106">
        <f t="shared" si="3"/>
        <v>19</v>
      </c>
      <c r="AP34" s="106">
        <f t="shared" si="4"/>
        <v>4</v>
      </c>
      <c r="AQ34" s="134">
        <v>10</v>
      </c>
      <c r="AR34" s="134">
        <v>260</v>
      </c>
      <c r="AS34" s="134">
        <v>143</v>
      </c>
      <c r="AT34" s="135">
        <v>55.000000000000007</v>
      </c>
      <c r="AU34" s="106" t="s">
        <v>427</v>
      </c>
      <c r="AV34" s="100"/>
      <c r="AW34" s="100"/>
    </row>
    <row r="35" spans="1:49" x14ac:dyDescent="0.25">
      <c r="A35" s="96">
        <v>34</v>
      </c>
      <c r="B35" s="148">
        <v>329</v>
      </c>
      <c r="C35" s="32" t="s">
        <v>369</v>
      </c>
      <c r="D35" s="32" t="s">
        <v>49</v>
      </c>
      <c r="E35" s="32" t="s">
        <v>9</v>
      </c>
      <c r="F35" s="32" t="s">
        <v>17</v>
      </c>
      <c r="G35" s="59" t="s">
        <v>50</v>
      </c>
      <c r="H35" s="77" t="s">
        <v>389</v>
      </c>
      <c r="I35" s="77" t="s">
        <v>13</v>
      </c>
      <c r="J35" s="78" t="s">
        <v>390</v>
      </c>
      <c r="K35" s="78" t="s">
        <v>390</v>
      </c>
      <c r="L35" s="78" t="s">
        <v>390</v>
      </c>
      <c r="M35" s="78" t="s">
        <v>390</v>
      </c>
      <c r="N35" s="78" t="s">
        <v>390</v>
      </c>
      <c r="O35" s="78" t="s">
        <v>390</v>
      </c>
      <c r="P35" s="77" t="s">
        <v>13</v>
      </c>
      <c r="Q35" s="78" t="s">
        <v>390</v>
      </c>
      <c r="R35" s="78" t="s">
        <v>390</v>
      </c>
      <c r="S35" s="78" t="s">
        <v>390</v>
      </c>
      <c r="T35" s="80" t="s">
        <v>14</v>
      </c>
      <c r="U35" s="136" t="s">
        <v>390</v>
      </c>
      <c r="V35" s="79" t="s">
        <v>391</v>
      </c>
      <c r="W35" s="77" t="s">
        <v>13</v>
      </c>
      <c r="X35" s="78" t="s">
        <v>390</v>
      </c>
      <c r="Y35" s="78" t="s">
        <v>390</v>
      </c>
      <c r="Z35" s="78" t="s">
        <v>390</v>
      </c>
      <c r="AA35" s="78" t="s">
        <v>390</v>
      </c>
      <c r="AB35" s="78" t="s">
        <v>390</v>
      </c>
      <c r="AC35" s="78" t="s">
        <v>390</v>
      </c>
      <c r="AD35" s="77" t="s">
        <v>13</v>
      </c>
      <c r="AE35" s="78" t="s">
        <v>390</v>
      </c>
      <c r="AF35" s="78" t="s">
        <v>390</v>
      </c>
      <c r="AG35" s="78" t="s">
        <v>390</v>
      </c>
      <c r="AH35" s="78" t="s">
        <v>390</v>
      </c>
      <c r="AI35" s="78" t="s">
        <v>390</v>
      </c>
      <c r="AJ35" s="78" t="s">
        <v>390</v>
      </c>
      <c r="AK35" s="77" t="s">
        <v>13</v>
      </c>
      <c r="AL35" s="106">
        <f t="shared" si="0"/>
        <v>22</v>
      </c>
      <c r="AM35" s="106">
        <f t="shared" si="1"/>
        <v>0</v>
      </c>
      <c r="AN35" s="106">
        <f t="shared" si="2"/>
        <v>0</v>
      </c>
      <c r="AO35" s="106">
        <f t="shared" si="3"/>
        <v>22</v>
      </c>
      <c r="AP35" s="106">
        <f t="shared" si="4"/>
        <v>1</v>
      </c>
      <c r="AQ35" s="134"/>
      <c r="AR35" s="134"/>
      <c r="AS35" s="134"/>
      <c r="AT35" s="135"/>
      <c r="AU35" s="106" t="s">
        <v>427</v>
      </c>
      <c r="AV35" s="100"/>
      <c r="AW35" s="100"/>
    </row>
    <row r="36" spans="1:49" x14ac:dyDescent="0.25">
      <c r="A36" s="96">
        <v>35</v>
      </c>
      <c r="B36" s="148">
        <v>330</v>
      </c>
      <c r="C36" s="32" t="s">
        <v>51</v>
      </c>
      <c r="D36" s="32" t="s">
        <v>49</v>
      </c>
      <c r="E36" s="30" t="s">
        <v>28</v>
      </c>
      <c r="F36" s="32" t="s">
        <v>17</v>
      </c>
      <c r="G36" s="59" t="s">
        <v>50</v>
      </c>
      <c r="H36" s="77" t="s">
        <v>389</v>
      </c>
      <c r="I36" s="77" t="s">
        <v>13</v>
      </c>
      <c r="J36" s="78" t="s">
        <v>390</v>
      </c>
      <c r="K36" s="78" t="s">
        <v>390</v>
      </c>
      <c r="L36" s="78" t="s">
        <v>390</v>
      </c>
      <c r="M36" s="78" t="s">
        <v>390</v>
      </c>
      <c r="N36" s="78" t="s">
        <v>390</v>
      </c>
      <c r="O36" s="78" t="s">
        <v>390</v>
      </c>
      <c r="P36" s="77" t="s">
        <v>13</v>
      </c>
      <c r="Q36" s="80" t="s">
        <v>14</v>
      </c>
      <c r="R36" s="78" t="s">
        <v>390</v>
      </c>
      <c r="S36" s="80" t="s">
        <v>14</v>
      </c>
      <c r="T36" s="79" t="s">
        <v>391</v>
      </c>
      <c r="U36" s="78" t="s">
        <v>390</v>
      </c>
      <c r="V36" s="78" t="s">
        <v>390</v>
      </c>
      <c r="W36" s="77" t="s">
        <v>13</v>
      </c>
      <c r="X36" s="78" t="s">
        <v>390</v>
      </c>
      <c r="Y36" s="78" t="s">
        <v>390</v>
      </c>
      <c r="Z36" s="78" t="s">
        <v>390</v>
      </c>
      <c r="AA36" s="78" t="s">
        <v>390</v>
      </c>
      <c r="AB36" s="78" t="s">
        <v>390</v>
      </c>
      <c r="AC36" s="78" t="s">
        <v>390</v>
      </c>
      <c r="AD36" s="77" t="s">
        <v>13</v>
      </c>
      <c r="AE36" s="78" t="s">
        <v>390</v>
      </c>
      <c r="AF36" s="78" t="s">
        <v>390</v>
      </c>
      <c r="AG36" s="78" t="s">
        <v>390</v>
      </c>
      <c r="AH36" s="78" t="s">
        <v>390</v>
      </c>
      <c r="AI36" s="78" t="s">
        <v>390</v>
      </c>
      <c r="AJ36" s="78" t="s">
        <v>390</v>
      </c>
      <c r="AK36" s="77" t="s">
        <v>13</v>
      </c>
      <c r="AL36" s="106">
        <f t="shared" si="0"/>
        <v>21</v>
      </c>
      <c r="AM36" s="106">
        <f t="shared" si="1"/>
        <v>0</v>
      </c>
      <c r="AN36" s="106">
        <f t="shared" si="2"/>
        <v>0</v>
      </c>
      <c r="AO36" s="106">
        <f t="shared" si="3"/>
        <v>21</v>
      </c>
      <c r="AP36" s="106">
        <f t="shared" si="4"/>
        <v>2</v>
      </c>
      <c r="AQ36" s="134">
        <v>70</v>
      </c>
      <c r="AR36" s="134">
        <v>2030</v>
      </c>
      <c r="AS36" s="134">
        <v>1522</v>
      </c>
      <c r="AT36" s="135">
        <v>74.975369458128085</v>
      </c>
      <c r="AU36" s="106" t="s">
        <v>427</v>
      </c>
      <c r="AV36" s="100"/>
      <c r="AW36" s="100"/>
    </row>
    <row r="37" spans="1:49" x14ac:dyDescent="0.25">
      <c r="A37" s="96">
        <v>36</v>
      </c>
      <c r="B37" s="148">
        <v>331</v>
      </c>
      <c r="C37" s="32" t="s">
        <v>52</v>
      </c>
      <c r="D37" s="32" t="s">
        <v>49</v>
      </c>
      <c r="E37" s="32" t="s">
        <v>9</v>
      </c>
      <c r="F37" s="32" t="s">
        <v>17</v>
      </c>
      <c r="G37" s="59" t="s">
        <v>50</v>
      </c>
      <c r="H37" s="77" t="s">
        <v>389</v>
      </c>
      <c r="I37" s="77" t="s">
        <v>13</v>
      </c>
      <c r="J37" s="79" t="s">
        <v>391</v>
      </c>
      <c r="K37" s="78" t="s">
        <v>390</v>
      </c>
      <c r="L37" s="78" t="s">
        <v>390</v>
      </c>
      <c r="M37" s="78" t="s">
        <v>390</v>
      </c>
      <c r="N37" s="78" t="s">
        <v>390</v>
      </c>
      <c r="O37" s="78" t="s">
        <v>390</v>
      </c>
      <c r="P37" s="77" t="s">
        <v>13</v>
      </c>
      <c r="Q37" s="78" t="s">
        <v>390</v>
      </c>
      <c r="R37" s="78" t="s">
        <v>390</v>
      </c>
      <c r="S37" s="78" t="s">
        <v>390</v>
      </c>
      <c r="T37" s="78" t="s">
        <v>390</v>
      </c>
      <c r="U37" s="78" t="s">
        <v>390</v>
      </c>
      <c r="V37" s="81" t="s">
        <v>392</v>
      </c>
      <c r="W37" s="77" t="s">
        <v>13</v>
      </c>
      <c r="X37" s="86" t="s">
        <v>14</v>
      </c>
      <c r="Y37" s="78" t="s">
        <v>390</v>
      </c>
      <c r="Z37" s="78" t="s">
        <v>390</v>
      </c>
      <c r="AA37" s="78" t="s">
        <v>390</v>
      </c>
      <c r="AB37" s="78" t="s">
        <v>390</v>
      </c>
      <c r="AC37" s="78" t="s">
        <v>390</v>
      </c>
      <c r="AD37" s="77" t="s">
        <v>13</v>
      </c>
      <c r="AE37" s="78" t="s">
        <v>390</v>
      </c>
      <c r="AF37" s="78" t="s">
        <v>390</v>
      </c>
      <c r="AG37" s="78" t="s">
        <v>390</v>
      </c>
      <c r="AH37" s="78" t="s">
        <v>390</v>
      </c>
      <c r="AI37" s="78" t="s">
        <v>390</v>
      </c>
      <c r="AJ37" s="81" t="s">
        <v>392</v>
      </c>
      <c r="AK37" s="77" t="s">
        <v>13</v>
      </c>
      <c r="AL37" s="106">
        <f t="shared" si="0"/>
        <v>20</v>
      </c>
      <c r="AM37" s="106">
        <f t="shared" si="1"/>
        <v>0</v>
      </c>
      <c r="AN37" s="106">
        <f t="shared" si="2"/>
        <v>1</v>
      </c>
      <c r="AO37" s="106">
        <f t="shared" si="3"/>
        <v>21</v>
      </c>
      <c r="AP37" s="106">
        <f t="shared" si="4"/>
        <v>2</v>
      </c>
      <c r="AQ37" s="134">
        <v>10</v>
      </c>
      <c r="AR37" s="134">
        <v>260</v>
      </c>
      <c r="AS37" s="134">
        <v>171</v>
      </c>
      <c r="AT37" s="135">
        <v>65.769230769230774</v>
      </c>
      <c r="AU37" s="106" t="s">
        <v>427</v>
      </c>
      <c r="AV37" s="100"/>
      <c r="AW37" s="100"/>
    </row>
    <row r="38" spans="1:49" x14ac:dyDescent="0.25">
      <c r="A38" s="96">
        <v>37</v>
      </c>
      <c r="B38" s="148">
        <v>332</v>
      </c>
      <c r="C38" s="32" t="s">
        <v>53</v>
      </c>
      <c r="D38" s="32" t="s">
        <v>49</v>
      </c>
      <c r="E38" s="32" t="s">
        <v>39</v>
      </c>
      <c r="F38" s="32" t="s">
        <v>17</v>
      </c>
      <c r="G38" s="59" t="s">
        <v>50</v>
      </c>
      <c r="H38" s="77" t="s">
        <v>389</v>
      </c>
      <c r="I38" s="77" t="s">
        <v>13</v>
      </c>
      <c r="J38" s="80" t="s">
        <v>14</v>
      </c>
      <c r="K38" s="78" t="s">
        <v>390</v>
      </c>
      <c r="L38" s="78" t="s">
        <v>390</v>
      </c>
      <c r="M38" s="78" t="s">
        <v>390</v>
      </c>
      <c r="N38" s="78" t="s">
        <v>390</v>
      </c>
      <c r="O38" s="79" t="s">
        <v>391</v>
      </c>
      <c r="P38" s="77" t="s">
        <v>13</v>
      </c>
      <c r="Q38" s="78" t="s">
        <v>390</v>
      </c>
      <c r="R38" s="78" t="s">
        <v>390</v>
      </c>
      <c r="S38" s="136" t="s">
        <v>390</v>
      </c>
      <c r="T38" s="78" t="s">
        <v>390</v>
      </c>
      <c r="U38" s="78" t="s">
        <v>390</v>
      </c>
      <c r="V38" s="78" t="s">
        <v>390</v>
      </c>
      <c r="W38" s="77" t="s">
        <v>13</v>
      </c>
      <c r="X38" s="78" t="s">
        <v>390</v>
      </c>
      <c r="Y38" s="78" t="s">
        <v>390</v>
      </c>
      <c r="Z38" s="78" t="s">
        <v>390</v>
      </c>
      <c r="AA38" s="78" t="s">
        <v>390</v>
      </c>
      <c r="AB38" s="78" t="s">
        <v>390</v>
      </c>
      <c r="AC38" s="80" t="s">
        <v>14</v>
      </c>
      <c r="AD38" s="77" t="s">
        <v>13</v>
      </c>
      <c r="AE38" s="78" t="s">
        <v>390</v>
      </c>
      <c r="AF38" s="78" t="s">
        <v>390</v>
      </c>
      <c r="AG38" s="78" t="s">
        <v>390</v>
      </c>
      <c r="AH38" s="78" t="s">
        <v>390</v>
      </c>
      <c r="AI38" s="78" t="s">
        <v>390</v>
      </c>
      <c r="AJ38" s="81" t="s">
        <v>392</v>
      </c>
      <c r="AK38" s="77" t="s">
        <v>13</v>
      </c>
      <c r="AL38" s="106">
        <f t="shared" si="0"/>
        <v>20</v>
      </c>
      <c r="AM38" s="106">
        <f t="shared" si="1"/>
        <v>0</v>
      </c>
      <c r="AN38" s="106">
        <f t="shared" si="2"/>
        <v>0.5</v>
      </c>
      <c r="AO38" s="106">
        <f t="shared" si="3"/>
        <v>20.5</v>
      </c>
      <c r="AP38" s="106">
        <f t="shared" si="4"/>
        <v>2.5</v>
      </c>
      <c r="AQ38" s="134">
        <v>20</v>
      </c>
      <c r="AR38" s="134">
        <v>520</v>
      </c>
      <c r="AS38" s="134">
        <v>252</v>
      </c>
      <c r="AT38" s="135">
        <v>48.46153846153846</v>
      </c>
      <c r="AU38" s="106" t="s">
        <v>427</v>
      </c>
      <c r="AV38" s="100"/>
      <c r="AW38" s="100"/>
    </row>
    <row r="39" spans="1:49" x14ac:dyDescent="0.25">
      <c r="A39" s="96">
        <v>38</v>
      </c>
      <c r="B39" s="148">
        <v>335</v>
      </c>
      <c r="C39" s="32" t="s">
        <v>366</v>
      </c>
      <c r="D39" s="32" t="s">
        <v>34</v>
      </c>
      <c r="E39" s="32" t="s">
        <v>124</v>
      </c>
      <c r="F39" s="32" t="s">
        <v>17</v>
      </c>
      <c r="G39" s="59" t="s">
        <v>367</v>
      </c>
      <c r="H39" s="75" t="s">
        <v>12</v>
      </c>
      <c r="I39" s="75" t="s">
        <v>13</v>
      </c>
      <c r="J39" s="80" t="s">
        <v>14</v>
      </c>
      <c r="K39" s="83" t="s">
        <v>14</v>
      </c>
      <c r="L39" s="83" t="s">
        <v>14</v>
      </c>
      <c r="M39" s="83" t="s">
        <v>14</v>
      </c>
      <c r="N39" s="83" t="s">
        <v>14</v>
      </c>
      <c r="O39" s="79" t="s">
        <v>391</v>
      </c>
      <c r="P39" s="75" t="s">
        <v>13</v>
      </c>
      <c r="Q39" s="83" t="s">
        <v>14</v>
      </c>
      <c r="R39" s="83" t="s">
        <v>14</v>
      </c>
      <c r="S39" s="83" t="s">
        <v>14</v>
      </c>
      <c r="T39" s="83" t="s">
        <v>14</v>
      </c>
      <c r="U39" s="83" t="s">
        <v>14</v>
      </c>
      <c r="V39" s="83" t="s">
        <v>14</v>
      </c>
      <c r="W39" s="75" t="s">
        <v>13</v>
      </c>
      <c r="X39" s="83" t="s">
        <v>14</v>
      </c>
      <c r="Y39" s="83" t="s">
        <v>14</v>
      </c>
      <c r="Z39" s="83" t="s">
        <v>14</v>
      </c>
      <c r="AA39" s="84" t="s">
        <v>390</v>
      </c>
      <c r="AB39" s="88" t="s">
        <v>392</v>
      </c>
      <c r="AC39" s="84" t="s">
        <v>390</v>
      </c>
      <c r="AD39" s="75" t="s">
        <v>13</v>
      </c>
      <c r="AE39" s="84" t="s">
        <v>390</v>
      </c>
      <c r="AF39" s="84" t="s">
        <v>390</v>
      </c>
      <c r="AG39" s="84" t="s">
        <v>390</v>
      </c>
      <c r="AH39" s="84" t="s">
        <v>390</v>
      </c>
      <c r="AI39" s="84" t="s">
        <v>390</v>
      </c>
      <c r="AJ39" s="83" t="s">
        <v>14</v>
      </c>
      <c r="AK39" s="75" t="s">
        <v>13</v>
      </c>
      <c r="AL39" s="106">
        <f t="shared" si="0"/>
        <v>7</v>
      </c>
      <c r="AM39" s="106">
        <f t="shared" si="1"/>
        <v>0</v>
      </c>
      <c r="AN39" s="106">
        <f t="shared" si="2"/>
        <v>0.5</v>
      </c>
      <c r="AO39" s="106">
        <f t="shared" si="3"/>
        <v>7.5</v>
      </c>
      <c r="AP39" s="106">
        <f t="shared" si="4"/>
        <v>15.5</v>
      </c>
      <c r="AQ39" s="134"/>
      <c r="AR39" s="134"/>
      <c r="AS39" s="134"/>
      <c r="AT39" s="135"/>
      <c r="AU39" s="106" t="s">
        <v>427</v>
      </c>
      <c r="AV39" s="100"/>
      <c r="AW39" s="100"/>
    </row>
    <row r="40" spans="1:49" x14ac:dyDescent="0.25">
      <c r="A40" s="96">
        <v>39</v>
      </c>
      <c r="B40" s="148">
        <v>338</v>
      </c>
      <c r="C40" s="32" t="s">
        <v>54</v>
      </c>
      <c r="D40" s="32" t="s">
        <v>55</v>
      </c>
      <c r="E40" s="32" t="s">
        <v>39</v>
      </c>
      <c r="F40" s="32" t="s">
        <v>17</v>
      </c>
      <c r="G40" s="61">
        <v>45870</v>
      </c>
      <c r="H40" s="77" t="s">
        <v>389</v>
      </c>
      <c r="I40" s="77" t="s">
        <v>13</v>
      </c>
      <c r="J40" s="78" t="s">
        <v>390</v>
      </c>
      <c r="K40" s="78" t="s">
        <v>390</v>
      </c>
      <c r="L40" s="78" t="s">
        <v>390</v>
      </c>
      <c r="M40" s="78" t="s">
        <v>390</v>
      </c>
      <c r="N40" s="78" t="s">
        <v>390</v>
      </c>
      <c r="O40" s="79" t="s">
        <v>391</v>
      </c>
      <c r="P40" s="77" t="s">
        <v>13</v>
      </c>
      <c r="Q40" s="78" t="s">
        <v>390</v>
      </c>
      <c r="R40" s="78" t="s">
        <v>390</v>
      </c>
      <c r="S40" s="78" t="s">
        <v>390</v>
      </c>
      <c r="T40" s="78" t="s">
        <v>390</v>
      </c>
      <c r="U40" s="78" t="s">
        <v>390</v>
      </c>
      <c r="V40" s="78" t="s">
        <v>390</v>
      </c>
      <c r="W40" s="77" t="s">
        <v>13</v>
      </c>
      <c r="X40" s="78" t="s">
        <v>390</v>
      </c>
      <c r="Y40" s="78" t="s">
        <v>390</v>
      </c>
      <c r="Z40" s="78" t="s">
        <v>390</v>
      </c>
      <c r="AA40" s="78" t="s">
        <v>390</v>
      </c>
      <c r="AB40" s="80" t="s">
        <v>14</v>
      </c>
      <c r="AC40" s="78" t="s">
        <v>390</v>
      </c>
      <c r="AD40" s="77" t="s">
        <v>13</v>
      </c>
      <c r="AE40" s="78" t="s">
        <v>390</v>
      </c>
      <c r="AF40" s="78" t="s">
        <v>390</v>
      </c>
      <c r="AG40" s="78" t="s">
        <v>390</v>
      </c>
      <c r="AH40" s="78" t="s">
        <v>390</v>
      </c>
      <c r="AI40" s="78" t="s">
        <v>390</v>
      </c>
      <c r="AJ40" s="78" t="s">
        <v>390</v>
      </c>
      <c r="AK40" s="77" t="s">
        <v>13</v>
      </c>
      <c r="AL40" s="106">
        <f t="shared" si="0"/>
        <v>22</v>
      </c>
      <c r="AM40" s="106">
        <f t="shared" si="1"/>
        <v>0</v>
      </c>
      <c r="AN40" s="106">
        <f t="shared" si="2"/>
        <v>0</v>
      </c>
      <c r="AO40" s="106">
        <f t="shared" si="3"/>
        <v>22</v>
      </c>
      <c r="AP40" s="106">
        <f t="shared" si="4"/>
        <v>1</v>
      </c>
      <c r="AQ40" s="134"/>
      <c r="AR40" s="134"/>
      <c r="AS40" s="134"/>
      <c r="AT40" s="135"/>
      <c r="AU40" s="106" t="s">
        <v>427</v>
      </c>
      <c r="AV40" s="100"/>
      <c r="AW40" s="100"/>
    </row>
    <row r="41" spans="1:49" x14ac:dyDescent="0.25">
      <c r="A41" s="96">
        <v>40</v>
      </c>
      <c r="B41" s="148">
        <v>339</v>
      </c>
      <c r="C41" s="32" t="s">
        <v>356</v>
      </c>
      <c r="D41" s="32" t="s">
        <v>357</v>
      </c>
      <c r="E41" s="32" t="s">
        <v>137</v>
      </c>
      <c r="F41" s="32" t="s">
        <v>17</v>
      </c>
      <c r="G41" s="59" t="s">
        <v>358</v>
      </c>
      <c r="H41" s="91" t="s">
        <v>390</v>
      </c>
      <c r="I41" s="91" t="s">
        <v>390</v>
      </c>
      <c r="J41" s="78" t="s">
        <v>390</v>
      </c>
      <c r="K41" s="91" t="s">
        <v>390</v>
      </c>
      <c r="L41" s="91" t="s">
        <v>390</v>
      </c>
      <c r="M41" s="78" t="s">
        <v>390</v>
      </c>
      <c r="N41" s="78" t="s">
        <v>390</v>
      </c>
      <c r="O41" s="78" t="s">
        <v>390</v>
      </c>
      <c r="P41" s="78" t="s">
        <v>390</v>
      </c>
      <c r="Q41" s="78" t="s">
        <v>390</v>
      </c>
      <c r="R41" s="91" t="s">
        <v>390</v>
      </c>
      <c r="S41" s="78" t="s">
        <v>390</v>
      </c>
      <c r="T41" s="79" t="s">
        <v>391</v>
      </c>
      <c r="U41" s="78" t="s">
        <v>390</v>
      </c>
      <c r="V41" s="91" t="s">
        <v>390</v>
      </c>
      <c r="W41" s="77" t="s">
        <v>13</v>
      </c>
      <c r="X41" s="91" t="s">
        <v>390</v>
      </c>
      <c r="Y41" s="78" t="s">
        <v>390</v>
      </c>
      <c r="Z41" s="91" t="s">
        <v>390</v>
      </c>
      <c r="AA41" s="85" t="s">
        <v>378</v>
      </c>
      <c r="AB41" s="78" t="s">
        <v>390</v>
      </c>
      <c r="AC41" s="78" t="s">
        <v>390</v>
      </c>
      <c r="AD41" s="77" t="s">
        <v>13</v>
      </c>
      <c r="AE41" s="78" t="s">
        <v>390</v>
      </c>
      <c r="AF41" s="78" t="s">
        <v>390</v>
      </c>
      <c r="AG41" s="78" t="s">
        <v>390</v>
      </c>
      <c r="AH41" s="78" t="s">
        <v>390</v>
      </c>
      <c r="AI41" s="78" t="s">
        <v>390</v>
      </c>
      <c r="AJ41" s="91" t="s">
        <v>390</v>
      </c>
      <c r="AK41" s="77" t="s">
        <v>13</v>
      </c>
      <c r="AL41" s="106">
        <f t="shared" si="0"/>
        <v>25</v>
      </c>
      <c r="AM41" s="106">
        <f t="shared" si="1"/>
        <v>1</v>
      </c>
      <c r="AN41" s="106">
        <f t="shared" si="2"/>
        <v>0</v>
      </c>
      <c r="AO41" s="106">
        <f t="shared" si="3"/>
        <v>26</v>
      </c>
      <c r="AP41" s="106">
        <f t="shared" si="4"/>
        <v>0</v>
      </c>
      <c r="AQ41" s="134"/>
      <c r="AR41" s="134"/>
      <c r="AS41" s="134"/>
      <c r="AT41" s="135"/>
      <c r="AU41" s="106" t="s">
        <v>427</v>
      </c>
      <c r="AV41" s="100"/>
      <c r="AW41" s="100"/>
    </row>
    <row r="42" spans="1:49" x14ac:dyDescent="0.25">
      <c r="A42" s="96">
        <v>41</v>
      </c>
      <c r="B42" s="148">
        <v>341</v>
      </c>
      <c r="C42" s="32" t="s">
        <v>56</v>
      </c>
      <c r="D42" s="32" t="s">
        <v>38</v>
      </c>
      <c r="E42" s="32" t="s">
        <v>39</v>
      </c>
      <c r="F42" s="32" t="s">
        <v>17</v>
      </c>
      <c r="G42" s="59" t="s">
        <v>57</v>
      </c>
      <c r="H42" s="77" t="s">
        <v>389</v>
      </c>
      <c r="I42" s="77" t="s">
        <v>13</v>
      </c>
      <c r="J42" s="78" t="s">
        <v>390</v>
      </c>
      <c r="K42" s="81" t="s">
        <v>392</v>
      </c>
      <c r="L42" s="78" t="s">
        <v>390</v>
      </c>
      <c r="M42" s="78" t="s">
        <v>390</v>
      </c>
      <c r="N42" s="80" t="s">
        <v>14</v>
      </c>
      <c r="O42" s="80" t="s">
        <v>14</v>
      </c>
      <c r="P42" s="77" t="s">
        <v>13</v>
      </c>
      <c r="Q42" s="78" t="s">
        <v>390</v>
      </c>
      <c r="R42" s="78" t="s">
        <v>390</v>
      </c>
      <c r="S42" s="78" t="s">
        <v>390</v>
      </c>
      <c r="T42" s="78" t="s">
        <v>390</v>
      </c>
      <c r="U42" s="78" t="s">
        <v>390</v>
      </c>
      <c r="V42" s="78" t="s">
        <v>390</v>
      </c>
      <c r="W42" s="77" t="s">
        <v>13</v>
      </c>
      <c r="X42" s="78" t="s">
        <v>390</v>
      </c>
      <c r="Y42" s="78" t="s">
        <v>390</v>
      </c>
      <c r="Z42" s="80" t="s">
        <v>14</v>
      </c>
      <c r="AA42" s="78" t="s">
        <v>390</v>
      </c>
      <c r="AB42" s="81" t="s">
        <v>392</v>
      </c>
      <c r="AC42" s="80" t="s">
        <v>14</v>
      </c>
      <c r="AD42" s="77" t="s">
        <v>13</v>
      </c>
      <c r="AE42" s="78" t="s">
        <v>390</v>
      </c>
      <c r="AF42" s="78" t="s">
        <v>390</v>
      </c>
      <c r="AG42" s="78" t="s">
        <v>390</v>
      </c>
      <c r="AH42" s="78" t="s">
        <v>390</v>
      </c>
      <c r="AI42" s="78" t="s">
        <v>390</v>
      </c>
      <c r="AJ42" s="79" t="s">
        <v>391</v>
      </c>
      <c r="AK42" s="77" t="s">
        <v>13</v>
      </c>
      <c r="AL42" s="106">
        <f t="shared" si="0"/>
        <v>17</v>
      </c>
      <c r="AM42" s="106">
        <f t="shared" si="1"/>
        <v>0</v>
      </c>
      <c r="AN42" s="106">
        <f t="shared" si="2"/>
        <v>1</v>
      </c>
      <c r="AO42" s="106">
        <f t="shared" si="3"/>
        <v>18</v>
      </c>
      <c r="AP42" s="106">
        <f t="shared" si="4"/>
        <v>5</v>
      </c>
      <c r="AQ42" s="134">
        <v>50</v>
      </c>
      <c r="AR42" s="134">
        <v>1350</v>
      </c>
      <c r="AS42" s="134">
        <v>672</v>
      </c>
      <c r="AT42" s="135">
        <v>49.777777777777779</v>
      </c>
      <c r="AU42" s="106" t="s">
        <v>427</v>
      </c>
      <c r="AV42" s="100"/>
      <c r="AW42" s="100"/>
    </row>
    <row r="43" spans="1:49" x14ac:dyDescent="0.25">
      <c r="A43" s="96">
        <v>42</v>
      </c>
      <c r="B43" s="148">
        <v>342</v>
      </c>
      <c r="C43" s="45" t="s">
        <v>58</v>
      </c>
      <c r="D43" s="32" t="s">
        <v>44</v>
      </c>
      <c r="E43" s="32" t="s">
        <v>39</v>
      </c>
      <c r="F43" s="32" t="s">
        <v>17</v>
      </c>
      <c r="G43" s="61">
        <v>45697</v>
      </c>
      <c r="H43" s="77" t="s">
        <v>389</v>
      </c>
      <c r="I43" s="77" t="s">
        <v>13</v>
      </c>
      <c r="J43" s="80" t="s">
        <v>14</v>
      </c>
      <c r="K43" s="78" t="s">
        <v>390</v>
      </c>
      <c r="L43" s="78" t="s">
        <v>390</v>
      </c>
      <c r="M43" s="78" t="s">
        <v>390</v>
      </c>
      <c r="N43" s="78" t="s">
        <v>390</v>
      </c>
      <c r="O43" s="78" t="s">
        <v>390</v>
      </c>
      <c r="P43" s="77" t="s">
        <v>13</v>
      </c>
      <c r="Q43" s="78" t="s">
        <v>390</v>
      </c>
      <c r="R43" s="78" t="s">
        <v>390</v>
      </c>
      <c r="S43" s="78" t="s">
        <v>390</v>
      </c>
      <c r="T43" s="78" t="s">
        <v>390</v>
      </c>
      <c r="U43" s="78" t="s">
        <v>390</v>
      </c>
      <c r="V43" s="79" t="s">
        <v>391</v>
      </c>
      <c r="W43" s="77" t="s">
        <v>13</v>
      </c>
      <c r="X43" s="78" t="s">
        <v>390</v>
      </c>
      <c r="Y43" s="78" t="s">
        <v>390</v>
      </c>
      <c r="Z43" s="78" t="s">
        <v>390</v>
      </c>
      <c r="AA43" s="78" t="s">
        <v>390</v>
      </c>
      <c r="AB43" s="78" t="s">
        <v>390</v>
      </c>
      <c r="AC43" s="78" t="s">
        <v>390</v>
      </c>
      <c r="AD43" s="77" t="s">
        <v>13</v>
      </c>
      <c r="AE43" s="78" t="s">
        <v>390</v>
      </c>
      <c r="AF43" s="78" t="s">
        <v>390</v>
      </c>
      <c r="AG43" s="78" t="s">
        <v>390</v>
      </c>
      <c r="AH43" s="78" t="s">
        <v>390</v>
      </c>
      <c r="AI43" s="78" t="s">
        <v>390</v>
      </c>
      <c r="AJ43" s="78" t="s">
        <v>390</v>
      </c>
      <c r="AK43" s="77" t="s">
        <v>13</v>
      </c>
      <c r="AL43" s="106">
        <f t="shared" si="0"/>
        <v>22</v>
      </c>
      <c r="AM43" s="106">
        <f t="shared" si="1"/>
        <v>0</v>
      </c>
      <c r="AN43" s="106">
        <f t="shared" si="2"/>
        <v>0</v>
      </c>
      <c r="AO43" s="106">
        <f t="shared" si="3"/>
        <v>22</v>
      </c>
      <c r="AP43" s="106">
        <f t="shared" si="4"/>
        <v>1</v>
      </c>
      <c r="AQ43" s="134"/>
      <c r="AR43" s="134"/>
      <c r="AS43" s="134"/>
      <c r="AT43" s="135"/>
      <c r="AU43" s="106" t="s">
        <v>427</v>
      </c>
      <c r="AV43" s="100"/>
      <c r="AW43" s="100"/>
    </row>
    <row r="44" spans="1:49" x14ac:dyDescent="0.25">
      <c r="A44" s="96">
        <v>43</v>
      </c>
      <c r="B44" s="149">
        <v>343</v>
      </c>
      <c r="C44" s="45" t="s">
        <v>59</v>
      </c>
      <c r="D44" s="32" t="s">
        <v>8</v>
      </c>
      <c r="E44" s="32" t="s">
        <v>9</v>
      </c>
      <c r="F44" s="45" t="s">
        <v>17</v>
      </c>
      <c r="G44" s="62">
        <v>45909</v>
      </c>
      <c r="H44" s="77" t="s">
        <v>389</v>
      </c>
      <c r="I44" s="77" t="s">
        <v>13</v>
      </c>
      <c r="J44" s="80" t="s">
        <v>14</v>
      </c>
      <c r="K44" s="78" t="s">
        <v>390</v>
      </c>
      <c r="L44" s="78" t="s">
        <v>390</v>
      </c>
      <c r="M44" s="78" t="s">
        <v>390</v>
      </c>
      <c r="N44" s="78" t="s">
        <v>390</v>
      </c>
      <c r="O44" s="78" t="s">
        <v>390</v>
      </c>
      <c r="P44" s="77" t="s">
        <v>13</v>
      </c>
      <c r="Q44" s="78" t="s">
        <v>390</v>
      </c>
      <c r="R44" s="78" t="s">
        <v>390</v>
      </c>
      <c r="S44" s="79" t="s">
        <v>391</v>
      </c>
      <c r="T44" s="78" t="s">
        <v>390</v>
      </c>
      <c r="U44" s="78" t="s">
        <v>390</v>
      </c>
      <c r="V44" s="136" t="s">
        <v>390</v>
      </c>
      <c r="W44" s="77" t="s">
        <v>13</v>
      </c>
      <c r="X44" s="78" t="s">
        <v>390</v>
      </c>
      <c r="Y44" s="78" t="s">
        <v>390</v>
      </c>
      <c r="Z44" s="78" t="s">
        <v>390</v>
      </c>
      <c r="AA44" s="78" t="s">
        <v>390</v>
      </c>
      <c r="AB44" s="78" t="s">
        <v>390</v>
      </c>
      <c r="AC44" s="78" t="s">
        <v>390</v>
      </c>
      <c r="AD44" s="77" t="s">
        <v>13</v>
      </c>
      <c r="AE44" s="86" t="s">
        <v>14</v>
      </c>
      <c r="AF44" s="86" t="s">
        <v>14</v>
      </c>
      <c r="AG44" s="86" t="s">
        <v>14</v>
      </c>
      <c r="AH44" s="86" t="s">
        <v>14</v>
      </c>
      <c r="AI44" s="78" t="s">
        <v>390</v>
      </c>
      <c r="AJ44" s="78" t="s">
        <v>390</v>
      </c>
      <c r="AK44" s="77" t="s">
        <v>13</v>
      </c>
      <c r="AL44" s="106">
        <f t="shared" si="0"/>
        <v>18</v>
      </c>
      <c r="AM44" s="106">
        <f t="shared" si="1"/>
        <v>0</v>
      </c>
      <c r="AN44" s="106">
        <f t="shared" si="2"/>
        <v>0</v>
      </c>
      <c r="AO44" s="106">
        <f t="shared" si="3"/>
        <v>18</v>
      </c>
      <c r="AP44" s="106">
        <f t="shared" si="4"/>
        <v>5</v>
      </c>
      <c r="AQ44" s="134">
        <v>10</v>
      </c>
      <c r="AR44" s="134">
        <v>260</v>
      </c>
      <c r="AS44" s="134">
        <v>96</v>
      </c>
      <c r="AT44" s="135">
        <v>36.923076923076927</v>
      </c>
      <c r="AU44" s="106" t="s">
        <v>427</v>
      </c>
      <c r="AV44" s="100"/>
      <c r="AW44" s="100"/>
    </row>
    <row r="45" spans="1:49" x14ac:dyDescent="0.25">
      <c r="A45" s="96">
        <v>44</v>
      </c>
      <c r="B45" s="149">
        <v>344</v>
      </c>
      <c r="C45" s="45" t="s">
        <v>60</v>
      </c>
      <c r="D45" s="32" t="s">
        <v>61</v>
      </c>
      <c r="E45" s="45" t="s">
        <v>62</v>
      </c>
      <c r="F45" s="45" t="s">
        <v>17</v>
      </c>
      <c r="G45" s="63" t="s">
        <v>63</v>
      </c>
      <c r="H45" s="75" t="s">
        <v>12</v>
      </c>
      <c r="I45" s="75" t="s">
        <v>13</v>
      </c>
      <c r="J45" s="76" t="s">
        <v>378</v>
      </c>
      <c r="K45" s="76" t="s">
        <v>378</v>
      </c>
      <c r="L45" s="76" t="s">
        <v>378</v>
      </c>
      <c r="M45" s="76" t="s">
        <v>378</v>
      </c>
      <c r="N45" s="76" t="s">
        <v>378</v>
      </c>
      <c r="O45" s="76" t="s">
        <v>378</v>
      </c>
      <c r="P45" s="75" t="s">
        <v>13</v>
      </c>
      <c r="Q45" s="76" t="s">
        <v>378</v>
      </c>
      <c r="R45" s="76" t="s">
        <v>378</v>
      </c>
      <c r="S45" s="76" t="s">
        <v>378</v>
      </c>
      <c r="T45" s="76" t="s">
        <v>378</v>
      </c>
      <c r="U45" s="76" t="s">
        <v>378</v>
      </c>
      <c r="V45" s="76" t="s">
        <v>378</v>
      </c>
      <c r="W45" s="75" t="s">
        <v>13</v>
      </c>
      <c r="X45" s="76" t="s">
        <v>378</v>
      </c>
      <c r="Y45" s="76" t="s">
        <v>378</v>
      </c>
      <c r="Z45" s="76" t="s">
        <v>378</v>
      </c>
      <c r="AA45" s="76" t="s">
        <v>378</v>
      </c>
      <c r="AB45" s="76" t="s">
        <v>378</v>
      </c>
      <c r="AC45" s="76" t="s">
        <v>378</v>
      </c>
      <c r="AD45" s="75" t="s">
        <v>13</v>
      </c>
      <c r="AE45" s="76" t="s">
        <v>378</v>
      </c>
      <c r="AF45" s="76" t="s">
        <v>378</v>
      </c>
      <c r="AG45" s="76" t="s">
        <v>378</v>
      </c>
      <c r="AH45" s="76" t="s">
        <v>378</v>
      </c>
      <c r="AI45" s="76" t="s">
        <v>378</v>
      </c>
      <c r="AJ45" s="76" t="s">
        <v>378</v>
      </c>
      <c r="AK45" s="75" t="s">
        <v>13</v>
      </c>
      <c r="AL45" s="106">
        <f t="shared" si="0"/>
        <v>0</v>
      </c>
      <c r="AM45" s="106">
        <f t="shared" si="1"/>
        <v>24</v>
      </c>
      <c r="AN45" s="106">
        <f t="shared" si="2"/>
        <v>0</v>
      </c>
      <c r="AO45" s="106">
        <f t="shared" si="3"/>
        <v>24</v>
      </c>
      <c r="AP45" s="106">
        <f t="shared" si="4"/>
        <v>0</v>
      </c>
      <c r="AQ45" s="134"/>
      <c r="AR45" s="134"/>
      <c r="AS45" s="134"/>
      <c r="AT45" s="135"/>
      <c r="AU45" s="106" t="s">
        <v>427</v>
      </c>
      <c r="AV45" s="100"/>
      <c r="AW45" s="100"/>
    </row>
    <row r="46" spans="1:49" x14ac:dyDescent="0.25">
      <c r="A46" s="96">
        <v>45</v>
      </c>
      <c r="B46" s="150">
        <v>345</v>
      </c>
      <c r="C46" s="16" t="s">
        <v>64</v>
      </c>
      <c r="D46" s="16" t="s">
        <v>44</v>
      </c>
      <c r="E46" s="30" t="s">
        <v>28</v>
      </c>
      <c r="F46" s="16" t="s">
        <v>17</v>
      </c>
      <c r="G46" s="64">
        <v>45931</v>
      </c>
      <c r="H46" s="77" t="s">
        <v>389</v>
      </c>
      <c r="I46" s="77" t="s">
        <v>13</v>
      </c>
      <c r="J46" s="78" t="s">
        <v>390</v>
      </c>
      <c r="K46" s="78" t="s">
        <v>390</v>
      </c>
      <c r="L46" s="78" t="s">
        <v>390</v>
      </c>
      <c r="M46" s="78" t="s">
        <v>390</v>
      </c>
      <c r="N46" s="78" t="s">
        <v>390</v>
      </c>
      <c r="O46" s="78" t="s">
        <v>390</v>
      </c>
      <c r="P46" s="77" t="s">
        <v>13</v>
      </c>
      <c r="Q46" s="78" t="s">
        <v>390</v>
      </c>
      <c r="R46" s="78" t="s">
        <v>390</v>
      </c>
      <c r="S46" s="78" t="s">
        <v>390</v>
      </c>
      <c r="T46" s="78" t="s">
        <v>390</v>
      </c>
      <c r="U46" s="78" t="s">
        <v>390</v>
      </c>
      <c r="V46" s="79" t="s">
        <v>391</v>
      </c>
      <c r="W46" s="77" t="s">
        <v>13</v>
      </c>
      <c r="X46" s="78" t="s">
        <v>390</v>
      </c>
      <c r="Y46" s="80" t="s">
        <v>14</v>
      </c>
      <c r="Z46" s="78" t="s">
        <v>390</v>
      </c>
      <c r="AA46" s="78" t="s">
        <v>390</v>
      </c>
      <c r="AB46" s="78" t="s">
        <v>390</v>
      </c>
      <c r="AC46" s="78" t="s">
        <v>390</v>
      </c>
      <c r="AD46" s="77" t="s">
        <v>13</v>
      </c>
      <c r="AE46" s="78" t="s">
        <v>390</v>
      </c>
      <c r="AF46" s="78" t="s">
        <v>390</v>
      </c>
      <c r="AG46" s="78" t="s">
        <v>390</v>
      </c>
      <c r="AH46" s="78" t="s">
        <v>390</v>
      </c>
      <c r="AI46" s="80" t="s">
        <v>14</v>
      </c>
      <c r="AJ46" s="78" t="s">
        <v>390</v>
      </c>
      <c r="AK46" s="77" t="s">
        <v>13</v>
      </c>
      <c r="AL46" s="106">
        <f t="shared" si="0"/>
        <v>21</v>
      </c>
      <c r="AM46" s="106">
        <f t="shared" si="1"/>
        <v>0</v>
      </c>
      <c r="AN46" s="106">
        <f t="shared" si="2"/>
        <v>0</v>
      </c>
      <c r="AO46" s="106">
        <f t="shared" si="3"/>
        <v>21</v>
      </c>
      <c r="AP46" s="106">
        <f t="shared" si="4"/>
        <v>2</v>
      </c>
      <c r="AQ46" s="134">
        <v>50</v>
      </c>
      <c r="AR46" s="134">
        <v>1450</v>
      </c>
      <c r="AS46" s="134">
        <v>1479</v>
      </c>
      <c r="AT46" s="135">
        <v>102</v>
      </c>
      <c r="AU46" s="106" t="s">
        <v>427</v>
      </c>
      <c r="AV46" s="100"/>
      <c r="AW46" s="100"/>
    </row>
    <row r="47" spans="1:49" x14ac:dyDescent="0.25">
      <c r="A47" s="96">
        <v>46</v>
      </c>
      <c r="B47" s="150">
        <v>347</v>
      </c>
      <c r="C47" s="16" t="s">
        <v>65</v>
      </c>
      <c r="D47" s="16" t="s">
        <v>44</v>
      </c>
      <c r="E47" s="30" t="s">
        <v>45</v>
      </c>
      <c r="F47" s="16" t="s">
        <v>17</v>
      </c>
      <c r="G47" s="64">
        <v>45943</v>
      </c>
      <c r="H47" s="77" t="s">
        <v>389</v>
      </c>
      <c r="I47" s="77" t="s">
        <v>13</v>
      </c>
      <c r="J47" s="78" t="s">
        <v>390</v>
      </c>
      <c r="K47" s="80" t="s">
        <v>14</v>
      </c>
      <c r="L47" s="78" t="s">
        <v>390</v>
      </c>
      <c r="M47" s="78" t="s">
        <v>390</v>
      </c>
      <c r="N47" s="78" t="s">
        <v>390</v>
      </c>
      <c r="O47" s="87" t="s">
        <v>391</v>
      </c>
      <c r="P47" s="77" t="s">
        <v>13</v>
      </c>
      <c r="Q47" s="78" t="s">
        <v>390</v>
      </c>
      <c r="R47" s="78" t="s">
        <v>390</v>
      </c>
      <c r="S47" s="78" t="s">
        <v>390</v>
      </c>
      <c r="T47" s="78" t="s">
        <v>390</v>
      </c>
      <c r="U47" s="78" t="s">
        <v>390</v>
      </c>
      <c r="V47" s="78" t="s">
        <v>390</v>
      </c>
      <c r="W47" s="77" t="s">
        <v>13</v>
      </c>
      <c r="X47" s="78" t="s">
        <v>390</v>
      </c>
      <c r="Y47" s="78" t="s">
        <v>390</v>
      </c>
      <c r="Z47" s="78" t="s">
        <v>390</v>
      </c>
      <c r="AA47" s="78" t="s">
        <v>390</v>
      </c>
      <c r="AB47" s="78" t="s">
        <v>390</v>
      </c>
      <c r="AC47" s="78" t="s">
        <v>390</v>
      </c>
      <c r="AD47" s="77" t="s">
        <v>13</v>
      </c>
      <c r="AE47" s="78" t="s">
        <v>390</v>
      </c>
      <c r="AF47" s="78" t="s">
        <v>390</v>
      </c>
      <c r="AG47" s="78" t="s">
        <v>390</v>
      </c>
      <c r="AH47" s="78" t="s">
        <v>390</v>
      </c>
      <c r="AI47" s="78" t="s">
        <v>390</v>
      </c>
      <c r="AJ47" s="80" t="s">
        <v>14</v>
      </c>
      <c r="AK47" s="77" t="s">
        <v>13</v>
      </c>
      <c r="AL47" s="106">
        <f t="shared" si="0"/>
        <v>21</v>
      </c>
      <c r="AM47" s="106">
        <f t="shared" si="1"/>
        <v>0</v>
      </c>
      <c r="AN47" s="106">
        <f t="shared" si="2"/>
        <v>0</v>
      </c>
      <c r="AO47" s="106">
        <f t="shared" si="3"/>
        <v>21</v>
      </c>
      <c r="AP47" s="106">
        <f t="shared" si="4"/>
        <v>2</v>
      </c>
      <c r="AQ47" s="134">
        <v>12</v>
      </c>
      <c r="AR47" s="134">
        <v>312</v>
      </c>
      <c r="AS47" s="134">
        <v>71</v>
      </c>
      <c r="AT47" s="135">
        <v>22.756410256410255</v>
      </c>
      <c r="AU47" s="106" t="s">
        <v>427</v>
      </c>
      <c r="AV47" s="100"/>
      <c r="AW47" s="100"/>
    </row>
    <row r="48" spans="1:49" x14ac:dyDescent="0.25">
      <c r="A48" s="96">
        <v>47</v>
      </c>
      <c r="B48" s="150">
        <v>348</v>
      </c>
      <c r="C48" s="16" t="s">
        <v>66</v>
      </c>
      <c r="D48" s="16" t="s">
        <v>19</v>
      </c>
      <c r="E48" s="30" t="s">
        <v>28</v>
      </c>
      <c r="F48" s="16" t="s">
        <v>17</v>
      </c>
      <c r="G48" s="64">
        <v>45943</v>
      </c>
      <c r="H48" s="77" t="s">
        <v>389</v>
      </c>
      <c r="I48" s="77" t="s">
        <v>13</v>
      </c>
      <c r="J48" s="81" t="s">
        <v>392</v>
      </c>
      <c r="K48" s="80" t="s">
        <v>14</v>
      </c>
      <c r="L48" s="78" t="s">
        <v>390</v>
      </c>
      <c r="M48" s="78" t="s">
        <v>390</v>
      </c>
      <c r="N48" s="81" t="s">
        <v>392</v>
      </c>
      <c r="O48" s="80" t="s">
        <v>14</v>
      </c>
      <c r="P48" s="80" t="s">
        <v>14</v>
      </c>
      <c r="Q48" s="80" t="s">
        <v>14</v>
      </c>
      <c r="R48" s="80" t="s">
        <v>14</v>
      </c>
      <c r="S48" s="80" t="s">
        <v>14</v>
      </c>
      <c r="T48" s="80" t="s">
        <v>14</v>
      </c>
      <c r="U48" s="80" t="s">
        <v>14</v>
      </c>
      <c r="V48" s="80" t="s">
        <v>14</v>
      </c>
      <c r="W48" s="80" t="s">
        <v>14</v>
      </c>
      <c r="X48" s="80" t="s">
        <v>14</v>
      </c>
      <c r="Y48" s="80" t="s">
        <v>14</v>
      </c>
      <c r="Z48" s="80" t="s">
        <v>14</v>
      </c>
      <c r="AA48" s="80" t="s">
        <v>14</v>
      </c>
      <c r="AB48" s="80" t="s">
        <v>14</v>
      </c>
      <c r="AC48" s="80" t="s">
        <v>14</v>
      </c>
      <c r="AD48" s="80" t="s">
        <v>14</v>
      </c>
      <c r="AE48" s="80" t="s">
        <v>14</v>
      </c>
      <c r="AF48" s="80" t="s">
        <v>14</v>
      </c>
      <c r="AG48" s="80" t="s">
        <v>14</v>
      </c>
      <c r="AH48" s="80" t="s">
        <v>14</v>
      </c>
      <c r="AI48" s="80" t="s">
        <v>14</v>
      </c>
      <c r="AJ48" s="80" t="s">
        <v>14</v>
      </c>
      <c r="AK48" s="80" t="s">
        <v>14</v>
      </c>
      <c r="AL48" s="106">
        <f t="shared" si="0"/>
        <v>2</v>
      </c>
      <c r="AM48" s="106">
        <f t="shared" si="1"/>
        <v>0</v>
      </c>
      <c r="AN48" s="106">
        <f t="shared" si="2"/>
        <v>1</v>
      </c>
      <c r="AO48" s="106">
        <f t="shared" si="3"/>
        <v>3</v>
      </c>
      <c r="AP48" s="106">
        <f t="shared" si="4"/>
        <v>25</v>
      </c>
      <c r="AQ48" s="134">
        <v>10</v>
      </c>
      <c r="AR48" s="134">
        <v>260</v>
      </c>
      <c r="AS48" s="134">
        <v>22</v>
      </c>
      <c r="AT48" s="135">
        <v>8.4615384615384617</v>
      </c>
      <c r="AU48" s="113" t="s">
        <v>393</v>
      </c>
      <c r="AV48" s="111" t="s">
        <v>394</v>
      </c>
      <c r="AW48" s="100"/>
    </row>
    <row r="49" spans="1:49" x14ac:dyDescent="0.25">
      <c r="A49" s="96">
        <v>48</v>
      </c>
      <c r="B49" s="150">
        <v>350</v>
      </c>
      <c r="C49" s="16" t="s">
        <v>67</v>
      </c>
      <c r="D49" s="17" t="s">
        <v>44</v>
      </c>
      <c r="E49" s="30" t="s">
        <v>28</v>
      </c>
      <c r="F49" s="17" t="s">
        <v>17</v>
      </c>
      <c r="G49" s="64">
        <v>45971</v>
      </c>
      <c r="H49" s="80" t="s">
        <v>14</v>
      </c>
      <c r="I49" s="80" t="s">
        <v>14</v>
      </c>
      <c r="J49" s="80" t="s">
        <v>14</v>
      </c>
      <c r="K49" s="80" t="s">
        <v>14</v>
      </c>
      <c r="L49" s="80" t="s">
        <v>14</v>
      </c>
      <c r="M49" s="80" t="s">
        <v>14</v>
      </c>
      <c r="N49" s="80" t="s">
        <v>14</v>
      </c>
      <c r="O49" s="80" t="s">
        <v>14</v>
      </c>
      <c r="P49" s="80" t="s">
        <v>14</v>
      </c>
      <c r="Q49" s="78" t="s">
        <v>390</v>
      </c>
      <c r="R49" s="78" t="s">
        <v>390</v>
      </c>
      <c r="S49" s="78" t="s">
        <v>390</v>
      </c>
      <c r="T49" s="78" t="s">
        <v>390</v>
      </c>
      <c r="U49" s="78" t="s">
        <v>390</v>
      </c>
      <c r="V49" s="78" t="s">
        <v>390</v>
      </c>
      <c r="W49" s="77" t="s">
        <v>13</v>
      </c>
      <c r="X49" s="78" t="s">
        <v>390</v>
      </c>
      <c r="Y49" s="78" t="s">
        <v>390</v>
      </c>
      <c r="Z49" s="78" t="s">
        <v>390</v>
      </c>
      <c r="AA49" s="78" t="s">
        <v>390</v>
      </c>
      <c r="AB49" s="78" t="s">
        <v>390</v>
      </c>
      <c r="AC49" s="79" t="s">
        <v>391</v>
      </c>
      <c r="AD49" s="77" t="s">
        <v>13</v>
      </c>
      <c r="AE49" s="78" t="s">
        <v>390</v>
      </c>
      <c r="AF49" s="78" t="s">
        <v>390</v>
      </c>
      <c r="AG49" s="78" t="s">
        <v>390</v>
      </c>
      <c r="AH49" s="78" t="s">
        <v>390</v>
      </c>
      <c r="AI49" s="78" t="s">
        <v>390</v>
      </c>
      <c r="AJ49" s="78" t="s">
        <v>390</v>
      </c>
      <c r="AK49" s="77" t="s">
        <v>13</v>
      </c>
      <c r="AL49" s="106">
        <f t="shared" si="0"/>
        <v>17</v>
      </c>
      <c r="AM49" s="106">
        <f t="shared" si="1"/>
        <v>0</v>
      </c>
      <c r="AN49" s="106">
        <f t="shared" si="2"/>
        <v>0</v>
      </c>
      <c r="AO49" s="106">
        <f t="shared" si="3"/>
        <v>17</v>
      </c>
      <c r="AP49" s="106">
        <f t="shared" si="4"/>
        <v>9</v>
      </c>
      <c r="AQ49" s="134"/>
      <c r="AR49" s="134"/>
      <c r="AS49" s="134"/>
      <c r="AT49" s="135"/>
      <c r="AU49" s="106" t="s">
        <v>427</v>
      </c>
      <c r="AV49" s="113"/>
      <c r="AW49" s="100"/>
    </row>
    <row r="50" spans="1:49" x14ac:dyDescent="0.25">
      <c r="A50" s="96">
        <v>49</v>
      </c>
      <c r="B50" s="150">
        <v>351</v>
      </c>
      <c r="C50" s="16" t="s">
        <v>68</v>
      </c>
      <c r="D50" s="17" t="s">
        <v>69</v>
      </c>
      <c r="E50" s="4" t="s">
        <v>20</v>
      </c>
      <c r="F50" s="17" t="s">
        <v>17</v>
      </c>
      <c r="G50" s="65">
        <v>45972</v>
      </c>
      <c r="H50" s="80" t="s">
        <v>14</v>
      </c>
      <c r="I50" s="80" t="s">
        <v>14</v>
      </c>
      <c r="J50" s="80" t="s">
        <v>14</v>
      </c>
      <c r="K50" s="80" t="s">
        <v>14</v>
      </c>
      <c r="L50" s="80" t="s">
        <v>14</v>
      </c>
      <c r="M50" s="80" t="s">
        <v>14</v>
      </c>
      <c r="N50" s="80" t="s">
        <v>14</v>
      </c>
      <c r="O50" s="80" t="s">
        <v>14</v>
      </c>
      <c r="P50" s="80" t="s">
        <v>14</v>
      </c>
      <c r="Q50" s="80" t="s">
        <v>14</v>
      </c>
      <c r="R50" s="78" t="s">
        <v>390</v>
      </c>
      <c r="S50" s="78" t="s">
        <v>390</v>
      </c>
      <c r="T50" s="78" t="s">
        <v>390</v>
      </c>
      <c r="U50" s="78" t="s">
        <v>390</v>
      </c>
      <c r="V50" s="78" t="s">
        <v>390</v>
      </c>
      <c r="W50" s="77" t="s">
        <v>13</v>
      </c>
      <c r="X50" s="78" t="s">
        <v>390</v>
      </c>
      <c r="Y50" s="78" t="s">
        <v>390</v>
      </c>
      <c r="Z50" s="78" t="s">
        <v>390</v>
      </c>
      <c r="AA50" s="78" t="s">
        <v>390</v>
      </c>
      <c r="AB50" s="78" t="s">
        <v>390</v>
      </c>
      <c r="AC50" s="78" t="s">
        <v>390</v>
      </c>
      <c r="AD50" s="77" t="s">
        <v>13</v>
      </c>
      <c r="AE50" s="78" t="s">
        <v>390</v>
      </c>
      <c r="AF50" s="78" t="s">
        <v>390</v>
      </c>
      <c r="AG50" s="78" t="s">
        <v>390</v>
      </c>
      <c r="AH50" s="78" t="s">
        <v>390</v>
      </c>
      <c r="AI50" s="78" t="s">
        <v>390</v>
      </c>
      <c r="AJ50" s="78" t="s">
        <v>390</v>
      </c>
      <c r="AK50" s="77" t="s">
        <v>13</v>
      </c>
      <c r="AL50" s="106">
        <f t="shared" si="0"/>
        <v>17</v>
      </c>
      <c r="AM50" s="106">
        <f t="shared" si="1"/>
        <v>0</v>
      </c>
      <c r="AN50" s="106">
        <f t="shared" si="2"/>
        <v>0</v>
      </c>
      <c r="AO50" s="106">
        <f t="shared" si="3"/>
        <v>17</v>
      </c>
      <c r="AP50" s="106">
        <f t="shared" si="4"/>
        <v>10</v>
      </c>
      <c r="AQ50" s="134"/>
      <c r="AR50" s="134"/>
      <c r="AS50" s="134"/>
      <c r="AT50" s="135"/>
      <c r="AU50" s="106" t="s">
        <v>427</v>
      </c>
      <c r="AV50" s="113"/>
      <c r="AW50" s="100"/>
    </row>
    <row r="51" spans="1:49" x14ac:dyDescent="0.25">
      <c r="A51" s="96">
        <v>50</v>
      </c>
      <c r="B51" s="151">
        <v>352</v>
      </c>
      <c r="C51" s="4" t="s">
        <v>70</v>
      </c>
      <c r="D51" s="4" t="s">
        <v>8</v>
      </c>
      <c r="E51" s="4" t="s">
        <v>9</v>
      </c>
      <c r="F51" s="4" t="s">
        <v>17</v>
      </c>
      <c r="G51" s="66">
        <v>45981</v>
      </c>
      <c r="H51" s="80" t="s">
        <v>14</v>
      </c>
      <c r="I51" s="80" t="s">
        <v>14</v>
      </c>
      <c r="J51" s="80" t="s">
        <v>14</v>
      </c>
      <c r="K51" s="80" t="s">
        <v>14</v>
      </c>
      <c r="L51" s="80" t="s">
        <v>14</v>
      </c>
      <c r="M51" s="80" t="s">
        <v>14</v>
      </c>
      <c r="N51" s="80" t="s">
        <v>14</v>
      </c>
      <c r="O51" s="80" t="s">
        <v>14</v>
      </c>
      <c r="P51" s="80" t="s">
        <v>14</v>
      </c>
      <c r="Q51" s="80" t="s">
        <v>14</v>
      </c>
      <c r="R51" s="80" t="s">
        <v>14</v>
      </c>
      <c r="S51" s="80" t="s">
        <v>14</v>
      </c>
      <c r="T51" s="80" t="s">
        <v>14</v>
      </c>
      <c r="U51" s="80" t="s">
        <v>14</v>
      </c>
      <c r="V51" s="80" t="s">
        <v>14</v>
      </c>
      <c r="W51" s="80" t="s">
        <v>14</v>
      </c>
      <c r="X51" s="80" t="s">
        <v>14</v>
      </c>
      <c r="Y51" s="80" t="s">
        <v>14</v>
      </c>
      <c r="Z51" s="80" t="s">
        <v>14</v>
      </c>
      <c r="AA51" s="78" t="s">
        <v>390</v>
      </c>
      <c r="AB51" s="78" t="s">
        <v>390</v>
      </c>
      <c r="AC51" s="78" t="s">
        <v>390</v>
      </c>
      <c r="AD51" s="77" t="s">
        <v>13</v>
      </c>
      <c r="AE51" s="78" t="s">
        <v>390</v>
      </c>
      <c r="AF51" s="78" t="s">
        <v>390</v>
      </c>
      <c r="AG51" s="78" t="s">
        <v>390</v>
      </c>
      <c r="AH51" s="78" t="s">
        <v>390</v>
      </c>
      <c r="AI51" s="78" t="s">
        <v>390</v>
      </c>
      <c r="AJ51" s="78" t="s">
        <v>390</v>
      </c>
      <c r="AK51" s="77" t="s">
        <v>13</v>
      </c>
      <c r="AL51" s="106">
        <f t="shared" si="0"/>
        <v>9</v>
      </c>
      <c r="AM51" s="106">
        <f t="shared" si="1"/>
        <v>0</v>
      </c>
      <c r="AN51" s="106">
        <f t="shared" si="2"/>
        <v>0</v>
      </c>
      <c r="AO51" s="106">
        <f t="shared" si="3"/>
        <v>9</v>
      </c>
      <c r="AP51" s="106">
        <f t="shared" si="4"/>
        <v>19</v>
      </c>
      <c r="AQ51" s="134">
        <v>10</v>
      </c>
      <c r="AR51" s="134">
        <v>260</v>
      </c>
      <c r="AS51" s="134">
        <v>3</v>
      </c>
      <c r="AT51" s="135">
        <v>1.153846153846154</v>
      </c>
      <c r="AU51" s="106" t="s">
        <v>427</v>
      </c>
      <c r="AV51" s="100"/>
      <c r="AW51" s="100"/>
    </row>
    <row r="52" spans="1:49" x14ac:dyDescent="0.25">
      <c r="A52" s="96">
        <v>51</v>
      </c>
      <c r="B52" s="151">
        <v>353</v>
      </c>
      <c r="C52" s="4" t="s">
        <v>71</v>
      </c>
      <c r="D52" s="4" t="s">
        <v>44</v>
      </c>
      <c r="E52" s="4" t="s">
        <v>20</v>
      </c>
      <c r="F52" s="4" t="s">
        <v>17</v>
      </c>
      <c r="G52" s="66">
        <v>45985</v>
      </c>
      <c r="H52" s="80" t="s">
        <v>14</v>
      </c>
      <c r="I52" s="80" t="s">
        <v>14</v>
      </c>
      <c r="J52" s="80" t="s">
        <v>14</v>
      </c>
      <c r="K52" s="80" t="s">
        <v>14</v>
      </c>
      <c r="L52" s="80" t="s">
        <v>14</v>
      </c>
      <c r="M52" s="80" t="s">
        <v>14</v>
      </c>
      <c r="N52" s="80" t="s">
        <v>14</v>
      </c>
      <c r="O52" s="80" t="s">
        <v>14</v>
      </c>
      <c r="P52" s="80" t="s">
        <v>14</v>
      </c>
      <c r="Q52" s="80" t="s">
        <v>14</v>
      </c>
      <c r="R52" s="80" t="s">
        <v>14</v>
      </c>
      <c r="S52" s="80" t="s">
        <v>14</v>
      </c>
      <c r="T52" s="80" t="s">
        <v>14</v>
      </c>
      <c r="U52" s="80" t="s">
        <v>14</v>
      </c>
      <c r="V52" s="80" t="s">
        <v>14</v>
      </c>
      <c r="W52" s="80" t="s">
        <v>14</v>
      </c>
      <c r="X52" s="80" t="s">
        <v>14</v>
      </c>
      <c r="Y52" s="80" t="s">
        <v>14</v>
      </c>
      <c r="Z52" s="80" t="s">
        <v>14</v>
      </c>
      <c r="AA52" s="80" t="s">
        <v>14</v>
      </c>
      <c r="AB52" s="80" t="s">
        <v>14</v>
      </c>
      <c r="AC52" s="80" t="s">
        <v>14</v>
      </c>
      <c r="AD52" s="80" t="s">
        <v>14</v>
      </c>
      <c r="AE52" s="78" t="s">
        <v>390</v>
      </c>
      <c r="AF52" s="78" t="s">
        <v>390</v>
      </c>
      <c r="AG52" s="78" t="s">
        <v>390</v>
      </c>
      <c r="AH52" s="78" t="s">
        <v>390</v>
      </c>
      <c r="AI52" s="78" t="s">
        <v>390</v>
      </c>
      <c r="AJ52" s="78" t="s">
        <v>390</v>
      </c>
      <c r="AK52" s="77" t="s">
        <v>13</v>
      </c>
      <c r="AL52" s="106">
        <f t="shared" si="0"/>
        <v>6</v>
      </c>
      <c r="AM52" s="106">
        <f t="shared" si="1"/>
        <v>0</v>
      </c>
      <c r="AN52" s="106">
        <f t="shared" si="2"/>
        <v>0</v>
      </c>
      <c r="AO52" s="106">
        <f t="shared" si="3"/>
        <v>6</v>
      </c>
      <c r="AP52" s="106">
        <f t="shared" si="4"/>
        <v>23</v>
      </c>
      <c r="AQ52" s="134">
        <v>50</v>
      </c>
      <c r="AR52" s="134">
        <v>1450</v>
      </c>
      <c r="AS52" s="134">
        <v>91</v>
      </c>
      <c r="AT52" s="135">
        <v>6.2758620689655169</v>
      </c>
      <c r="AU52" s="106" t="s">
        <v>427</v>
      </c>
      <c r="AV52" s="100"/>
      <c r="AW52" s="100"/>
    </row>
    <row r="53" spans="1:49" x14ac:dyDescent="0.25">
      <c r="A53" s="96">
        <v>52</v>
      </c>
      <c r="B53" s="151">
        <v>354</v>
      </c>
      <c r="C53" s="4" t="s">
        <v>72</v>
      </c>
      <c r="D53" s="4" t="s">
        <v>8</v>
      </c>
      <c r="E53" s="4" t="s">
        <v>9</v>
      </c>
      <c r="F53" s="4" t="s">
        <v>17</v>
      </c>
      <c r="G53" s="66">
        <v>45985</v>
      </c>
      <c r="H53" s="80" t="s">
        <v>14</v>
      </c>
      <c r="I53" s="80" t="s">
        <v>14</v>
      </c>
      <c r="J53" s="80" t="s">
        <v>14</v>
      </c>
      <c r="K53" s="80" t="s">
        <v>14</v>
      </c>
      <c r="L53" s="80" t="s">
        <v>14</v>
      </c>
      <c r="M53" s="80" t="s">
        <v>14</v>
      </c>
      <c r="N53" s="80" t="s">
        <v>14</v>
      </c>
      <c r="O53" s="80" t="s">
        <v>14</v>
      </c>
      <c r="P53" s="80" t="s">
        <v>14</v>
      </c>
      <c r="Q53" s="80" t="s">
        <v>14</v>
      </c>
      <c r="R53" s="80" t="s">
        <v>14</v>
      </c>
      <c r="S53" s="80" t="s">
        <v>14</v>
      </c>
      <c r="T53" s="80" t="s">
        <v>14</v>
      </c>
      <c r="U53" s="80" t="s">
        <v>14</v>
      </c>
      <c r="V53" s="80" t="s">
        <v>14</v>
      </c>
      <c r="W53" s="80" t="s">
        <v>14</v>
      </c>
      <c r="X53" s="80" t="s">
        <v>14</v>
      </c>
      <c r="Y53" s="80" t="s">
        <v>14</v>
      </c>
      <c r="Z53" s="80" t="s">
        <v>14</v>
      </c>
      <c r="AA53" s="80" t="s">
        <v>14</v>
      </c>
      <c r="AB53" s="80" t="s">
        <v>14</v>
      </c>
      <c r="AC53" s="80" t="s">
        <v>14</v>
      </c>
      <c r="AD53" s="80" t="s">
        <v>14</v>
      </c>
      <c r="AE53" s="78" t="s">
        <v>390</v>
      </c>
      <c r="AF53" s="78" t="s">
        <v>390</v>
      </c>
      <c r="AG53" s="78" t="s">
        <v>390</v>
      </c>
      <c r="AH53" s="78" t="s">
        <v>390</v>
      </c>
      <c r="AI53" s="78" t="s">
        <v>390</v>
      </c>
      <c r="AJ53" s="78" t="s">
        <v>390</v>
      </c>
      <c r="AK53" s="77" t="s">
        <v>13</v>
      </c>
      <c r="AL53" s="106">
        <f t="shared" si="0"/>
        <v>6</v>
      </c>
      <c r="AM53" s="106">
        <f t="shared" si="1"/>
        <v>0</v>
      </c>
      <c r="AN53" s="106">
        <f t="shared" si="2"/>
        <v>0</v>
      </c>
      <c r="AO53" s="106">
        <f t="shared" si="3"/>
        <v>6</v>
      </c>
      <c r="AP53" s="106">
        <f t="shared" si="4"/>
        <v>23</v>
      </c>
      <c r="AQ53" s="134">
        <v>10</v>
      </c>
      <c r="AR53" s="134">
        <v>260</v>
      </c>
      <c r="AS53" s="134">
        <v>3</v>
      </c>
      <c r="AT53" s="135">
        <v>1.153846153846154</v>
      </c>
      <c r="AU53" s="106" t="s">
        <v>427</v>
      </c>
      <c r="AV53" s="100"/>
      <c r="AW53" s="100"/>
    </row>
    <row r="54" spans="1:49" x14ac:dyDescent="0.25">
      <c r="A54" s="96">
        <v>53</v>
      </c>
      <c r="B54" s="148">
        <v>1001</v>
      </c>
      <c r="C54" s="32" t="s">
        <v>73</v>
      </c>
      <c r="D54" s="32" t="s">
        <v>74</v>
      </c>
      <c r="E54" s="32" t="s">
        <v>73</v>
      </c>
      <c r="F54" s="32" t="s">
        <v>75</v>
      </c>
      <c r="G54" s="67">
        <v>39995</v>
      </c>
      <c r="H54" s="75" t="s">
        <v>12</v>
      </c>
      <c r="I54" s="75" t="s">
        <v>13</v>
      </c>
      <c r="J54" s="84" t="s">
        <v>390</v>
      </c>
      <c r="K54" s="84" t="s">
        <v>390</v>
      </c>
      <c r="L54" s="84" t="s">
        <v>390</v>
      </c>
      <c r="M54" s="84" t="s">
        <v>390</v>
      </c>
      <c r="N54" s="84" t="s">
        <v>390</v>
      </c>
      <c r="O54" s="84" t="s">
        <v>390</v>
      </c>
      <c r="P54" s="75" t="s">
        <v>13</v>
      </c>
      <c r="Q54" s="84" t="s">
        <v>390</v>
      </c>
      <c r="R54" s="84" t="s">
        <v>390</v>
      </c>
      <c r="S54" s="84" t="s">
        <v>390</v>
      </c>
      <c r="T54" s="84" t="s">
        <v>390</v>
      </c>
      <c r="U54" s="84" t="s">
        <v>390</v>
      </c>
      <c r="V54" s="84" t="s">
        <v>390</v>
      </c>
      <c r="W54" s="75" t="s">
        <v>13</v>
      </c>
      <c r="X54" s="84" t="s">
        <v>390</v>
      </c>
      <c r="Y54" s="84" t="s">
        <v>390</v>
      </c>
      <c r="Z54" s="84" t="s">
        <v>390</v>
      </c>
      <c r="AA54" s="84" t="s">
        <v>390</v>
      </c>
      <c r="AB54" s="84" t="s">
        <v>390</v>
      </c>
      <c r="AC54" s="84" t="s">
        <v>390</v>
      </c>
      <c r="AD54" s="75" t="s">
        <v>13</v>
      </c>
      <c r="AE54" s="84" t="s">
        <v>390</v>
      </c>
      <c r="AF54" s="84" t="s">
        <v>390</v>
      </c>
      <c r="AG54" s="84" t="s">
        <v>390</v>
      </c>
      <c r="AH54" s="84" t="s">
        <v>390</v>
      </c>
      <c r="AI54" s="84" t="s">
        <v>390</v>
      </c>
      <c r="AJ54" s="84" t="s">
        <v>390</v>
      </c>
      <c r="AK54" s="75" t="s">
        <v>13</v>
      </c>
      <c r="AL54" s="106">
        <f t="shared" si="0"/>
        <v>24</v>
      </c>
      <c r="AM54" s="106">
        <f t="shared" si="1"/>
        <v>0</v>
      </c>
      <c r="AN54" s="106">
        <f t="shared" si="2"/>
        <v>0</v>
      </c>
      <c r="AO54" s="106">
        <f t="shared" si="3"/>
        <v>24</v>
      </c>
      <c r="AP54" s="106">
        <f t="shared" si="4"/>
        <v>0</v>
      </c>
      <c r="AQ54" s="134"/>
      <c r="AR54" s="134"/>
      <c r="AS54" s="134"/>
      <c r="AT54" s="135"/>
      <c r="AU54" s="106" t="s">
        <v>427</v>
      </c>
      <c r="AV54" s="100"/>
      <c r="AW54" s="100"/>
    </row>
    <row r="55" spans="1:49" x14ac:dyDescent="0.25">
      <c r="A55" s="96">
        <v>54</v>
      </c>
      <c r="B55" s="148">
        <v>1022</v>
      </c>
      <c r="C55" s="32" t="s">
        <v>76</v>
      </c>
      <c r="D55" s="32" t="s">
        <v>77</v>
      </c>
      <c r="E55" s="32" t="s">
        <v>73</v>
      </c>
      <c r="F55" s="32" t="s">
        <v>78</v>
      </c>
      <c r="G55" s="60">
        <v>40833</v>
      </c>
      <c r="H55" s="75" t="s">
        <v>12</v>
      </c>
      <c r="I55" s="75" t="s">
        <v>13</v>
      </c>
      <c r="J55" s="76" t="s">
        <v>378</v>
      </c>
      <c r="K55" s="76" t="s">
        <v>378</v>
      </c>
      <c r="L55" s="76" t="s">
        <v>378</v>
      </c>
      <c r="M55" s="76" t="s">
        <v>378</v>
      </c>
      <c r="N55" s="76" t="s">
        <v>378</v>
      </c>
      <c r="O55" s="76" t="s">
        <v>378</v>
      </c>
      <c r="P55" s="75" t="s">
        <v>13</v>
      </c>
      <c r="Q55" s="76" t="s">
        <v>378</v>
      </c>
      <c r="R55" s="76" t="s">
        <v>378</v>
      </c>
      <c r="S55" s="76" t="s">
        <v>378</v>
      </c>
      <c r="T55" s="76" t="s">
        <v>378</v>
      </c>
      <c r="U55" s="76" t="s">
        <v>378</v>
      </c>
      <c r="V55" s="76" t="s">
        <v>378</v>
      </c>
      <c r="W55" s="75" t="s">
        <v>13</v>
      </c>
      <c r="X55" s="76" t="s">
        <v>378</v>
      </c>
      <c r="Y55" s="76" t="s">
        <v>378</v>
      </c>
      <c r="Z55" s="76" t="s">
        <v>378</v>
      </c>
      <c r="AA55" s="76" t="s">
        <v>378</v>
      </c>
      <c r="AB55" s="76" t="s">
        <v>378</v>
      </c>
      <c r="AC55" s="76" t="s">
        <v>378</v>
      </c>
      <c r="AD55" s="75" t="s">
        <v>13</v>
      </c>
      <c r="AE55" s="76" t="s">
        <v>378</v>
      </c>
      <c r="AF55" s="76" t="s">
        <v>378</v>
      </c>
      <c r="AG55" s="76" t="s">
        <v>378</v>
      </c>
      <c r="AH55" s="76" t="s">
        <v>378</v>
      </c>
      <c r="AI55" s="76" t="s">
        <v>378</v>
      </c>
      <c r="AJ55" s="76" t="s">
        <v>378</v>
      </c>
      <c r="AK55" s="75" t="s">
        <v>13</v>
      </c>
      <c r="AL55" s="106">
        <f t="shared" si="0"/>
        <v>0</v>
      </c>
      <c r="AM55" s="106">
        <f t="shared" si="1"/>
        <v>24</v>
      </c>
      <c r="AN55" s="106">
        <f t="shared" si="2"/>
        <v>0</v>
      </c>
      <c r="AO55" s="106">
        <f t="shared" si="3"/>
        <v>24</v>
      </c>
      <c r="AP55" s="106">
        <f t="shared" si="4"/>
        <v>0</v>
      </c>
      <c r="AQ55" s="134"/>
      <c r="AR55" s="134"/>
      <c r="AS55" s="134"/>
      <c r="AT55" s="135"/>
      <c r="AU55" s="106" t="s">
        <v>427</v>
      </c>
      <c r="AV55" s="100"/>
      <c r="AW55" s="100"/>
    </row>
    <row r="56" spans="1:49" x14ac:dyDescent="0.25">
      <c r="A56" s="96">
        <v>55</v>
      </c>
      <c r="B56" s="148">
        <v>1058</v>
      </c>
      <c r="C56" s="32" t="s">
        <v>79</v>
      </c>
      <c r="D56" s="32" t="s">
        <v>80</v>
      </c>
      <c r="E56" s="32" t="s">
        <v>24</v>
      </c>
      <c r="F56" s="32" t="s">
        <v>81</v>
      </c>
      <c r="G56" s="60">
        <v>41440</v>
      </c>
      <c r="H56" s="77" t="s">
        <v>389</v>
      </c>
      <c r="I56" s="77" t="s">
        <v>13</v>
      </c>
      <c r="J56" s="78" t="s">
        <v>390</v>
      </c>
      <c r="K56" s="78" t="s">
        <v>390</v>
      </c>
      <c r="L56" s="78" t="s">
        <v>390</v>
      </c>
      <c r="M56" s="78" t="s">
        <v>390</v>
      </c>
      <c r="N56" s="78" t="s">
        <v>390</v>
      </c>
      <c r="O56" s="81" t="s">
        <v>392</v>
      </c>
      <c r="P56" s="77" t="s">
        <v>13</v>
      </c>
      <c r="Q56" s="78" t="s">
        <v>390</v>
      </c>
      <c r="R56" s="78" t="s">
        <v>390</v>
      </c>
      <c r="S56" s="78" t="s">
        <v>390</v>
      </c>
      <c r="T56" s="78" t="s">
        <v>390</v>
      </c>
      <c r="U56" s="85" t="s">
        <v>378</v>
      </c>
      <c r="V56" s="80" t="s">
        <v>391</v>
      </c>
      <c r="W56" s="77" t="s">
        <v>13</v>
      </c>
      <c r="X56" s="78" t="s">
        <v>390</v>
      </c>
      <c r="Y56" s="78" t="s">
        <v>390</v>
      </c>
      <c r="Z56" s="78" t="s">
        <v>390</v>
      </c>
      <c r="AA56" s="78" t="s">
        <v>390</v>
      </c>
      <c r="AB56" s="78" t="s">
        <v>390</v>
      </c>
      <c r="AC56" s="78" t="s">
        <v>390</v>
      </c>
      <c r="AD56" s="77" t="s">
        <v>13</v>
      </c>
      <c r="AE56" s="81" t="s">
        <v>392</v>
      </c>
      <c r="AF56" s="78" t="s">
        <v>390</v>
      </c>
      <c r="AG56" s="78" t="s">
        <v>390</v>
      </c>
      <c r="AH56" s="78" t="s">
        <v>390</v>
      </c>
      <c r="AI56" s="78" t="s">
        <v>390</v>
      </c>
      <c r="AJ56" s="78" t="s">
        <v>390</v>
      </c>
      <c r="AK56" s="77" t="s">
        <v>13</v>
      </c>
      <c r="AL56" s="106">
        <f t="shared" si="0"/>
        <v>20</v>
      </c>
      <c r="AM56" s="106">
        <f t="shared" si="1"/>
        <v>1</v>
      </c>
      <c r="AN56" s="106">
        <f t="shared" si="2"/>
        <v>1</v>
      </c>
      <c r="AO56" s="106">
        <f t="shared" si="3"/>
        <v>22</v>
      </c>
      <c r="AP56" s="106">
        <f t="shared" si="4"/>
        <v>1</v>
      </c>
      <c r="AQ56" s="134">
        <v>50</v>
      </c>
      <c r="AR56" s="134">
        <v>1450</v>
      </c>
      <c r="AS56" s="134">
        <v>11</v>
      </c>
      <c r="AT56" s="135">
        <v>0.75862068965517238</v>
      </c>
      <c r="AU56" s="106" t="s">
        <v>427</v>
      </c>
      <c r="AV56" s="100"/>
      <c r="AW56" s="100"/>
    </row>
    <row r="57" spans="1:49" x14ac:dyDescent="0.25">
      <c r="A57" s="96">
        <v>56</v>
      </c>
      <c r="B57" s="148">
        <v>1076</v>
      </c>
      <c r="C57" s="32" t="s">
        <v>82</v>
      </c>
      <c r="D57" s="32" t="s">
        <v>83</v>
      </c>
      <c r="E57" s="32" t="s">
        <v>9</v>
      </c>
      <c r="F57" s="32" t="s">
        <v>81</v>
      </c>
      <c r="G57" s="60">
        <v>41592</v>
      </c>
      <c r="H57" s="77" t="s">
        <v>389</v>
      </c>
      <c r="I57" s="77" t="s">
        <v>13</v>
      </c>
      <c r="J57" s="78" t="s">
        <v>390</v>
      </c>
      <c r="K57" s="78" t="s">
        <v>390</v>
      </c>
      <c r="L57" s="78" t="s">
        <v>390</v>
      </c>
      <c r="M57" s="78" t="s">
        <v>390</v>
      </c>
      <c r="N57" s="81" t="s">
        <v>392</v>
      </c>
      <c r="O57" s="79" t="s">
        <v>391</v>
      </c>
      <c r="P57" s="77" t="s">
        <v>13</v>
      </c>
      <c r="Q57" s="78" t="s">
        <v>390</v>
      </c>
      <c r="R57" s="78" t="s">
        <v>390</v>
      </c>
      <c r="S57" s="78" t="s">
        <v>390</v>
      </c>
      <c r="T57" s="78" t="s">
        <v>390</v>
      </c>
      <c r="U57" s="78" t="s">
        <v>390</v>
      </c>
      <c r="V57" s="78" t="s">
        <v>390</v>
      </c>
      <c r="W57" s="77" t="s">
        <v>13</v>
      </c>
      <c r="X57" s="78" t="s">
        <v>390</v>
      </c>
      <c r="Y57" s="78" t="s">
        <v>390</v>
      </c>
      <c r="Z57" s="78" t="s">
        <v>390</v>
      </c>
      <c r="AA57" s="78" t="s">
        <v>390</v>
      </c>
      <c r="AB57" s="78" t="s">
        <v>390</v>
      </c>
      <c r="AC57" s="78" t="s">
        <v>390</v>
      </c>
      <c r="AD57" s="77" t="s">
        <v>13</v>
      </c>
      <c r="AE57" s="78" t="s">
        <v>390</v>
      </c>
      <c r="AF57" s="78" t="s">
        <v>390</v>
      </c>
      <c r="AG57" s="78" t="s">
        <v>390</v>
      </c>
      <c r="AH57" s="78" t="s">
        <v>390</v>
      </c>
      <c r="AI57" s="78" t="s">
        <v>390</v>
      </c>
      <c r="AJ57" s="78" t="s">
        <v>390</v>
      </c>
      <c r="AK57" s="78" t="s">
        <v>390</v>
      </c>
      <c r="AL57" s="106">
        <f t="shared" si="0"/>
        <v>23</v>
      </c>
      <c r="AM57" s="106">
        <f t="shared" si="1"/>
        <v>0</v>
      </c>
      <c r="AN57" s="106">
        <f t="shared" si="2"/>
        <v>0.5</v>
      </c>
      <c r="AO57" s="106">
        <f t="shared" si="3"/>
        <v>23.5</v>
      </c>
      <c r="AP57" s="106">
        <f t="shared" si="4"/>
        <v>0.5</v>
      </c>
      <c r="AQ57" s="134"/>
      <c r="AR57" s="134"/>
      <c r="AS57" s="134"/>
      <c r="AT57" s="135"/>
      <c r="AU57" s="106" t="s">
        <v>427</v>
      </c>
      <c r="AV57" s="100"/>
      <c r="AW57" s="100"/>
    </row>
    <row r="58" spans="1:49" x14ac:dyDescent="0.25">
      <c r="A58" s="96">
        <v>57</v>
      </c>
      <c r="B58" s="148">
        <v>1198</v>
      </c>
      <c r="C58" s="32" t="s">
        <v>84</v>
      </c>
      <c r="D58" s="32" t="s">
        <v>44</v>
      </c>
      <c r="E58" s="32" t="s">
        <v>9</v>
      </c>
      <c r="F58" s="32" t="s">
        <v>86</v>
      </c>
      <c r="G58" s="60">
        <v>42185</v>
      </c>
      <c r="H58" s="77" t="s">
        <v>389</v>
      </c>
      <c r="I58" s="77" t="s">
        <v>13</v>
      </c>
      <c r="J58" s="80" t="s">
        <v>14</v>
      </c>
      <c r="K58" s="86" t="s">
        <v>14</v>
      </c>
      <c r="L58" s="79" t="s">
        <v>391</v>
      </c>
      <c r="M58" s="78" t="s">
        <v>390</v>
      </c>
      <c r="N58" s="78" t="s">
        <v>390</v>
      </c>
      <c r="O58" s="78" t="s">
        <v>390</v>
      </c>
      <c r="P58" s="77" t="s">
        <v>13</v>
      </c>
      <c r="Q58" s="78" t="s">
        <v>390</v>
      </c>
      <c r="R58" s="78" t="s">
        <v>390</v>
      </c>
      <c r="S58" s="78" t="s">
        <v>390</v>
      </c>
      <c r="T58" s="78" t="s">
        <v>390</v>
      </c>
      <c r="U58" s="78" t="s">
        <v>390</v>
      </c>
      <c r="V58" s="136" t="s">
        <v>390</v>
      </c>
      <c r="W58" s="77" t="s">
        <v>13</v>
      </c>
      <c r="X58" s="78" t="s">
        <v>390</v>
      </c>
      <c r="Y58" s="78" t="s">
        <v>390</v>
      </c>
      <c r="Z58" s="78" t="s">
        <v>390</v>
      </c>
      <c r="AA58" s="78" t="s">
        <v>390</v>
      </c>
      <c r="AB58" s="78" t="s">
        <v>390</v>
      </c>
      <c r="AC58" s="78" t="s">
        <v>390</v>
      </c>
      <c r="AD58" s="77" t="s">
        <v>13</v>
      </c>
      <c r="AE58" s="78" t="s">
        <v>390</v>
      </c>
      <c r="AF58" s="78" t="s">
        <v>390</v>
      </c>
      <c r="AG58" s="78" t="s">
        <v>390</v>
      </c>
      <c r="AH58" s="78" t="s">
        <v>390</v>
      </c>
      <c r="AI58" s="78" t="s">
        <v>390</v>
      </c>
      <c r="AJ58" s="78" t="s">
        <v>390</v>
      </c>
      <c r="AK58" s="77" t="s">
        <v>13</v>
      </c>
      <c r="AL58" s="106">
        <f t="shared" si="0"/>
        <v>21</v>
      </c>
      <c r="AM58" s="106">
        <f t="shared" si="1"/>
        <v>0</v>
      </c>
      <c r="AN58" s="106">
        <f t="shared" si="2"/>
        <v>0</v>
      </c>
      <c r="AO58" s="106">
        <f t="shared" si="3"/>
        <v>21</v>
      </c>
      <c r="AP58" s="106">
        <f t="shared" si="4"/>
        <v>2</v>
      </c>
      <c r="AQ58" s="134">
        <v>120</v>
      </c>
      <c r="AR58" s="134">
        <v>3480</v>
      </c>
      <c r="AS58" s="134">
        <v>10</v>
      </c>
      <c r="AT58" s="135">
        <v>0.28735632183908044</v>
      </c>
      <c r="AU58" s="106" t="s">
        <v>427</v>
      </c>
      <c r="AV58" s="100"/>
      <c r="AW58" s="100"/>
    </row>
    <row r="59" spans="1:49" x14ac:dyDescent="0.25">
      <c r="A59" s="96">
        <v>58</v>
      </c>
      <c r="B59" s="148">
        <v>1234</v>
      </c>
      <c r="C59" s="32" t="s">
        <v>87</v>
      </c>
      <c r="D59" s="32" t="s">
        <v>88</v>
      </c>
      <c r="E59" s="32" t="s">
        <v>9</v>
      </c>
      <c r="F59" s="32" t="s">
        <v>89</v>
      </c>
      <c r="G59" s="60">
        <v>42328</v>
      </c>
      <c r="H59" s="77" t="s">
        <v>389</v>
      </c>
      <c r="I59" s="77" t="s">
        <v>13</v>
      </c>
      <c r="J59" s="78" t="s">
        <v>390</v>
      </c>
      <c r="K59" s="78" t="s">
        <v>390</v>
      </c>
      <c r="L59" s="78" t="s">
        <v>390</v>
      </c>
      <c r="M59" s="78" t="s">
        <v>390</v>
      </c>
      <c r="N59" s="78" t="s">
        <v>390</v>
      </c>
      <c r="O59" s="78" t="s">
        <v>390</v>
      </c>
      <c r="P59" s="77" t="s">
        <v>13</v>
      </c>
      <c r="Q59" s="78" t="s">
        <v>390</v>
      </c>
      <c r="R59" s="78" t="s">
        <v>390</v>
      </c>
      <c r="S59" s="78" t="s">
        <v>390</v>
      </c>
      <c r="T59" s="78" t="s">
        <v>390</v>
      </c>
      <c r="U59" s="78" t="s">
        <v>390</v>
      </c>
      <c r="V59" s="79" t="s">
        <v>391</v>
      </c>
      <c r="W59" s="77" t="s">
        <v>13</v>
      </c>
      <c r="X59" s="78" t="s">
        <v>390</v>
      </c>
      <c r="Y59" s="78" t="s">
        <v>390</v>
      </c>
      <c r="Z59" s="78" t="s">
        <v>390</v>
      </c>
      <c r="AA59" s="78" t="s">
        <v>390</v>
      </c>
      <c r="AB59" s="78" t="s">
        <v>390</v>
      </c>
      <c r="AC59" s="79" t="s">
        <v>391</v>
      </c>
      <c r="AD59" s="77" t="s">
        <v>13</v>
      </c>
      <c r="AE59" s="86" t="s">
        <v>14</v>
      </c>
      <c r="AF59" s="86" t="s">
        <v>14</v>
      </c>
      <c r="AG59" s="85" t="s">
        <v>378</v>
      </c>
      <c r="AH59" s="85" t="s">
        <v>378</v>
      </c>
      <c r="AI59" s="86" t="s">
        <v>14</v>
      </c>
      <c r="AJ59" s="86" t="s">
        <v>14</v>
      </c>
      <c r="AK59" s="77" t="s">
        <v>13</v>
      </c>
      <c r="AL59" s="106">
        <f t="shared" si="0"/>
        <v>16</v>
      </c>
      <c r="AM59" s="106">
        <f t="shared" si="1"/>
        <v>2</v>
      </c>
      <c r="AN59" s="106">
        <f t="shared" si="2"/>
        <v>0</v>
      </c>
      <c r="AO59" s="106">
        <f t="shared" si="3"/>
        <v>18</v>
      </c>
      <c r="AP59" s="106">
        <f t="shared" si="4"/>
        <v>4</v>
      </c>
      <c r="AQ59" s="134"/>
      <c r="AR59" s="134"/>
      <c r="AS59" s="134"/>
      <c r="AT59" s="135"/>
      <c r="AU59" s="106" t="s">
        <v>427</v>
      </c>
      <c r="AV59" s="100"/>
      <c r="AW59" s="100"/>
    </row>
    <row r="60" spans="1:49" x14ac:dyDescent="0.25">
      <c r="A60" s="96">
        <v>59</v>
      </c>
      <c r="B60" s="148">
        <v>1273</v>
      </c>
      <c r="C60" s="32" t="s">
        <v>90</v>
      </c>
      <c r="D60" s="32" t="s">
        <v>80</v>
      </c>
      <c r="E60" s="32" t="s">
        <v>24</v>
      </c>
      <c r="F60" s="32" t="s">
        <v>86</v>
      </c>
      <c r="G60" s="68">
        <v>42495</v>
      </c>
      <c r="H60" s="77" t="s">
        <v>389</v>
      </c>
      <c r="I60" s="77" t="s">
        <v>13</v>
      </c>
      <c r="J60" s="78" t="s">
        <v>390</v>
      </c>
      <c r="K60" s="78" t="s">
        <v>390</v>
      </c>
      <c r="L60" s="78" t="s">
        <v>390</v>
      </c>
      <c r="M60" s="78" t="s">
        <v>390</v>
      </c>
      <c r="N60" s="81" t="s">
        <v>392</v>
      </c>
      <c r="O60" s="82" t="s">
        <v>391</v>
      </c>
      <c r="P60" s="77" t="s">
        <v>13</v>
      </c>
      <c r="Q60" s="78" t="s">
        <v>390</v>
      </c>
      <c r="R60" s="78" t="s">
        <v>390</v>
      </c>
      <c r="S60" s="78" t="s">
        <v>390</v>
      </c>
      <c r="T60" s="78" t="s">
        <v>390</v>
      </c>
      <c r="U60" s="78" t="s">
        <v>390</v>
      </c>
      <c r="V60" s="136" t="s">
        <v>390</v>
      </c>
      <c r="W60" s="77" t="s">
        <v>13</v>
      </c>
      <c r="X60" s="78" t="s">
        <v>390</v>
      </c>
      <c r="Y60" s="78" t="s">
        <v>390</v>
      </c>
      <c r="Z60" s="78" t="s">
        <v>390</v>
      </c>
      <c r="AA60" s="78" t="s">
        <v>390</v>
      </c>
      <c r="AB60" s="78" t="s">
        <v>390</v>
      </c>
      <c r="AC60" s="78" t="s">
        <v>390</v>
      </c>
      <c r="AD60" s="77" t="s">
        <v>13</v>
      </c>
      <c r="AE60" s="78" t="s">
        <v>390</v>
      </c>
      <c r="AF60" s="78" t="s">
        <v>390</v>
      </c>
      <c r="AG60" s="80" t="s">
        <v>14</v>
      </c>
      <c r="AH60" s="78" t="s">
        <v>390</v>
      </c>
      <c r="AI60" s="78" t="s">
        <v>390</v>
      </c>
      <c r="AJ60" s="78" t="s">
        <v>390</v>
      </c>
      <c r="AK60" s="78" t="s">
        <v>390</v>
      </c>
      <c r="AL60" s="106">
        <f t="shared" si="0"/>
        <v>22</v>
      </c>
      <c r="AM60" s="106">
        <f t="shared" si="1"/>
        <v>0</v>
      </c>
      <c r="AN60" s="106">
        <f t="shared" si="2"/>
        <v>0.5</v>
      </c>
      <c r="AO60" s="106">
        <f t="shared" si="3"/>
        <v>22.5</v>
      </c>
      <c r="AP60" s="106">
        <f t="shared" si="4"/>
        <v>1.5</v>
      </c>
      <c r="AQ60" s="134"/>
      <c r="AR60" s="134"/>
      <c r="AS60" s="134"/>
      <c r="AT60" s="135"/>
      <c r="AU60" s="106" t="s">
        <v>427</v>
      </c>
      <c r="AV60" s="100"/>
      <c r="AW60" s="100"/>
    </row>
    <row r="61" spans="1:49" x14ac:dyDescent="0.25">
      <c r="A61" s="96">
        <v>60</v>
      </c>
      <c r="B61" s="148">
        <v>1291</v>
      </c>
      <c r="C61" s="32" t="s">
        <v>91</v>
      </c>
      <c r="D61" s="32" t="s">
        <v>92</v>
      </c>
      <c r="E61" s="30" t="s">
        <v>28</v>
      </c>
      <c r="F61" s="32" t="s">
        <v>93</v>
      </c>
      <c r="G61" s="60">
        <v>42534</v>
      </c>
      <c r="H61" s="77" t="s">
        <v>389</v>
      </c>
      <c r="I61" s="77" t="s">
        <v>13</v>
      </c>
      <c r="J61" s="78" t="s">
        <v>390</v>
      </c>
      <c r="K61" s="85" t="s">
        <v>378</v>
      </c>
      <c r="L61" s="78" t="s">
        <v>390</v>
      </c>
      <c r="M61" s="78" t="s">
        <v>390</v>
      </c>
      <c r="N61" s="78" t="s">
        <v>390</v>
      </c>
      <c r="O61" s="79" t="s">
        <v>391</v>
      </c>
      <c r="P61" s="77" t="s">
        <v>13</v>
      </c>
      <c r="Q61" s="78" t="s">
        <v>390</v>
      </c>
      <c r="R61" s="78" t="s">
        <v>390</v>
      </c>
      <c r="S61" s="78" t="s">
        <v>390</v>
      </c>
      <c r="T61" s="78" t="s">
        <v>390</v>
      </c>
      <c r="U61" s="78" t="s">
        <v>390</v>
      </c>
      <c r="V61" s="78" t="s">
        <v>390</v>
      </c>
      <c r="W61" s="77" t="s">
        <v>13</v>
      </c>
      <c r="X61" s="78" t="s">
        <v>390</v>
      </c>
      <c r="Y61" s="78" t="s">
        <v>390</v>
      </c>
      <c r="Z61" s="78" t="s">
        <v>390</v>
      </c>
      <c r="AA61" s="78" t="s">
        <v>390</v>
      </c>
      <c r="AB61" s="78" t="s">
        <v>390</v>
      </c>
      <c r="AC61" s="80" t="s">
        <v>14</v>
      </c>
      <c r="AD61" s="77" t="s">
        <v>13</v>
      </c>
      <c r="AE61" s="78" t="s">
        <v>390</v>
      </c>
      <c r="AF61" s="78" t="s">
        <v>390</v>
      </c>
      <c r="AG61" s="78" t="s">
        <v>390</v>
      </c>
      <c r="AH61" s="78" t="s">
        <v>390</v>
      </c>
      <c r="AI61" s="78" t="s">
        <v>390</v>
      </c>
      <c r="AJ61" s="78" t="s">
        <v>390</v>
      </c>
      <c r="AK61" s="85" t="s">
        <v>378</v>
      </c>
      <c r="AL61" s="106">
        <f t="shared" si="0"/>
        <v>21</v>
      </c>
      <c r="AM61" s="106">
        <f t="shared" si="1"/>
        <v>2</v>
      </c>
      <c r="AN61" s="106">
        <f t="shared" si="2"/>
        <v>0</v>
      </c>
      <c r="AO61" s="106">
        <f t="shared" si="3"/>
        <v>23</v>
      </c>
      <c r="AP61" s="106">
        <f t="shared" si="4"/>
        <v>1</v>
      </c>
      <c r="AQ61" s="134">
        <v>70</v>
      </c>
      <c r="AR61" s="134">
        <v>1890</v>
      </c>
      <c r="AS61" s="134">
        <v>2010</v>
      </c>
      <c r="AT61" s="135">
        <v>106.34920634920636</v>
      </c>
      <c r="AU61" s="106" t="s">
        <v>427</v>
      </c>
      <c r="AV61" s="100"/>
      <c r="AW61" s="100"/>
    </row>
    <row r="62" spans="1:49" x14ac:dyDescent="0.25">
      <c r="A62" s="96">
        <v>61</v>
      </c>
      <c r="B62" s="148">
        <v>1327</v>
      </c>
      <c r="C62" s="32" t="s">
        <v>94</v>
      </c>
      <c r="D62" s="32" t="s">
        <v>80</v>
      </c>
      <c r="E62" s="32" t="s">
        <v>85</v>
      </c>
      <c r="F62" s="32" t="s">
        <v>95</v>
      </c>
      <c r="G62" s="67">
        <v>42796</v>
      </c>
      <c r="H62" s="75" t="s">
        <v>12</v>
      </c>
      <c r="I62" s="75" t="s">
        <v>13</v>
      </c>
      <c r="J62" s="76" t="s">
        <v>378</v>
      </c>
      <c r="K62" s="84" t="s">
        <v>390</v>
      </c>
      <c r="L62" s="84" t="s">
        <v>390</v>
      </c>
      <c r="M62" s="84" t="s">
        <v>390</v>
      </c>
      <c r="N62" s="84" t="s">
        <v>390</v>
      </c>
      <c r="O62" s="84" t="s">
        <v>390</v>
      </c>
      <c r="P62" s="75" t="s">
        <v>13</v>
      </c>
      <c r="Q62" s="84" t="s">
        <v>390</v>
      </c>
      <c r="R62" s="84" t="s">
        <v>390</v>
      </c>
      <c r="S62" s="83" t="s">
        <v>14</v>
      </c>
      <c r="T62" s="84" t="s">
        <v>390</v>
      </c>
      <c r="U62" s="84" t="s">
        <v>390</v>
      </c>
      <c r="V62" s="84" t="s">
        <v>390</v>
      </c>
      <c r="W62" s="75" t="s">
        <v>13</v>
      </c>
      <c r="X62" s="84" t="s">
        <v>390</v>
      </c>
      <c r="Y62" s="84" t="s">
        <v>390</v>
      </c>
      <c r="Z62" s="84" t="s">
        <v>390</v>
      </c>
      <c r="AA62" s="84" t="s">
        <v>390</v>
      </c>
      <c r="AB62" s="83" t="s">
        <v>14</v>
      </c>
      <c r="AC62" s="82" t="s">
        <v>391</v>
      </c>
      <c r="AD62" s="75" t="s">
        <v>13</v>
      </c>
      <c r="AE62" s="83" t="s">
        <v>14</v>
      </c>
      <c r="AF62" s="84" t="s">
        <v>390</v>
      </c>
      <c r="AG62" s="84" t="s">
        <v>390</v>
      </c>
      <c r="AH62" s="84" t="s">
        <v>390</v>
      </c>
      <c r="AI62" s="84" t="s">
        <v>390</v>
      </c>
      <c r="AJ62" s="84" t="s">
        <v>390</v>
      </c>
      <c r="AK62" s="75" t="s">
        <v>13</v>
      </c>
      <c r="AL62" s="106">
        <f t="shared" si="0"/>
        <v>19</v>
      </c>
      <c r="AM62" s="106">
        <f t="shared" si="1"/>
        <v>1</v>
      </c>
      <c r="AN62" s="106">
        <f t="shared" si="2"/>
        <v>0</v>
      </c>
      <c r="AO62" s="106">
        <f t="shared" si="3"/>
        <v>20</v>
      </c>
      <c r="AP62" s="106">
        <f t="shared" si="4"/>
        <v>3</v>
      </c>
      <c r="AQ62" s="134">
        <v>50</v>
      </c>
      <c r="AR62" s="134">
        <v>1450</v>
      </c>
      <c r="AS62" s="134">
        <v>12</v>
      </c>
      <c r="AT62" s="135">
        <v>0.82758620689655171</v>
      </c>
      <c r="AU62" s="106" t="s">
        <v>427</v>
      </c>
      <c r="AV62" s="100"/>
      <c r="AW62" s="100"/>
    </row>
    <row r="63" spans="1:49" x14ac:dyDescent="0.25">
      <c r="A63" s="96">
        <v>62</v>
      </c>
      <c r="B63" s="148">
        <v>1414</v>
      </c>
      <c r="C63" s="32" t="s">
        <v>96</v>
      </c>
      <c r="D63" s="32" t="s">
        <v>44</v>
      </c>
      <c r="E63" s="32" t="s">
        <v>24</v>
      </c>
      <c r="F63" s="32" t="s">
        <v>93</v>
      </c>
      <c r="G63" s="60">
        <v>43152</v>
      </c>
      <c r="H63" s="77" t="s">
        <v>389</v>
      </c>
      <c r="I63" s="77" t="s">
        <v>13</v>
      </c>
      <c r="J63" s="78" t="s">
        <v>390</v>
      </c>
      <c r="K63" s="78" t="s">
        <v>390</v>
      </c>
      <c r="L63" s="78" t="s">
        <v>390</v>
      </c>
      <c r="M63" s="78" t="s">
        <v>390</v>
      </c>
      <c r="N63" s="78" t="s">
        <v>390</v>
      </c>
      <c r="O63" s="78" t="s">
        <v>390</v>
      </c>
      <c r="P63" s="77" t="s">
        <v>13</v>
      </c>
      <c r="Q63" s="78" t="s">
        <v>390</v>
      </c>
      <c r="R63" s="78" t="s">
        <v>390</v>
      </c>
      <c r="S63" s="78" t="s">
        <v>390</v>
      </c>
      <c r="T63" s="78" t="s">
        <v>390</v>
      </c>
      <c r="U63" s="78" t="s">
        <v>390</v>
      </c>
      <c r="V63" s="82" t="s">
        <v>391</v>
      </c>
      <c r="W63" s="77" t="s">
        <v>13</v>
      </c>
      <c r="X63" s="78" t="s">
        <v>390</v>
      </c>
      <c r="Y63" s="78" t="s">
        <v>390</v>
      </c>
      <c r="Z63" s="78" t="s">
        <v>390</v>
      </c>
      <c r="AA63" s="78" t="s">
        <v>390</v>
      </c>
      <c r="AB63" s="78" t="s">
        <v>390</v>
      </c>
      <c r="AC63" s="78" t="s">
        <v>390</v>
      </c>
      <c r="AD63" s="77" t="s">
        <v>13</v>
      </c>
      <c r="AE63" s="78" t="s">
        <v>390</v>
      </c>
      <c r="AF63" s="78" t="s">
        <v>390</v>
      </c>
      <c r="AG63" s="78" t="s">
        <v>390</v>
      </c>
      <c r="AH63" s="78" t="s">
        <v>390</v>
      </c>
      <c r="AI63" s="78" t="s">
        <v>390</v>
      </c>
      <c r="AJ63" s="78" t="s">
        <v>390</v>
      </c>
      <c r="AK63" s="85" t="s">
        <v>378</v>
      </c>
      <c r="AL63" s="106">
        <f t="shared" si="0"/>
        <v>23</v>
      </c>
      <c r="AM63" s="106">
        <f t="shared" si="1"/>
        <v>1</v>
      </c>
      <c r="AN63" s="106">
        <f t="shared" si="2"/>
        <v>0</v>
      </c>
      <c r="AO63" s="106">
        <f t="shared" si="3"/>
        <v>24</v>
      </c>
      <c r="AP63" s="106">
        <f t="shared" si="4"/>
        <v>0</v>
      </c>
      <c r="AQ63" s="134">
        <v>100</v>
      </c>
      <c r="AR63" s="134">
        <v>2900</v>
      </c>
      <c r="AS63" s="134">
        <v>2145</v>
      </c>
      <c r="AT63" s="135">
        <v>73.965517241379303</v>
      </c>
      <c r="AU63" s="106" t="s">
        <v>427</v>
      </c>
      <c r="AV63" s="100"/>
      <c r="AW63" s="100"/>
    </row>
    <row r="64" spans="1:49" x14ac:dyDescent="0.25">
      <c r="A64" s="96">
        <v>63</v>
      </c>
      <c r="B64" s="148">
        <v>1441</v>
      </c>
      <c r="C64" s="32" t="s">
        <v>97</v>
      </c>
      <c r="D64" s="32" t="s">
        <v>77</v>
      </c>
      <c r="E64" s="32" t="s">
        <v>76</v>
      </c>
      <c r="F64" s="32" t="s">
        <v>89</v>
      </c>
      <c r="G64" s="67">
        <v>43255</v>
      </c>
      <c r="H64" s="77" t="s">
        <v>389</v>
      </c>
      <c r="I64" s="77" t="s">
        <v>13</v>
      </c>
      <c r="J64" s="78" t="s">
        <v>390</v>
      </c>
      <c r="K64" s="78" t="s">
        <v>390</v>
      </c>
      <c r="L64" s="78" t="s">
        <v>390</v>
      </c>
      <c r="M64" s="78" t="s">
        <v>390</v>
      </c>
      <c r="N64" s="78" t="s">
        <v>390</v>
      </c>
      <c r="O64" s="78" t="s">
        <v>390</v>
      </c>
      <c r="P64" s="77" t="s">
        <v>13</v>
      </c>
      <c r="Q64" s="78" t="s">
        <v>390</v>
      </c>
      <c r="R64" s="78" t="s">
        <v>390</v>
      </c>
      <c r="S64" s="78" t="s">
        <v>390</v>
      </c>
      <c r="T64" s="78" t="s">
        <v>390</v>
      </c>
      <c r="U64" s="79" t="s">
        <v>391</v>
      </c>
      <c r="V64" s="102" t="s">
        <v>390</v>
      </c>
      <c r="W64" s="77" t="s">
        <v>13</v>
      </c>
      <c r="X64" s="78" t="s">
        <v>390</v>
      </c>
      <c r="Y64" s="78" t="s">
        <v>390</v>
      </c>
      <c r="Z64" s="78" t="s">
        <v>390</v>
      </c>
      <c r="AA64" s="78" t="s">
        <v>390</v>
      </c>
      <c r="AB64" s="78" t="s">
        <v>390</v>
      </c>
      <c r="AC64" s="78" t="s">
        <v>390</v>
      </c>
      <c r="AD64" s="77" t="s">
        <v>13</v>
      </c>
      <c r="AE64" s="78" t="s">
        <v>390</v>
      </c>
      <c r="AF64" s="78" t="s">
        <v>390</v>
      </c>
      <c r="AG64" s="78" t="s">
        <v>390</v>
      </c>
      <c r="AH64" s="78" t="s">
        <v>390</v>
      </c>
      <c r="AI64" s="78" t="s">
        <v>390</v>
      </c>
      <c r="AJ64" s="78" t="s">
        <v>390</v>
      </c>
      <c r="AK64" s="78" t="s">
        <v>390</v>
      </c>
      <c r="AL64" s="106">
        <f t="shared" si="0"/>
        <v>24</v>
      </c>
      <c r="AM64" s="106">
        <f t="shared" si="1"/>
        <v>0</v>
      </c>
      <c r="AN64" s="106">
        <f t="shared" si="2"/>
        <v>0</v>
      </c>
      <c r="AO64" s="106">
        <f t="shared" si="3"/>
        <v>24</v>
      </c>
      <c r="AP64" s="106">
        <f t="shared" si="4"/>
        <v>0</v>
      </c>
      <c r="AQ64" s="134"/>
      <c r="AR64" s="134"/>
      <c r="AS64" s="134"/>
      <c r="AT64" s="135"/>
      <c r="AU64" s="106" t="s">
        <v>427</v>
      </c>
      <c r="AV64" s="100"/>
      <c r="AW64" s="100"/>
    </row>
    <row r="65" spans="1:49" x14ac:dyDescent="0.25">
      <c r="A65" s="96">
        <v>64</v>
      </c>
      <c r="B65" s="148">
        <v>1444</v>
      </c>
      <c r="C65" s="32" t="s">
        <v>98</v>
      </c>
      <c r="D65" s="32" t="s">
        <v>74</v>
      </c>
      <c r="E65" s="32" t="s">
        <v>99</v>
      </c>
      <c r="F65" s="32" t="s">
        <v>100</v>
      </c>
      <c r="G65" s="60">
        <v>42836</v>
      </c>
      <c r="H65" s="75" t="s">
        <v>12</v>
      </c>
      <c r="I65" s="75" t="s">
        <v>13</v>
      </c>
      <c r="J65" s="84" t="s">
        <v>390</v>
      </c>
      <c r="K65" s="84" t="s">
        <v>390</v>
      </c>
      <c r="L65" s="84" t="s">
        <v>390</v>
      </c>
      <c r="M65" s="84" t="s">
        <v>390</v>
      </c>
      <c r="N65" s="84" t="s">
        <v>390</v>
      </c>
      <c r="O65" s="82" t="s">
        <v>391</v>
      </c>
      <c r="P65" s="75" t="s">
        <v>13</v>
      </c>
      <c r="Q65" s="84" t="s">
        <v>390</v>
      </c>
      <c r="R65" s="84" t="s">
        <v>390</v>
      </c>
      <c r="S65" s="84" t="s">
        <v>390</v>
      </c>
      <c r="T65" s="84" t="s">
        <v>390</v>
      </c>
      <c r="U65" s="76" t="s">
        <v>378</v>
      </c>
      <c r="V65" s="76" t="s">
        <v>378</v>
      </c>
      <c r="W65" s="75" t="s">
        <v>13</v>
      </c>
      <c r="X65" s="84" t="s">
        <v>390</v>
      </c>
      <c r="Y65" s="84" t="s">
        <v>390</v>
      </c>
      <c r="Z65" s="84" t="s">
        <v>390</v>
      </c>
      <c r="AA65" s="84" t="s">
        <v>390</v>
      </c>
      <c r="AB65" s="84" t="s">
        <v>390</v>
      </c>
      <c r="AC65" s="83" t="s">
        <v>14</v>
      </c>
      <c r="AD65" s="75" t="s">
        <v>13</v>
      </c>
      <c r="AE65" s="84" t="s">
        <v>390</v>
      </c>
      <c r="AF65" s="84" t="s">
        <v>390</v>
      </c>
      <c r="AG65" s="84" t="s">
        <v>390</v>
      </c>
      <c r="AH65" s="84" t="s">
        <v>390</v>
      </c>
      <c r="AI65" s="83" t="s">
        <v>14</v>
      </c>
      <c r="AJ65" s="83" t="s">
        <v>14</v>
      </c>
      <c r="AK65" s="75" t="s">
        <v>13</v>
      </c>
      <c r="AL65" s="106">
        <f t="shared" si="0"/>
        <v>18</v>
      </c>
      <c r="AM65" s="106">
        <f t="shared" si="1"/>
        <v>2</v>
      </c>
      <c r="AN65" s="106">
        <f t="shared" si="2"/>
        <v>0</v>
      </c>
      <c r="AO65" s="106">
        <f t="shared" si="3"/>
        <v>20</v>
      </c>
      <c r="AP65" s="106">
        <f t="shared" si="4"/>
        <v>3</v>
      </c>
      <c r="AQ65" s="134"/>
      <c r="AR65" s="134"/>
      <c r="AS65" s="134"/>
      <c r="AT65" s="135"/>
      <c r="AU65" s="106" t="s">
        <v>427</v>
      </c>
      <c r="AV65" s="100"/>
      <c r="AW65" s="100"/>
    </row>
    <row r="66" spans="1:49" x14ac:dyDescent="0.25">
      <c r="A66" s="96">
        <v>65</v>
      </c>
      <c r="B66" s="148">
        <v>1464</v>
      </c>
      <c r="C66" s="32" t="s">
        <v>101</v>
      </c>
      <c r="D66" s="32" t="s">
        <v>77</v>
      </c>
      <c r="E66" s="32" t="s">
        <v>76</v>
      </c>
      <c r="F66" s="32" t="s">
        <v>102</v>
      </c>
      <c r="G66" s="60">
        <v>43306</v>
      </c>
      <c r="H66" s="75" t="s">
        <v>12</v>
      </c>
      <c r="I66" s="75" t="s">
        <v>13</v>
      </c>
      <c r="J66" s="84" t="s">
        <v>390</v>
      </c>
      <c r="K66" s="84" t="s">
        <v>390</v>
      </c>
      <c r="L66" s="84" t="s">
        <v>390</v>
      </c>
      <c r="M66" s="84" t="s">
        <v>390</v>
      </c>
      <c r="N66" s="84" t="s">
        <v>390</v>
      </c>
      <c r="O66" s="84" t="s">
        <v>390</v>
      </c>
      <c r="P66" s="75" t="s">
        <v>13</v>
      </c>
      <c r="Q66" s="84" t="s">
        <v>390</v>
      </c>
      <c r="R66" s="84" t="s">
        <v>390</v>
      </c>
      <c r="S66" s="84" t="s">
        <v>390</v>
      </c>
      <c r="T66" s="83" t="s">
        <v>14</v>
      </c>
      <c r="U66" s="83" t="s">
        <v>14</v>
      </c>
      <c r="V66" s="82" t="s">
        <v>391</v>
      </c>
      <c r="W66" s="75" t="s">
        <v>13</v>
      </c>
      <c r="X66" s="84" t="s">
        <v>390</v>
      </c>
      <c r="Y66" s="84" t="s">
        <v>390</v>
      </c>
      <c r="Z66" s="84" t="s">
        <v>390</v>
      </c>
      <c r="AA66" s="84" t="s">
        <v>390</v>
      </c>
      <c r="AB66" s="84" t="s">
        <v>390</v>
      </c>
      <c r="AC66" s="84" t="s">
        <v>390</v>
      </c>
      <c r="AD66" s="75" t="s">
        <v>13</v>
      </c>
      <c r="AE66" s="84" t="s">
        <v>390</v>
      </c>
      <c r="AF66" s="84" t="s">
        <v>390</v>
      </c>
      <c r="AG66" s="84" t="s">
        <v>390</v>
      </c>
      <c r="AH66" s="84" t="s">
        <v>390</v>
      </c>
      <c r="AI66" s="84" t="s">
        <v>390</v>
      </c>
      <c r="AJ66" s="84" t="s">
        <v>390</v>
      </c>
      <c r="AK66" s="75" t="s">
        <v>13</v>
      </c>
      <c r="AL66" s="106">
        <f t="shared" ref="AL66:AL128" si="5">COUNTIF(H66:AK66,"P")</f>
        <v>21</v>
      </c>
      <c r="AM66" s="106">
        <f t="shared" ref="AM66:AM128" si="6">COUNTIF(H66:AK66,"WFH")</f>
        <v>0</v>
      </c>
      <c r="AN66" s="106">
        <f t="shared" ref="AN66:AN128" si="7">COUNTIF(H66:AK66,"HD")/2</f>
        <v>0</v>
      </c>
      <c r="AO66" s="106">
        <f t="shared" ref="AO66:AO128" si="8">AL66+AM66+AN66</f>
        <v>21</v>
      </c>
      <c r="AP66" s="106">
        <f t="shared" ref="AP66:AP128" si="9">COUNTIF(H66:AK66,"A")+AN66</f>
        <v>2</v>
      </c>
      <c r="AQ66" s="134"/>
      <c r="AR66" s="134"/>
      <c r="AS66" s="134"/>
      <c r="AT66" s="135"/>
      <c r="AU66" s="106" t="s">
        <v>427</v>
      </c>
      <c r="AV66" s="100"/>
      <c r="AW66" s="100"/>
    </row>
    <row r="67" spans="1:49" x14ac:dyDescent="0.25">
      <c r="A67" s="96">
        <v>66</v>
      </c>
      <c r="B67" s="148">
        <v>1486</v>
      </c>
      <c r="C67" s="32" t="s">
        <v>103</v>
      </c>
      <c r="D67" s="32" t="s">
        <v>83</v>
      </c>
      <c r="E67" s="32" t="s">
        <v>9</v>
      </c>
      <c r="F67" s="32" t="s">
        <v>89</v>
      </c>
      <c r="G67" s="60">
        <v>43399</v>
      </c>
      <c r="H67" s="77" t="s">
        <v>389</v>
      </c>
      <c r="I67" s="77" t="s">
        <v>13</v>
      </c>
      <c r="J67" s="78" t="s">
        <v>390</v>
      </c>
      <c r="K67" s="78" t="s">
        <v>390</v>
      </c>
      <c r="L67" s="78" t="s">
        <v>390</v>
      </c>
      <c r="M67" s="78" t="s">
        <v>390</v>
      </c>
      <c r="N67" s="78" t="s">
        <v>390</v>
      </c>
      <c r="O67" s="79" t="s">
        <v>391</v>
      </c>
      <c r="P67" s="77" t="s">
        <v>13</v>
      </c>
      <c r="Q67" s="78" t="s">
        <v>390</v>
      </c>
      <c r="R67" s="78" t="s">
        <v>390</v>
      </c>
      <c r="S67" s="78" t="s">
        <v>390</v>
      </c>
      <c r="T67" s="136" t="s">
        <v>390</v>
      </c>
      <c r="U67" s="78" t="s">
        <v>390</v>
      </c>
      <c r="V67" s="78" t="s">
        <v>390</v>
      </c>
      <c r="W67" s="77" t="s">
        <v>13</v>
      </c>
      <c r="X67" s="78" t="s">
        <v>390</v>
      </c>
      <c r="Y67" s="78" t="s">
        <v>390</v>
      </c>
      <c r="Z67" s="78" t="s">
        <v>390</v>
      </c>
      <c r="AA67" s="78" t="s">
        <v>390</v>
      </c>
      <c r="AB67" s="78" t="s">
        <v>390</v>
      </c>
      <c r="AC67" s="78" t="s">
        <v>390</v>
      </c>
      <c r="AD67" s="77" t="s">
        <v>13</v>
      </c>
      <c r="AE67" s="78" t="s">
        <v>390</v>
      </c>
      <c r="AF67" s="78" t="s">
        <v>390</v>
      </c>
      <c r="AG67" s="78" t="s">
        <v>390</v>
      </c>
      <c r="AH67" s="78" t="s">
        <v>390</v>
      </c>
      <c r="AI67" s="78" t="s">
        <v>390</v>
      </c>
      <c r="AJ67" s="78" t="s">
        <v>390</v>
      </c>
      <c r="AK67" s="78" t="s">
        <v>390</v>
      </c>
      <c r="AL67" s="106">
        <f t="shared" si="5"/>
        <v>24</v>
      </c>
      <c r="AM67" s="106">
        <f t="shared" si="6"/>
        <v>0</v>
      </c>
      <c r="AN67" s="106">
        <f t="shared" si="7"/>
        <v>0</v>
      </c>
      <c r="AO67" s="106">
        <f t="shared" si="8"/>
        <v>24</v>
      </c>
      <c r="AP67" s="106">
        <f t="shared" si="9"/>
        <v>0</v>
      </c>
      <c r="AQ67" s="134"/>
      <c r="AR67" s="134"/>
      <c r="AS67" s="134"/>
      <c r="AT67" s="135"/>
      <c r="AU67" s="106" t="s">
        <v>427</v>
      </c>
      <c r="AV67" s="100"/>
      <c r="AW67" s="100"/>
    </row>
    <row r="68" spans="1:49" x14ac:dyDescent="0.25">
      <c r="A68" s="96">
        <v>67</v>
      </c>
      <c r="B68" s="148">
        <v>1509</v>
      </c>
      <c r="C68" s="32" t="s">
        <v>104</v>
      </c>
      <c r="D68" s="32" t="s">
        <v>92</v>
      </c>
      <c r="E68" s="30" t="s">
        <v>28</v>
      </c>
      <c r="F68" s="32" t="s">
        <v>89</v>
      </c>
      <c r="G68" s="67">
        <v>43472</v>
      </c>
      <c r="H68" s="77" t="s">
        <v>389</v>
      </c>
      <c r="I68" s="77" t="s">
        <v>13</v>
      </c>
      <c r="J68" s="85" t="s">
        <v>378</v>
      </c>
      <c r="K68" s="85" t="s">
        <v>378</v>
      </c>
      <c r="L68" s="85" t="s">
        <v>378</v>
      </c>
      <c r="M68" s="85" t="s">
        <v>378</v>
      </c>
      <c r="N68" s="85" t="s">
        <v>378</v>
      </c>
      <c r="O68" s="85" t="s">
        <v>378</v>
      </c>
      <c r="P68" s="77" t="s">
        <v>13</v>
      </c>
      <c r="Q68" s="85" t="s">
        <v>378</v>
      </c>
      <c r="R68" s="85" t="s">
        <v>378</v>
      </c>
      <c r="S68" s="85" t="s">
        <v>378</v>
      </c>
      <c r="T68" s="85" t="s">
        <v>378</v>
      </c>
      <c r="U68" s="85" t="s">
        <v>378</v>
      </c>
      <c r="V68" s="85" t="s">
        <v>378</v>
      </c>
      <c r="W68" s="77" t="s">
        <v>13</v>
      </c>
      <c r="X68" s="80" t="s">
        <v>14</v>
      </c>
      <c r="Y68" s="80" t="s">
        <v>14</v>
      </c>
      <c r="Z68" s="80" t="s">
        <v>14</v>
      </c>
      <c r="AA68" s="80" t="s">
        <v>14</v>
      </c>
      <c r="AB68" s="80" t="s">
        <v>14</v>
      </c>
      <c r="AC68" s="85" t="s">
        <v>378</v>
      </c>
      <c r="AD68" s="77" t="s">
        <v>13</v>
      </c>
      <c r="AE68" s="79" t="s">
        <v>391</v>
      </c>
      <c r="AF68" s="85" t="s">
        <v>378</v>
      </c>
      <c r="AG68" s="143" t="s">
        <v>378</v>
      </c>
      <c r="AH68" s="85" t="s">
        <v>378</v>
      </c>
      <c r="AI68" s="80" t="s">
        <v>14</v>
      </c>
      <c r="AJ68" s="85" t="s">
        <v>378</v>
      </c>
      <c r="AK68" s="85" t="s">
        <v>378</v>
      </c>
      <c r="AL68" s="106">
        <f t="shared" si="5"/>
        <v>0</v>
      </c>
      <c r="AM68" s="106">
        <f t="shared" si="6"/>
        <v>18</v>
      </c>
      <c r="AN68" s="106">
        <f t="shared" si="7"/>
        <v>0</v>
      </c>
      <c r="AO68" s="106">
        <f t="shared" si="8"/>
        <v>18</v>
      </c>
      <c r="AP68" s="106">
        <f t="shared" si="9"/>
        <v>6</v>
      </c>
      <c r="AQ68" s="134">
        <v>70</v>
      </c>
      <c r="AR68" s="134">
        <v>1890</v>
      </c>
      <c r="AS68" s="134">
        <v>1110</v>
      </c>
      <c r="AT68" s="135">
        <v>58.730158730158735</v>
      </c>
      <c r="AU68" s="106" t="s">
        <v>427</v>
      </c>
      <c r="AV68" s="100"/>
      <c r="AW68" s="100"/>
    </row>
    <row r="69" spans="1:49" x14ac:dyDescent="0.25">
      <c r="A69" s="96">
        <v>68</v>
      </c>
      <c r="B69" s="148">
        <v>1518</v>
      </c>
      <c r="C69" s="32" t="s">
        <v>105</v>
      </c>
      <c r="D69" s="32" t="s">
        <v>83</v>
      </c>
      <c r="E69" s="32" t="s">
        <v>9</v>
      </c>
      <c r="F69" s="32" t="s">
        <v>89</v>
      </c>
      <c r="G69" s="60">
        <v>43493</v>
      </c>
      <c r="H69" s="77" t="s">
        <v>389</v>
      </c>
      <c r="I69" s="77" t="s">
        <v>13</v>
      </c>
      <c r="J69" s="78" t="s">
        <v>390</v>
      </c>
      <c r="K69" s="78" t="s">
        <v>390</v>
      </c>
      <c r="L69" s="78" t="s">
        <v>390</v>
      </c>
      <c r="M69" s="78" t="s">
        <v>390</v>
      </c>
      <c r="N69" s="78" t="s">
        <v>390</v>
      </c>
      <c r="O69" s="78" t="s">
        <v>390</v>
      </c>
      <c r="P69" s="77" t="s">
        <v>13</v>
      </c>
      <c r="Q69" s="78" t="s">
        <v>390</v>
      </c>
      <c r="R69" s="78" t="s">
        <v>390</v>
      </c>
      <c r="S69" s="78" t="s">
        <v>390</v>
      </c>
      <c r="T69" s="78" t="s">
        <v>390</v>
      </c>
      <c r="U69" s="78" t="s">
        <v>390</v>
      </c>
      <c r="V69" s="78" t="s">
        <v>390</v>
      </c>
      <c r="W69" s="77" t="s">
        <v>13</v>
      </c>
      <c r="X69" s="80" t="s">
        <v>14</v>
      </c>
      <c r="Y69" s="80" t="s">
        <v>14</v>
      </c>
      <c r="Z69" s="80" t="s">
        <v>14</v>
      </c>
      <c r="AA69" s="80" t="s">
        <v>14</v>
      </c>
      <c r="AB69" s="80" t="s">
        <v>14</v>
      </c>
      <c r="AC69" s="79" t="s">
        <v>391</v>
      </c>
      <c r="AD69" s="77" t="s">
        <v>13</v>
      </c>
      <c r="AE69" s="80" t="s">
        <v>14</v>
      </c>
      <c r="AF69" s="80" t="s">
        <v>14</v>
      </c>
      <c r="AG69" s="80" t="s">
        <v>14</v>
      </c>
      <c r="AH69" s="80" t="s">
        <v>14</v>
      </c>
      <c r="AI69" s="80" t="s">
        <v>14</v>
      </c>
      <c r="AJ69" s="80" t="s">
        <v>14</v>
      </c>
      <c r="AK69" s="77" t="s">
        <v>13</v>
      </c>
      <c r="AL69" s="106">
        <f t="shared" si="5"/>
        <v>12</v>
      </c>
      <c r="AM69" s="106">
        <f t="shared" si="6"/>
        <v>0</v>
      </c>
      <c r="AN69" s="106">
        <f t="shared" si="7"/>
        <v>0</v>
      </c>
      <c r="AO69" s="106">
        <f t="shared" si="8"/>
        <v>12</v>
      </c>
      <c r="AP69" s="106">
        <f t="shared" si="9"/>
        <v>11</v>
      </c>
      <c r="AQ69" s="134"/>
      <c r="AR69" s="134"/>
      <c r="AS69" s="134"/>
      <c r="AT69" s="135"/>
      <c r="AU69" s="106" t="s">
        <v>427</v>
      </c>
      <c r="AV69" s="100"/>
      <c r="AW69" s="100"/>
    </row>
    <row r="70" spans="1:49" x14ac:dyDescent="0.25">
      <c r="A70" s="96">
        <v>69</v>
      </c>
      <c r="B70" s="148">
        <v>1636</v>
      </c>
      <c r="C70" s="32" t="s">
        <v>106</v>
      </c>
      <c r="D70" s="32" t="s">
        <v>8</v>
      </c>
      <c r="E70" s="32" t="s">
        <v>9</v>
      </c>
      <c r="F70" s="32" t="s">
        <v>107</v>
      </c>
      <c r="G70" s="60">
        <v>44102</v>
      </c>
      <c r="H70" s="77" t="s">
        <v>389</v>
      </c>
      <c r="I70" s="77" t="s">
        <v>13</v>
      </c>
      <c r="J70" s="85" t="s">
        <v>378</v>
      </c>
      <c r="K70" s="85" t="s">
        <v>378</v>
      </c>
      <c r="L70" s="85" t="s">
        <v>378</v>
      </c>
      <c r="M70" s="85" t="s">
        <v>378</v>
      </c>
      <c r="N70" s="85" t="s">
        <v>378</v>
      </c>
      <c r="O70" s="85" t="s">
        <v>378</v>
      </c>
      <c r="P70" s="77" t="s">
        <v>13</v>
      </c>
      <c r="Q70" s="85" t="s">
        <v>378</v>
      </c>
      <c r="R70" s="85" t="s">
        <v>378</v>
      </c>
      <c r="S70" s="85" t="s">
        <v>378</v>
      </c>
      <c r="T70" s="85" t="s">
        <v>378</v>
      </c>
      <c r="U70" s="85" t="s">
        <v>378</v>
      </c>
      <c r="V70" s="85" t="s">
        <v>378</v>
      </c>
      <c r="W70" s="77" t="s">
        <v>13</v>
      </c>
      <c r="X70" s="85" t="s">
        <v>378</v>
      </c>
      <c r="Y70" s="85" t="s">
        <v>378</v>
      </c>
      <c r="Z70" s="85" t="s">
        <v>378</v>
      </c>
      <c r="AA70" s="85" t="s">
        <v>378</v>
      </c>
      <c r="AB70" s="85" t="s">
        <v>378</v>
      </c>
      <c r="AC70" s="85" t="s">
        <v>378</v>
      </c>
      <c r="AD70" s="77" t="s">
        <v>13</v>
      </c>
      <c r="AE70" s="85" t="s">
        <v>378</v>
      </c>
      <c r="AF70" s="85" t="s">
        <v>378</v>
      </c>
      <c r="AG70" s="85" t="s">
        <v>378</v>
      </c>
      <c r="AH70" s="85" t="s">
        <v>378</v>
      </c>
      <c r="AI70" s="85" t="s">
        <v>378</v>
      </c>
      <c r="AJ70" s="85" t="s">
        <v>378</v>
      </c>
      <c r="AK70" s="85" t="s">
        <v>378</v>
      </c>
      <c r="AL70" s="106">
        <f t="shared" si="5"/>
        <v>0</v>
      </c>
      <c r="AM70" s="106">
        <f t="shared" si="6"/>
        <v>25</v>
      </c>
      <c r="AN70" s="106">
        <f t="shared" si="7"/>
        <v>0</v>
      </c>
      <c r="AO70" s="106">
        <f t="shared" si="8"/>
        <v>25</v>
      </c>
      <c r="AP70" s="106">
        <f t="shared" si="9"/>
        <v>0</v>
      </c>
      <c r="AQ70" s="134">
        <v>65</v>
      </c>
      <c r="AR70" s="134">
        <v>1690</v>
      </c>
      <c r="AS70" s="134">
        <v>1324</v>
      </c>
      <c r="AT70" s="135">
        <v>78.34319526627219</v>
      </c>
      <c r="AU70" s="106" t="s">
        <v>427</v>
      </c>
      <c r="AV70" s="100"/>
      <c r="AW70" s="100"/>
    </row>
    <row r="71" spans="1:49" x14ac:dyDescent="0.25">
      <c r="A71" s="96">
        <v>70</v>
      </c>
      <c r="B71" s="148">
        <v>1638</v>
      </c>
      <c r="C71" s="32" t="s">
        <v>108</v>
      </c>
      <c r="D71" s="32" t="s">
        <v>44</v>
      </c>
      <c r="E71" s="32" t="s">
        <v>109</v>
      </c>
      <c r="F71" s="32" t="s">
        <v>89</v>
      </c>
      <c r="G71" s="67">
        <v>44287</v>
      </c>
      <c r="H71" s="75" t="s">
        <v>12</v>
      </c>
      <c r="I71" s="75" t="s">
        <v>13</v>
      </c>
      <c r="J71" s="84" t="s">
        <v>390</v>
      </c>
      <c r="K71" s="84" t="s">
        <v>390</v>
      </c>
      <c r="L71" s="84" t="s">
        <v>390</v>
      </c>
      <c r="M71" s="84" t="s">
        <v>390</v>
      </c>
      <c r="N71" s="84" t="s">
        <v>390</v>
      </c>
      <c r="O71" s="138" t="s">
        <v>390</v>
      </c>
      <c r="P71" s="75" t="s">
        <v>13</v>
      </c>
      <c r="Q71" s="84" t="s">
        <v>390</v>
      </c>
      <c r="R71" s="84" t="s">
        <v>390</v>
      </c>
      <c r="S71" s="84" t="s">
        <v>390</v>
      </c>
      <c r="T71" s="84" t="s">
        <v>390</v>
      </c>
      <c r="U71" s="84" t="s">
        <v>390</v>
      </c>
      <c r="V71" s="82" t="s">
        <v>391</v>
      </c>
      <c r="W71" s="75" t="s">
        <v>13</v>
      </c>
      <c r="X71" s="84" t="s">
        <v>390</v>
      </c>
      <c r="Y71" s="84" t="s">
        <v>390</v>
      </c>
      <c r="Z71" s="84" t="s">
        <v>390</v>
      </c>
      <c r="AA71" s="84" t="s">
        <v>390</v>
      </c>
      <c r="AB71" s="84" t="s">
        <v>390</v>
      </c>
      <c r="AC71" s="84" t="s">
        <v>390</v>
      </c>
      <c r="AD71" s="75" t="s">
        <v>13</v>
      </c>
      <c r="AE71" s="84" t="s">
        <v>390</v>
      </c>
      <c r="AF71" s="84" t="s">
        <v>390</v>
      </c>
      <c r="AG71" s="84" t="s">
        <v>390</v>
      </c>
      <c r="AH71" s="83" t="s">
        <v>14</v>
      </c>
      <c r="AI71" s="84" t="s">
        <v>390</v>
      </c>
      <c r="AJ71" s="84" t="s">
        <v>390</v>
      </c>
      <c r="AK71" s="75" t="s">
        <v>13</v>
      </c>
      <c r="AL71" s="106">
        <f t="shared" si="5"/>
        <v>22</v>
      </c>
      <c r="AM71" s="106">
        <f t="shared" si="6"/>
        <v>0</v>
      </c>
      <c r="AN71" s="106">
        <f t="shared" si="7"/>
        <v>0</v>
      </c>
      <c r="AO71" s="106">
        <f t="shared" si="8"/>
        <v>22</v>
      </c>
      <c r="AP71" s="106">
        <f t="shared" si="9"/>
        <v>1</v>
      </c>
      <c r="AQ71" s="134"/>
      <c r="AR71" s="134"/>
      <c r="AS71" s="134"/>
      <c r="AT71" s="135"/>
      <c r="AU71" s="106" t="s">
        <v>427</v>
      </c>
      <c r="AV71" s="100"/>
      <c r="AW71" s="100"/>
    </row>
    <row r="72" spans="1:49" x14ac:dyDescent="0.25">
      <c r="A72" s="96">
        <v>71</v>
      </c>
      <c r="B72" s="148">
        <v>1686</v>
      </c>
      <c r="C72" s="32" t="s">
        <v>110</v>
      </c>
      <c r="D72" s="32" t="s">
        <v>92</v>
      </c>
      <c r="E72" s="32" t="s">
        <v>45</v>
      </c>
      <c r="F72" s="32" t="s">
        <v>89</v>
      </c>
      <c r="G72" s="67">
        <v>43834</v>
      </c>
      <c r="H72" s="77" t="s">
        <v>389</v>
      </c>
      <c r="I72" s="77" t="s">
        <v>13</v>
      </c>
      <c r="J72" s="78" t="s">
        <v>390</v>
      </c>
      <c r="K72" s="78" t="s">
        <v>390</v>
      </c>
      <c r="L72" s="78" t="s">
        <v>390</v>
      </c>
      <c r="M72" s="80" t="s">
        <v>14</v>
      </c>
      <c r="N72" s="78" t="s">
        <v>390</v>
      </c>
      <c r="O72" s="78" t="s">
        <v>390</v>
      </c>
      <c r="P72" s="77" t="s">
        <v>13</v>
      </c>
      <c r="Q72" s="78" t="s">
        <v>390</v>
      </c>
      <c r="R72" s="78" t="s">
        <v>390</v>
      </c>
      <c r="S72" s="78" t="s">
        <v>390</v>
      </c>
      <c r="T72" s="78" t="s">
        <v>390</v>
      </c>
      <c r="U72" s="78" t="s">
        <v>390</v>
      </c>
      <c r="V72" s="78" t="s">
        <v>390</v>
      </c>
      <c r="W72" s="77" t="s">
        <v>13</v>
      </c>
      <c r="X72" s="78" t="s">
        <v>390</v>
      </c>
      <c r="Y72" s="78" t="s">
        <v>390</v>
      </c>
      <c r="Z72" s="80" t="s">
        <v>14</v>
      </c>
      <c r="AA72" s="78" t="s">
        <v>390</v>
      </c>
      <c r="AB72" s="78" t="s">
        <v>390</v>
      </c>
      <c r="AC72" s="87" t="s">
        <v>391</v>
      </c>
      <c r="AD72" s="77" t="s">
        <v>13</v>
      </c>
      <c r="AE72" s="78" t="s">
        <v>390</v>
      </c>
      <c r="AF72" s="78" t="s">
        <v>390</v>
      </c>
      <c r="AG72" s="78" t="s">
        <v>390</v>
      </c>
      <c r="AH72" s="78" t="s">
        <v>390</v>
      </c>
      <c r="AI72" s="78" t="s">
        <v>390</v>
      </c>
      <c r="AJ72" s="78" t="s">
        <v>390</v>
      </c>
      <c r="AK72" s="77" t="s">
        <v>13</v>
      </c>
      <c r="AL72" s="106">
        <f t="shared" si="5"/>
        <v>21</v>
      </c>
      <c r="AM72" s="106">
        <f t="shared" si="6"/>
        <v>0</v>
      </c>
      <c r="AN72" s="106">
        <f t="shared" si="7"/>
        <v>0</v>
      </c>
      <c r="AO72" s="106">
        <f t="shared" si="8"/>
        <v>21</v>
      </c>
      <c r="AP72" s="106">
        <f t="shared" si="9"/>
        <v>2</v>
      </c>
      <c r="AQ72" s="134">
        <v>50</v>
      </c>
      <c r="AR72" s="134">
        <v>1350</v>
      </c>
      <c r="AS72" s="134">
        <v>737</v>
      </c>
      <c r="AT72" s="135">
        <v>54.592592592592595</v>
      </c>
      <c r="AU72" s="106" t="s">
        <v>427</v>
      </c>
      <c r="AV72" s="100"/>
      <c r="AW72" s="100"/>
    </row>
    <row r="73" spans="1:49" x14ac:dyDescent="0.25">
      <c r="A73" s="96">
        <v>72</v>
      </c>
      <c r="B73" s="148">
        <v>1687</v>
      </c>
      <c r="C73" s="32" t="s">
        <v>111</v>
      </c>
      <c r="D73" s="32" t="s">
        <v>92</v>
      </c>
      <c r="E73" s="32" t="s">
        <v>24</v>
      </c>
      <c r="F73" s="32" t="s">
        <v>89</v>
      </c>
      <c r="G73" s="67">
        <v>43834</v>
      </c>
      <c r="H73" s="77" t="s">
        <v>389</v>
      </c>
      <c r="I73" s="77" t="s">
        <v>13</v>
      </c>
      <c r="J73" s="80" t="s">
        <v>14</v>
      </c>
      <c r="K73" s="80" t="s">
        <v>14</v>
      </c>
      <c r="L73" s="80" t="s">
        <v>14</v>
      </c>
      <c r="M73" s="78" t="s">
        <v>390</v>
      </c>
      <c r="N73" s="78" t="s">
        <v>390</v>
      </c>
      <c r="O73" s="78" t="s">
        <v>390</v>
      </c>
      <c r="P73" s="77" t="s">
        <v>13</v>
      </c>
      <c r="Q73" s="78" t="s">
        <v>390</v>
      </c>
      <c r="R73" s="78" t="s">
        <v>390</v>
      </c>
      <c r="S73" s="80" t="s">
        <v>14</v>
      </c>
      <c r="T73" s="78" t="s">
        <v>390</v>
      </c>
      <c r="U73" s="78" t="s">
        <v>390</v>
      </c>
      <c r="V73" s="85" t="s">
        <v>378</v>
      </c>
      <c r="W73" s="77" t="s">
        <v>13</v>
      </c>
      <c r="X73" s="78" t="s">
        <v>390</v>
      </c>
      <c r="Y73" s="80" t="s">
        <v>14</v>
      </c>
      <c r="Z73" s="82" t="s">
        <v>391</v>
      </c>
      <c r="AA73" s="78" t="s">
        <v>390</v>
      </c>
      <c r="AB73" s="78" t="s">
        <v>390</v>
      </c>
      <c r="AC73" s="78" t="s">
        <v>390</v>
      </c>
      <c r="AD73" s="77" t="s">
        <v>13</v>
      </c>
      <c r="AE73" s="78" t="s">
        <v>390</v>
      </c>
      <c r="AF73" s="78" t="s">
        <v>390</v>
      </c>
      <c r="AG73" s="78" t="s">
        <v>390</v>
      </c>
      <c r="AH73" s="78" t="s">
        <v>390</v>
      </c>
      <c r="AI73" s="78" t="s">
        <v>390</v>
      </c>
      <c r="AJ73" s="78" t="s">
        <v>390</v>
      </c>
      <c r="AK73" s="78" t="s">
        <v>390</v>
      </c>
      <c r="AL73" s="106">
        <f t="shared" si="5"/>
        <v>18</v>
      </c>
      <c r="AM73" s="106">
        <f t="shared" si="6"/>
        <v>1</v>
      </c>
      <c r="AN73" s="106">
        <f t="shared" si="7"/>
        <v>0</v>
      </c>
      <c r="AO73" s="106">
        <f t="shared" si="8"/>
        <v>19</v>
      </c>
      <c r="AP73" s="106">
        <f t="shared" si="9"/>
        <v>5</v>
      </c>
      <c r="AQ73" s="134">
        <v>70</v>
      </c>
      <c r="AR73" s="134">
        <v>1890</v>
      </c>
      <c r="AS73" s="134">
        <v>1167</v>
      </c>
      <c r="AT73" s="135">
        <v>61.746031746031747</v>
      </c>
      <c r="AU73" s="106" t="s">
        <v>427</v>
      </c>
      <c r="AV73" s="100"/>
      <c r="AW73" s="100"/>
    </row>
    <row r="74" spans="1:49" x14ac:dyDescent="0.25">
      <c r="A74" s="96">
        <v>73</v>
      </c>
      <c r="B74" s="148">
        <v>1717</v>
      </c>
      <c r="C74" s="32" t="s">
        <v>112</v>
      </c>
      <c r="D74" s="32" t="s">
        <v>88</v>
      </c>
      <c r="E74" s="32" t="s">
        <v>24</v>
      </c>
      <c r="F74" s="32" t="s">
        <v>89</v>
      </c>
      <c r="G74" s="60">
        <v>44299</v>
      </c>
      <c r="H74" s="77" t="s">
        <v>389</v>
      </c>
      <c r="I74" s="77" t="s">
        <v>13</v>
      </c>
      <c r="J74" s="78" t="s">
        <v>390</v>
      </c>
      <c r="K74" s="78" t="s">
        <v>390</v>
      </c>
      <c r="L74" s="78" t="s">
        <v>390</v>
      </c>
      <c r="M74" s="78" t="s">
        <v>390</v>
      </c>
      <c r="N74" s="78" t="s">
        <v>390</v>
      </c>
      <c r="O74" s="78" t="s">
        <v>390</v>
      </c>
      <c r="P74" s="77" t="s">
        <v>13</v>
      </c>
      <c r="Q74" s="78" t="s">
        <v>390</v>
      </c>
      <c r="R74" s="78" t="s">
        <v>390</v>
      </c>
      <c r="S74" s="78" t="s">
        <v>390</v>
      </c>
      <c r="T74" s="78" t="s">
        <v>390</v>
      </c>
      <c r="U74" s="78" t="s">
        <v>390</v>
      </c>
      <c r="V74" s="82" t="s">
        <v>391</v>
      </c>
      <c r="W74" s="77" t="s">
        <v>13</v>
      </c>
      <c r="X74" s="78" t="s">
        <v>390</v>
      </c>
      <c r="Y74" s="78" t="s">
        <v>390</v>
      </c>
      <c r="Z74" s="78" t="s">
        <v>390</v>
      </c>
      <c r="AA74" s="78" t="s">
        <v>390</v>
      </c>
      <c r="AB74" s="78" t="s">
        <v>390</v>
      </c>
      <c r="AC74" s="78" t="s">
        <v>390</v>
      </c>
      <c r="AD74" s="77" t="s">
        <v>13</v>
      </c>
      <c r="AE74" s="139" t="s">
        <v>14</v>
      </c>
      <c r="AF74" s="81" t="s">
        <v>392</v>
      </c>
      <c r="AG74" s="78" t="s">
        <v>390</v>
      </c>
      <c r="AH74" s="80" t="s">
        <v>14</v>
      </c>
      <c r="AI74" s="80" t="s">
        <v>14</v>
      </c>
      <c r="AJ74" s="78" t="s">
        <v>390</v>
      </c>
      <c r="AK74" s="77" t="s">
        <v>13</v>
      </c>
      <c r="AL74" s="106">
        <f t="shared" si="5"/>
        <v>19</v>
      </c>
      <c r="AM74" s="106">
        <f t="shared" si="6"/>
        <v>0</v>
      </c>
      <c r="AN74" s="106">
        <f t="shared" si="7"/>
        <v>0.5</v>
      </c>
      <c r="AO74" s="106">
        <f t="shared" si="8"/>
        <v>19.5</v>
      </c>
      <c r="AP74" s="106">
        <f t="shared" si="9"/>
        <v>3.5</v>
      </c>
      <c r="AQ74" s="134">
        <v>110</v>
      </c>
      <c r="AR74" s="134">
        <v>3190</v>
      </c>
      <c r="AS74" s="134">
        <v>445</v>
      </c>
      <c r="AT74" s="135">
        <v>13.949843260188089</v>
      </c>
      <c r="AU74" s="106" t="s">
        <v>427</v>
      </c>
      <c r="AV74" s="100"/>
      <c r="AW74" s="100"/>
    </row>
    <row r="75" spans="1:49" x14ac:dyDescent="0.25">
      <c r="A75" s="96">
        <v>74</v>
      </c>
      <c r="B75" s="148">
        <v>1719</v>
      </c>
      <c r="C75" s="32" t="s">
        <v>113</v>
      </c>
      <c r="D75" s="32" t="s">
        <v>114</v>
      </c>
      <c r="E75" s="32" t="s">
        <v>115</v>
      </c>
      <c r="F75" s="32" t="s">
        <v>107</v>
      </c>
      <c r="G75" s="60">
        <v>44301</v>
      </c>
      <c r="H75" s="75" t="s">
        <v>12</v>
      </c>
      <c r="I75" s="75" t="s">
        <v>13</v>
      </c>
      <c r="J75" s="84" t="s">
        <v>390</v>
      </c>
      <c r="K75" s="84" t="s">
        <v>390</v>
      </c>
      <c r="L75" s="84" t="s">
        <v>390</v>
      </c>
      <c r="M75" s="84" t="s">
        <v>390</v>
      </c>
      <c r="N75" s="84" t="s">
        <v>390</v>
      </c>
      <c r="O75" s="84" t="s">
        <v>390</v>
      </c>
      <c r="P75" s="75" t="s">
        <v>13</v>
      </c>
      <c r="Q75" s="84" t="s">
        <v>390</v>
      </c>
      <c r="R75" s="83" t="s">
        <v>14</v>
      </c>
      <c r="S75" s="84" t="s">
        <v>390</v>
      </c>
      <c r="T75" s="84" t="s">
        <v>390</v>
      </c>
      <c r="U75" s="84" t="s">
        <v>390</v>
      </c>
      <c r="V75" s="84" t="s">
        <v>390</v>
      </c>
      <c r="W75" s="75" t="s">
        <v>13</v>
      </c>
      <c r="X75" s="84" t="s">
        <v>390</v>
      </c>
      <c r="Y75" s="84" t="s">
        <v>390</v>
      </c>
      <c r="Z75" s="84" t="s">
        <v>390</v>
      </c>
      <c r="AA75" s="84" t="s">
        <v>390</v>
      </c>
      <c r="AB75" s="84" t="s">
        <v>390</v>
      </c>
      <c r="AC75" s="82" t="s">
        <v>391</v>
      </c>
      <c r="AD75" s="75" t="s">
        <v>13</v>
      </c>
      <c r="AE75" s="84" t="s">
        <v>390</v>
      </c>
      <c r="AF75" s="84" t="s">
        <v>390</v>
      </c>
      <c r="AG75" s="84" t="s">
        <v>390</v>
      </c>
      <c r="AH75" s="84" t="s">
        <v>390</v>
      </c>
      <c r="AI75" s="84" t="s">
        <v>390</v>
      </c>
      <c r="AJ75" s="84" t="s">
        <v>390</v>
      </c>
      <c r="AK75" s="75" t="s">
        <v>13</v>
      </c>
      <c r="AL75" s="106">
        <f t="shared" si="5"/>
        <v>22</v>
      </c>
      <c r="AM75" s="106">
        <f t="shared" si="6"/>
        <v>0</v>
      </c>
      <c r="AN75" s="106">
        <f t="shared" si="7"/>
        <v>0</v>
      </c>
      <c r="AO75" s="106">
        <f t="shared" si="8"/>
        <v>22</v>
      </c>
      <c r="AP75" s="106">
        <f t="shared" si="9"/>
        <v>1</v>
      </c>
      <c r="AQ75" s="134"/>
      <c r="AR75" s="134"/>
      <c r="AS75" s="134"/>
      <c r="AT75" s="135"/>
      <c r="AU75" s="106" t="s">
        <v>427</v>
      </c>
      <c r="AV75" s="100"/>
      <c r="AW75" s="100"/>
    </row>
    <row r="76" spans="1:49" x14ac:dyDescent="0.25">
      <c r="A76" s="96">
        <v>76</v>
      </c>
      <c r="B76" s="148">
        <v>1733</v>
      </c>
      <c r="C76" s="32" t="s">
        <v>117</v>
      </c>
      <c r="D76" s="32" t="s">
        <v>80</v>
      </c>
      <c r="E76" s="32" t="s">
        <v>109</v>
      </c>
      <c r="F76" s="32" t="s">
        <v>118</v>
      </c>
      <c r="G76" s="60">
        <v>44389</v>
      </c>
      <c r="H76" s="75" t="s">
        <v>12</v>
      </c>
      <c r="I76" s="75" t="s">
        <v>13</v>
      </c>
      <c r="J76" s="80" t="s">
        <v>14</v>
      </c>
      <c r="K76" s="83" t="s">
        <v>14</v>
      </c>
      <c r="L76" s="84" t="s">
        <v>390</v>
      </c>
      <c r="M76" s="84" t="s">
        <v>390</v>
      </c>
      <c r="N76" s="84" t="s">
        <v>390</v>
      </c>
      <c r="O76" s="144" t="s">
        <v>378</v>
      </c>
      <c r="P76" s="76" t="s">
        <v>378</v>
      </c>
      <c r="Q76" s="84" t="s">
        <v>390</v>
      </c>
      <c r="R76" s="84" t="s">
        <v>390</v>
      </c>
      <c r="S76" s="84" t="s">
        <v>390</v>
      </c>
      <c r="T76" s="84" t="s">
        <v>390</v>
      </c>
      <c r="U76" s="84" t="s">
        <v>390</v>
      </c>
      <c r="V76" s="82" t="s">
        <v>391</v>
      </c>
      <c r="W76" s="75" t="s">
        <v>13</v>
      </c>
      <c r="X76" s="83" t="s">
        <v>14</v>
      </c>
      <c r="Y76" s="83" t="s">
        <v>14</v>
      </c>
      <c r="Z76" s="83" t="s">
        <v>14</v>
      </c>
      <c r="AA76" s="84" t="s">
        <v>390</v>
      </c>
      <c r="AB76" s="84" t="s">
        <v>390</v>
      </c>
      <c r="AC76" s="83" t="s">
        <v>14</v>
      </c>
      <c r="AD76" s="75" t="s">
        <v>13</v>
      </c>
      <c r="AE76" s="84" t="s">
        <v>390</v>
      </c>
      <c r="AF76" s="84" t="s">
        <v>390</v>
      </c>
      <c r="AG76" s="84" t="s">
        <v>390</v>
      </c>
      <c r="AH76" s="83" t="s">
        <v>14</v>
      </c>
      <c r="AI76" s="83" t="s">
        <v>14</v>
      </c>
      <c r="AJ76" s="83" t="s">
        <v>14</v>
      </c>
      <c r="AK76" s="75" t="s">
        <v>13</v>
      </c>
      <c r="AL76" s="106">
        <f t="shared" si="5"/>
        <v>13</v>
      </c>
      <c r="AM76" s="106">
        <f t="shared" si="6"/>
        <v>2</v>
      </c>
      <c r="AN76" s="106">
        <f t="shared" si="7"/>
        <v>0</v>
      </c>
      <c r="AO76" s="106">
        <f t="shared" si="8"/>
        <v>15</v>
      </c>
      <c r="AP76" s="106">
        <f t="shared" si="9"/>
        <v>9</v>
      </c>
      <c r="AQ76" s="134">
        <v>50</v>
      </c>
      <c r="AR76" s="134">
        <v>1450</v>
      </c>
      <c r="AS76" s="134">
        <v>12</v>
      </c>
      <c r="AT76" s="135">
        <v>0.82758620689655171</v>
      </c>
      <c r="AU76" s="106" t="s">
        <v>427</v>
      </c>
      <c r="AV76" s="100"/>
      <c r="AW76" s="100"/>
    </row>
    <row r="77" spans="1:49" x14ac:dyDescent="0.25">
      <c r="A77" s="96">
        <v>77</v>
      </c>
      <c r="B77" s="148">
        <v>1735</v>
      </c>
      <c r="C77" s="32" t="s">
        <v>119</v>
      </c>
      <c r="D77" s="32" t="s">
        <v>83</v>
      </c>
      <c r="E77" s="32" t="s">
        <v>39</v>
      </c>
      <c r="F77" s="32" t="s">
        <v>89</v>
      </c>
      <c r="G77" s="60">
        <v>44391</v>
      </c>
      <c r="H77" s="77" t="s">
        <v>389</v>
      </c>
      <c r="I77" s="77" t="s">
        <v>13</v>
      </c>
      <c r="J77" s="85" t="s">
        <v>378</v>
      </c>
      <c r="K77" s="85" t="s">
        <v>378</v>
      </c>
      <c r="L77" s="79" t="s">
        <v>391</v>
      </c>
      <c r="M77" s="85" t="s">
        <v>378</v>
      </c>
      <c r="N77" s="85" t="s">
        <v>378</v>
      </c>
      <c r="O77" s="85" t="s">
        <v>378</v>
      </c>
      <c r="P77" s="77" t="s">
        <v>13</v>
      </c>
      <c r="Q77" s="85" t="s">
        <v>378</v>
      </c>
      <c r="R77" s="85" t="s">
        <v>378</v>
      </c>
      <c r="S77" s="85" t="s">
        <v>378</v>
      </c>
      <c r="T77" s="85" t="s">
        <v>378</v>
      </c>
      <c r="U77" s="85" t="s">
        <v>378</v>
      </c>
      <c r="V77" s="85" t="s">
        <v>378</v>
      </c>
      <c r="W77" s="77" t="s">
        <v>13</v>
      </c>
      <c r="X77" s="85" t="s">
        <v>378</v>
      </c>
      <c r="Y77" s="85" t="s">
        <v>378</v>
      </c>
      <c r="Z77" s="85" t="s">
        <v>378</v>
      </c>
      <c r="AA77" s="85" t="s">
        <v>378</v>
      </c>
      <c r="AB77" s="80" t="s">
        <v>14</v>
      </c>
      <c r="AC77" s="85" t="s">
        <v>378</v>
      </c>
      <c r="AD77" s="77" t="s">
        <v>13</v>
      </c>
      <c r="AE77" s="85" t="s">
        <v>378</v>
      </c>
      <c r="AF77" s="85" t="s">
        <v>378</v>
      </c>
      <c r="AG77" s="85" t="s">
        <v>378</v>
      </c>
      <c r="AH77" s="85" t="s">
        <v>378</v>
      </c>
      <c r="AI77" s="85" t="s">
        <v>378</v>
      </c>
      <c r="AJ77" s="85" t="s">
        <v>378</v>
      </c>
      <c r="AK77" s="77" t="s">
        <v>13</v>
      </c>
      <c r="AL77" s="106">
        <f t="shared" si="5"/>
        <v>0</v>
      </c>
      <c r="AM77" s="106">
        <f t="shared" si="6"/>
        <v>22</v>
      </c>
      <c r="AN77" s="106">
        <f t="shared" si="7"/>
        <v>0</v>
      </c>
      <c r="AO77" s="106">
        <f t="shared" si="8"/>
        <v>22</v>
      </c>
      <c r="AP77" s="106">
        <f t="shared" si="9"/>
        <v>1</v>
      </c>
      <c r="AQ77" s="134"/>
      <c r="AR77" s="134"/>
      <c r="AS77" s="134"/>
      <c r="AT77" s="135"/>
      <c r="AU77" s="106" t="s">
        <v>427</v>
      </c>
      <c r="AV77" s="100"/>
      <c r="AW77" s="100"/>
    </row>
    <row r="78" spans="1:49" x14ac:dyDescent="0.25">
      <c r="A78" s="96">
        <v>78</v>
      </c>
      <c r="B78" s="148">
        <v>1738</v>
      </c>
      <c r="C78" s="32" t="s">
        <v>120</v>
      </c>
      <c r="D78" s="32" t="s">
        <v>88</v>
      </c>
      <c r="E78" s="30" t="s">
        <v>28</v>
      </c>
      <c r="F78" s="32" t="s">
        <v>93</v>
      </c>
      <c r="G78" s="60">
        <v>44396</v>
      </c>
      <c r="H78" s="77" t="s">
        <v>389</v>
      </c>
      <c r="I78" s="77" t="s">
        <v>13</v>
      </c>
      <c r="J78" s="85" t="s">
        <v>378</v>
      </c>
      <c r="K78" s="85" t="s">
        <v>378</v>
      </c>
      <c r="L78" s="85" t="s">
        <v>378</v>
      </c>
      <c r="M78" s="85" t="s">
        <v>378</v>
      </c>
      <c r="N78" s="85" t="s">
        <v>378</v>
      </c>
      <c r="O78" s="79" t="s">
        <v>391</v>
      </c>
      <c r="P78" s="77" t="s">
        <v>13</v>
      </c>
      <c r="Q78" s="85" t="s">
        <v>378</v>
      </c>
      <c r="R78" s="85" t="s">
        <v>378</v>
      </c>
      <c r="S78" s="85" t="s">
        <v>378</v>
      </c>
      <c r="T78" s="85" t="s">
        <v>378</v>
      </c>
      <c r="U78" s="85" t="s">
        <v>378</v>
      </c>
      <c r="V78" s="85" t="s">
        <v>378</v>
      </c>
      <c r="W78" s="77" t="s">
        <v>13</v>
      </c>
      <c r="X78" s="85" t="s">
        <v>378</v>
      </c>
      <c r="Y78" s="85" t="s">
        <v>378</v>
      </c>
      <c r="Z78" s="85" t="s">
        <v>378</v>
      </c>
      <c r="AA78" s="85" t="s">
        <v>378</v>
      </c>
      <c r="AB78" s="85" t="s">
        <v>378</v>
      </c>
      <c r="AC78" s="85" t="s">
        <v>378</v>
      </c>
      <c r="AD78" s="85" t="s">
        <v>378</v>
      </c>
      <c r="AE78" s="85" t="s">
        <v>378</v>
      </c>
      <c r="AF78" s="85" t="s">
        <v>378</v>
      </c>
      <c r="AG78" s="85" t="s">
        <v>378</v>
      </c>
      <c r="AH78" s="85" t="s">
        <v>378</v>
      </c>
      <c r="AI78" s="85" t="s">
        <v>378</v>
      </c>
      <c r="AJ78" s="85" t="s">
        <v>378</v>
      </c>
      <c r="AK78" s="85" t="s">
        <v>378</v>
      </c>
      <c r="AL78" s="106">
        <f t="shared" si="5"/>
        <v>0</v>
      </c>
      <c r="AM78" s="106">
        <f t="shared" si="6"/>
        <v>25</v>
      </c>
      <c r="AN78" s="106">
        <f t="shared" si="7"/>
        <v>0</v>
      </c>
      <c r="AO78" s="106">
        <f t="shared" si="8"/>
        <v>25</v>
      </c>
      <c r="AP78" s="106">
        <f t="shared" si="9"/>
        <v>0</v>
      </c>
      <c r="AQ78" s="134">
        <v>50</v>
      </c>
      <c r="AR78" s="134">
        <v>1450</v>
      </c>
      <c r="AS78" s="134">
        <v>439</v>
      </c>
      <c r="AT78" s="135">
        <v>30.27586206896552</v>
      </c>
      <c r="AU78" s="106" t="s">
        <v>427</v>
      </c>
      <c r="AV78" s="100"/>
      <c r="AW78" s="100"/>
    </row>
    <row r="79" spans="1:49" x14ac:dyDescent="0.25">
      <c r="A79" s="96">
        <v>79</v>
      </c>
      <c r="B79" s="148">
        <v>1741</v>
      </c>
      <c r="C79" s="32" t="s">
        <v>121</v>
      </c>
      <c r="D79" s="32" t="s">
        <v>44</v>
      </c>
      <c r="E79" s="32" t="s">
        <v>39</v>
      </c>
      <c r="F79" s="32" t="s">
        <v>89</v>
      </c>
      <c r="G79" s="60">
        <v>44398</v>
      </c>
      <c r="H79" s="77" t="s">
        <v>389</v>
      </c>
      <c r="I79" s="77" t="s">
        <v>13</v>
      </c>
      <c r="J79" s="78" t="s">
        <v>390</v>
      </c>
      <c r="K79" s="78" t="s">
        <v>390</v>
      </c>
      <c r="L79" s="78" t="s">
        <v>390</v>
      </c>
      <c r="M79" s="78" t="s">
        <v>390</v>
      </c>
      <c r="N79" s="78" t="s">
        <v>390</v>
      </c>
      <c r="O79" s="78" t="s">
        <v>390</v>
      </c>
      <c r="P79" s="77" t="s">
        <v>13</v>
      </c>
      <c r="Q79" s="78" t="s">
        <v>390</v>
      </c>
      <c r="R79" s="78" t="s">
        <v>390</v>
      </c>
      <c r="S79" s="78" t="s">
        <v>390</v>
      </c>
      <c r="T79" s="78" t="s">
        <v>390</v>
      </c>
      <c r="U79" s="81" t="s">
        <v>392</v>
      </c>
      <c r="V79" s="78" t="s">
        <v>390</v>
      </c>
      <c r="W79" s="77" t="s">
        <v>13</v>
      </c>
      <c r="X79" s="78" t="s">
        <v>390</v>
      </c>
      <c r="Y79" s="78" t="s">
        <v>390</v>
      </c>
      <c r="Z79" s="78" t="s">
        <v>390</v>
      </c>
      <c r="AA79" s="78" t="s">
        <v>390</v>
      </c>
      <c r="AB79" s="81" t="s">
        <v>392</v>
      </c>
      <c r="AC79" s="80" t="s">
        <v>14</v>
      </c>
      <c r="AD79" s="77" t="s">
        <v>13</v>
      </c>
      <c r="AE79" s="80" t="s">
        <v>14</v>
      </c>
      <c r="AF79" s="78" t="s">
        <v>390</v>
      </c>
      <c r="AG79" s="81" t="s">
        <v>392</v>
      </c>
      <c r="AH79" s="79" t="s">
        <v>391</v>
      </c>
      <c r="AI79" s="78" t="s">
        <v>390</v>
      </c>
      <c r="AJ79" s="78" t="s">
        <v>390</v>
      </c>
      <c r="AK79" s="77" t="s">
        <v>13</v>
      </c>
      <c r="AL79" s="106">
        <f t="shared" si="5"/>
        <v>18</v>
      </c>
      <c r="AM79" s="106">
        <f t="shared" si="6"/>
        <v>0</v>
      </c>
      <c r="AN79" s="106">
        <f t="shared" si="7"/>
        <v>1.5</v>
      </c>
      <c r="AO79" s="106">
        <f t="shared" si="8"/>
        <v>19.5</v>
      </c>
      <c r="AP79" s="106">
        <f t="shared" si="9"/>
        <v>3.5</v>
      </c>
      <c r="AQ79" s="134">
        <v>80</v>
      </c>
      <c r="AR79" s="134">
        <v>2160</v>
      </c>
      <c r="AS79" s="134">
        <v>151</v>
      </c>
      <c r="AT79" s="135">
        <v>6.9907407407407405</v>
      </c>
      <c r="AU79" s="106" t="s">
        <v>427</v>
      </c>
      <c r="AV79" s="100"/>
      <c r="AW79" s="100"/>
    </row>
    <row r="80" spans="1:49" x14ac:dyDescent="0.25">
      <c r="A80" s="96">
        <v>80</v>
      </c>
      <c r="B80" s="148">
        <v>1745</v>
      </c>
      <c r="C80" s="32" t="s">
        <v>122</v>
      </c>
      <c r="D80" s="32" t="s">
        <v>80</v>
      </c>
      <c r="E80" s="32" t="s">
        <v>20</v>
      </c>
      <c r="F80" s="32" t="s">
        <v>118</v>
      </c>
      <c r="G80" s="60">
        <v>44403</v>
      </c>
      <c r="H80" s="77" t="s">
        <v>389</v>
      </c>
      <c r="I80" s="77" t="s">
        <v>13</v>
      </c>
      <c r="J80" s="78" t="s">
        <v>390</v>
      </c>
      <c r="K80" s="78" t="s">
        <v>390</v>
      </c>
      <c r="L80" s="78" t="s">
        <v>390</v>
      </c>
      <c r="M80" s="78" t="s">
        <v>390</v>
      </c>
      <c r="N80" s="78" t="s">
        <v>390</v>
      </c>
      <c r="O80" s="78" t="s">
        <v>390</v>
      </c>
      <c r="P80" s="77" t="s">
        <v>13</v>
      </c>
      <c r="Q80" s="78" t="s">
        <v>390</v>
      </c>
      <c r="R80" s="78" t="s">
        <v>390</v>
      </c>
      <c r="S80" s="78" t="s">
        <v>390</v>
      </c>
      <c r="T80" s="78" t="s">
        <v>390</v>
      </c>
      <c r="U80" s="136" t="s">
        <v>390</v>
      </c>
      <c r="V80" s="78" t="s">
        <v>390</v>
      </c>
      <c r="W80" s="77" t="s">
        <v>13</v>
      </c>
      <c r="X80" s="78" t="s">
        <v>390</v>
      </c>
      <c r="Y80" s="79" t="s">
        <v>391</v>
      </c>
      <c r="Z80" s="78" t="s">
        <v>390</v>
      </c>
      <c r="AA80" s="78" t="s">
        <v>390</v>
      </c>
      <c r="AB80" s="78" t="s">
        <v>390</v>
      </c>
      <c r="AC80" s="78" t="s">
        <v>390</v>
      </c>
      <c r="AD80" s="77" t="s">
        <v>13</v>
      </c>
      <c r="AE80" s="78" t="s">
        <v>390</v>
      </c>
      <c r="AF80" s="78" t="s">
        <v>390</v>
      </c>
      <c r="AG80" s="78" t="s">
        <v>390</v>
      </c>
      <c r="AH80" s="78" t="s">
        <v>390</v>
      </c>
      <c r="AI80" s="78" t="s">
        <v>390</v>
      </c>
      <c r="AJ80" s="78" t="s">
        <v>390</v>
      </c>
      <c r="AK80" s="77" t="s">
        <v>13</v>
      </c>
      <c r="AL80" s="106">
        <f t="shared" si="5"/>
        <v>23</v>
      </c>
      <c r="AM80" s="106">
        <f t="shared" si="6"/>
        <v>0</v>
      </c>
      <c r="AN80" s="106">
        <f t="shared" si="7"/>
        <v>0</v>
      </c>
      <c r="AO80" s="106">
        <f t="shared" si="8"/>
        <v>23</v>
      </c>
      <c r="AP80" s="106">
        <f t="shared" si="9"/>
        <v>0</v>
      </c>
      <c r="AQ80" s="134">
        <v>50</v>
      </c>
      <c r="AR80" s="134">
        <v>1450</v>
      </c>
      <c r="AS80" s="134">
        <v>76</v>
      </c>
      <c r="AT80" s="135">
        <v>5.2413793103448274</v>
      </c>
      <c r="AU80" s="106" t="s">
        <v>427</v>
      </c>
      <c r="AV80" s="100"/>
      <c r="AW80" s="100"/>
    </row>
    <row r="81" spans="1:49" x14ac:dyDescent="0.25">
      <c r="A81" s="96">
        <v>81</v>
      </c>
      <c r="B81" s="148">
        <v>1754</v>
      </c>
      <c r="C81" s="32" t="s">
        <v>123</v>
      </c>
      <c r="D81" s="32" t="s">
        <v>23</v>
      </c>
      <c r="E81" s="32" t="s">
        <v>20</v>
      </c>
      <c r="F81" s="32" t="s">
        <v>86</v>
      </c>
      <c r="G81" s="67">
        <v>44413</v>
      </c>
      <c r="H81" s="77" t="s">
        <v>389</v>
      </c>
      <c r="I81" s="77" t="s">
        <v>13</v>
      </c>
      <c r="J81" s="85" t="s">
        <v>378</v>
      </c>
      <c r="K81" s="85" t="s">
        <v>378</v>
      </c>
      <c r="L81" s="85" t="s">
        <v>378</v>
      </c>
      <c r="M81" s="85" t="s">
        <v>378</v>
      </c>
      <c r="N81" s="85" t="s">
        <v>378</v>
      </c>
      <c r="O81" s="85" t="s">
        <v>378</v>
      </c>
      <c r="P81" s="77" t="s">
        <v>13</v>
      </c>
      <c r="Q81" s="85" t="s">
        <v>378</v>
      </c>
      <c r="R81" s="85" t="s">
        <v>378</v>
      </c>
      <c r="S81" s="85" t="s">
        <v>378</v>
      </c>
      <c r="T81" s="85" t="s">
        <v>378</v>
      </c>
      <c r="U81" s="79" t="s">
        <v>391</v>
      </c>
      <c r="V81" s="85" t="s">
        <v>378</v>
      </c>
      <c r="W81" s="77" t="s">
        <v>13</v>
      </c>
      <c r="X81" s="85" t="s">
        <v>378</v>
      </c>
      <c r="Y81" s="85" t="s">
        <v>378</v>
      </c>
      <c r="Z81" s="85" t="s">
        <v>378</v>
      </c>
      <c r="AA81" s="85" t="s">
        <v>378</v>
      </c>
      <c r="AB81" s="85" t="s">
        <v>378</v>
      </c>
      <c r="AC81" s="85" t="s">
        <v>378</v>
      </c>
      <c r="AD81" s="77" t="s">
        <v>13</v>
      </c>
      <c r="AE81" s="85" t="s">
        <v>378</v>
      </c>
      <c r="AF81" s="85" t="s">
        <v>378</v>
      </c>
      <c r="AG81" s="85" t="s">
        <v>378</v>
      </c>
      <c r="AH81" s="85" t="s">
        <v>378</v>
      </c>
      <c r="AI81" s="85" t="s">
        <v>378</v>
      </c>
      <c r="AJ81" s="85" t="s">
        <v>378</v>
      </c>
      <c r="AK81" s="77" t="s">
        <v>13</v>
      </c>
      <c r="AL81" s="106">
        <f t="shared" si="5"/>
        <v>0</v>
      </c>
      <c r="AM81" s="106">
        <f t="shared" si="6"/>
        <v>23</v>
      </c>
      <c r="AN81" s="106">
        <f t="shared" si="7"/>
        <v>0</v>
      </c>
      <c r="AO81" s="106">
        <f t="shared" si="8"/>
        <v>23</v>
      </c>
      <c r="AP81" s="106">
        <f t="shared" si="9"/>
        <v>0</v>
      </c>
      <c r="AQ81" s="134">
        <v>60</v>
      </c>
      <c r="AR81" s="134">
        <v>1620</v>
      </c>
      <c r="AS81" s="134">
        <v>1224</v>
      </c>
      <c r="AT81" s="135">
        <v>75.555555555555557</v>
      </c>
      <c r="AU81" s="106" t="s">
        <v>427</v>
      </c>
      <c r="AV81" s="100"/>
      <c r="AW81" s="100"/>
    </row>
    <row r="82" spans="1:49" x14ac:dyDescent="0.25">
      <c r="A82" s="96">
        <v>82</v>
      </c>
      <c r="B82" s="148">
        <v>1761</v>
      </c>
      <c r="C82" s="32" t="s">
        <v>9</v>
      </c>
      <c r="D82" s="32" t="s">
        <v>19</v>
      </c>
      <c r="E82" s="32" t="s">
        <v>124</v>
      </c>
      <c r="F82" s="32" t="s">
        <v>125</v>
      </c>
      <c r="G82" s="60">
        <v>44424</v>
      </c>
      <c r="H82" s="75" t="s">
        <v>12</v>
      </c>
      <c r="I82" s="75" t="s">
        <v>13</v>
      </c>
      <c r="J82" s="84" t="s">
        <v>390</v>
      </c>
      <c r="K82" s="84" t="s">
        <v>390</v>
      </c>
      <c r="L82" s="84" t="s">
        <v>390</v>
      </c>
      <c r="M82" s="84" t="s">
        <v>390</v>
      </c>
      <c r="N82" s="84" t="s">
        <v>390</v>
      </c>
      <c r="O82" s="140" t="s">
        <v>392</v>
      </c>
      <c r="P82" s="75" t="s">
        <v>13</v>
      </c>
      <c r="Q82" s="84" t="s">
        <v>390</v>
      </c>
      <c r="R82" s="84" t="s">
        <v>390</v>
      </c>
      <c r="S82" s="84" t="s">
        <v>390</v>
      </c>
      <c r="T82" s="84" t="s">
        <v>390</v>
      </c>
      <c r="U82" s="84" t="s">
        <v>390</v>
      </c>
      <c r="V82" s="84" t="s">
        <v>390</v>
      </c>
      <c r="W82" s="75" t="s">
        <v>13</v>
      </c>
      <c r="X82" s="84" t="s">
        <v>390</v>
      </c>
      <c r="Y82" s="84" t="s">
        <v>390</v>
      </c>
      <c r="Z82" s="84" t="s">
        <v>390</v>
      </c>
      <c r="AA82" s="84" t="s">
        <v>390</v>
      </c>
      <c r="AB82" s="84" t="s">
        <v>390</v>
      </c>
      <c r="AC82" s="82" t="s">
        <v>391</v>
      </c>
      <c r="AD82" s="75" t="s">
        <v>13</v>
      </c>
      <c r="AE82" s="84" t="s">
        <v>390</v>
      </c>
      <c r="AF82" s="84" t="s">
        <v>390</v>
      </c>
      <c r="AG82" s="84" t="s">
        <v>390</v>
      </c>
      <c r="AH82" s="84" t="s">
        <v>390</v>
      </c>
      <c r="AI82" s="84" t="s">
        <v>390</v>
      </c>
      <c r="AJ82" s="84" t="s">
        <v>390</v>
      </c>
      <c r="AK82" s="75" t="s">
        <v>13</v>
      </c>
      <c r="AL82" s="106">
        <f t="shared" si="5"/>
        <v>22</v>
      </c>
      <c r="AM82" s="106">
        <f t="shared" si="6"/>
        <v>0</v>
      </c>
      <c r="AN82" s="106">
        <f t="shared" si="7"/>
        <v>0.5</v>
      </c>
      <c r="AO82" s="106">
        <f t="shared" si="8"/>
        <v>22.5</v>
      </c>
      <c r="AP82" s="106">
        <f t="shared" si="9"/>
        <v>0.5</v>
      </c>
      <c r="AQ82" s="134">
        <v>50</v>
      </c>
      <c r="AR82" s="134">
        <v>1450</v>
      </c>
      <c r="AS82" s="134">
        <v>1</v>
      </c>
      <c r="AT82" s="135">
        <v>6.8965517241379309E-2</v>
      </c>
      <c r="AU82" s="106" t="s">
        <v>427</v>
      </c>
      <c r="AV82" s="100"/>
      <c r="AW82" s="100"/>
    </row>
    <row r="83" spans="1:49" x14ac:dyDescent="0.25">
      <c r="A83" s="96">
        <v>83</v>
      </c>
      <c r="B83" s="148">
        <v>1768</v>
      </c>
      <c r="C83" s="32" t="s">
        <v>126</v>
      </c>
      <c r="D83" s="32" t="s">
        <v>23</v>
      </c>
      <c r="E83" s="32" t="s">
        <v>39</v>
      </c>
      <c r="F83" s="32" t="s">
        <v>89</v>
      </c>
      <c r="G83" s="67">
        <v>44441</v>
      </c>
      <c r="H83" s="77" t="s">
        <v>389</v>
      </c>
      <c r="I83" s="77" t="s">
        <v>13</v>
      </c>
      <c r="J83" s="81" t="s">
        <v>392</v>
      </c>
      <c r="K83" s="78" t="s">
        <v>390</v>
      </c>
      <c r="L83" s="80" t="s">
        <v>14</v>
      </c>
      <c r="M83" s="78" t="s">
        <v>390</v>
      </c>
      <c r="N83" s="78" t="s">
        <v>390</v>
      </c>
      <c r="O83" s="78" t="s">
        <v>390</v>
      </c>
      <c r="P83" s="77" t="s">
        <v>13</v>
      </c>
      <c r="Q83" s="78" t="s">
        <v>390</v>
      </c>
      <c r="R83" s="80" t="s">
        <v>14</v>
      </c>
      <c r="S83" s="79" t="s">
        <v>391</v>
      </c>
      <c r="T83" s="78" t="s">
        <v>390</v>
      </c>
      <c r="U83" s="78" t="s">
        <v>390</v>
      </c>
      <c r="V83" s="78" t="s">
        <v>390</v>
      </c>
      <c r="W83" s="78" t="s">
        <v>390</v>
      </c>
      <c r="X83" s="78" t="s">
        <v>390</v>
      </c>
      <c r="Y83" s="78" t="s">
        <v>390</v>
      </c>
      <c r="Z83" s="78" t="s">
        <v>390</v>
      </c>
      <c r="AA83" s="78" t="s">
        <v>390</v>
      </c>
      <c r="AB83" s="78" t="s">
        <v>390</v>
      </c>
      <c r="AC83" s="78" t="s">
        <v>390</v>
      </c>
      <c r="AD83" s="77" t="s">
        <v>13</v>
      </c>
      <c r="AE83" s="78" t="s">
        <v>390</v>
      </c>
      <c r="AF83" s="78" t="s">
        <v>390</v>
      </c>
      <c r="AG83" s="78" t="s">
        <v>390</v>
      </c>
      <c r="AH83" s="78" t="s">
        <v>390</v>
      </c>
      <c r="AI83" s="78" t="s">
        <v>390</v>
      </c>
      <c r="AJ83" s="78" t="s">
        <v>390</v>
      </c>
      <c r="AK83" s="78" t="s">
        <v>390</v>
      </c>
      <c r="AL83" s="106">
        <f t="shared" si="5"/>
        <v>22</v>
      </c>
      <c r="AM83" s="106">
        <f t="shared" si="6"/>
        <v>0</v>
      </c>
      <c r="AN83" s="106">
        <f t="shared" si="7"/>
        <v>0.5</v>
      </c>
      <c r="AO83" s="106">
        <f t="shared" si="8"/>
        <v>22.5</v>
      </c>
      <c r="AP83" s="106">
        <f t="shared" si="9"/>
        <v>2.5</v>
      </c>
      <c r="AQ83" s="134">
        <v>50</v>
      </c>
      <c r="AR83" s="134">
        <v>1450</v>
      </c>
      <c r="AS83" s="134">
        <v>26</v>
      </c>
      <c r="AT83" s="135">
        <v>1.7931034482758619</v>
      </c>
      <c r="AU83" s="106" t="s">
        <v>427</v>
      </c>
      <c r="AV83" s="100"/>
      <c r="AW83" s="100"/>
    </row>
    <row r="84" spans="1:49" x14ac:dyDescent="0.25">
      <c r="A84" s="96">
        <v>84</v>
      </c>
      <c r="B84" s="148">
        <v>1780</v>
      </c>
      <c r="C84" s="32" t="s">
        <v>127</v>
      </c>
      <c r="D84" s="32" t="s">
        <v>88</v>
      </c>
      <c r="E84" s="32" t="s">
        <v>45</v>
      </c>
      <c r="F84" s="32" t="s">
        <v>89</v>
      </c>
      <c r="G84" s="60">
        <v>44450</v>
      </c>
      <c r="H84" s="77" t="s">
        <v>389</v>
      </c>
      <c r="I84" s="77" t="s">
        <v>13</v>
      </c>
      <c r="J84" s="78" t="s">
        <v>390</v>
      </c>
      <c r="K84" s="78" t="s">
        <v>390</v>
      </c>
      <c r="L84" s="78" t="s">
        <v>390</v>
      </c>
      <c r="M84" s="78" t="s">
        <v>390</v>
      </c>
      <c r="N84" s="78" t="s">
        <v>390</v>
      </c>
      <c r="O84" s="87" t="s">
        <v>391</v>
      </c>
      <c r="P84" s="77" t="s">
        <v>13</v>
      </c>
      <c r="Q84" s="78" t="s">
        <v>390</v>
      </c>
      <c r="R84" s="78" t="s">
        <v>390</v>
      </c>
      <c r="S84" s="78" t="s">
        <v>390</v>
      </c>
      <c r="T84" s="85" t="s">
        <v>378</v>
      </c>
      <c r="U84" s="85" t="s">
        <v>378</v>
      </c>
      <c r="V84" s="78" t="s">
        <v>390</v>
      </c>
      <c r="W84" s="77" t="s">
        <v>13</v>
      </c>
      <c r="X84" s="78" t="s">
        <v>390</v>
      </c>
      <c r="Y84" s="78" t="s">
        <v>390</v>
      </c>
      <c r="Z84" s="85" t="s">
        <v>378</v>
      </c>
      <c r="AA84" s="78" t="s">
        <v>390</v>
      </c>
      <c r="AB84" s="78" t="s">
        <v>390</v>
      </c>
      <c r="AC84" s="85" t="s">
        <v>378</v>
      </c>
      <c r="AD84" s="77" t="s">
        <v>13</v>
      </c>
      <c r="AE84" s="78" t="s">
        <v>390</v>
      </c>
      <c r="AF84" s="78" t="s">
        <v>390</v>
      </c>
      <c r="AG84" s="78" t="s">
        <v>390</v>
      </c>
      <c r="AH84" s="78" t="s">
        <v>390</v>
      </c>
      <c r="AI84" s="78" t="s">
        <v>390</v>
      </c>
      <c r="AJ84" s="81" t="s">
        <v>392</v>
      </c>
      <c r="AK84" s="77" t="s">
        <v>13</v>
      </c>
      <c r="AL84" s="106">
        <f t="shared" si="5"/>
        <v>18</v>
      </c>
      <c r="AM84" s="106">
        <f t="shared" si="6"/>
        <v>4</v>
      </c>
      <c r="AN84" s="106">
        <f t="shared" si="7"/>
        <v>0.5</v>
      </c>
      <c r="AO84" s="106">
        <f t="shared" si="8"/>
        <v>22.5</v>
      </c>
      <c r="AP84" s="106">
        <f t="shared" si="9"/>
        <v>0.5</v>
      </c>
      <c r="AQ84" s="134"/>
      <c r="AR84" s="134"/>
      <c r="AS84" s="134"/>
      <c r="AT84" s="135"/>
      <c r="AU84" s="106" t="s">
        <v>427</v>
      </c>
      <c r="AV84" s="100"/>
      <c r="AW84" s="100"/>
    </row>
    <row r="85" spans="1:49" x14ac:dyDescent="0.25">
      <c r="A85" s="96">
        <v>85</v>
      </c>
      <c r="B85" s="148">
        <v>1786</v>
      </c>
      <c r="C85" s="32" t="s">
        <v>128</v>
      </c>
      <c r="D85" s="32" t="s">
        <v>88</v>
      </c>
      <c r="E85" s="32" t="s">
        <v>45</v>
      </c>
      <c r="F85" s="32" t="s">
        <v>89</v>
      </c>
      <c r="G85" s="60">
        <v>44452</v>
      </c>
      <c r="H85" s="77" t="s">
        <v>389</v>
      </c>
      <c r="I85" s="77" t="s">
        <v>13</v>
      </c>
      <c r="J85" s="78" t="s">
        <v>390</v>
      </c>
      <c r="K85" s="78" t="s">
        <v>390</v>
      </c>
      <c r="L85" s="80" t="s">
        <v>14</v>
      </c>
      <c r="M85" s="78" t="s">
        <v>390</v>
      </c>
      <c r="N85" s="78" t="s">
        <v>390</v>
      </c>
      <c r="O85" s="141" t="s">
        <v>391</v>
      </c>
      <c r="P85" s="77" t="s">
        <v>13</v>
      </c>
      <c r="Q85" s="78" t="s">
        <v>390</v>
      </c>
      <c r="R85" s="78" t="s">
        <v>390</v>
      </c>
      <c r="S85" s="78" t="s">
        <v>390</v>
      </c>
      <c r="T85" s="78" t="s">
        <v>390</v>
      </c>
      <c r="U85" s="78" t="s">
        <v>390</v>
      </c>
      <c r="V85" s="78" t="s">
        <v>390</v>
      </c>
      <c r="W85" s="77" t="s">
        <v>13</v>
      </c>
      <c r="X85" s="78" t="s">
        <v>390</v>
      </c>
      <c r="Y85" s="78" t="s">
        <v>390</v>
      </c>
      <c r="Z85" s="78" t="s">
        <v>390</v>
      </c>
      <c r="AA85" s="78" t="s">
        <v>390</v>
      </c>
      <c r="AB85" s="78" t="s">
        <v>390</v>
      </c>
      <c r="AC85" s="78" t="s">
        <v>390</v>
      </c>
      <c r="AD85" s="77" t="s">
        <v>13</v>
      </c>
      <c r="AE85" s="78" t="s">
        <v>390</v>
      </c>
      <c r="AF85" s="78" t="s">
        <v>390</v>
      </c>
      <c r="AG85" s="78" t="s">
        <v>390</v>
      </c>
      <c r="AH85" s="78" t="s">
        <v>390</v>
      </c>
      <c r="AI85" s="78" t="s">
        <v>390</v>
      </c>
      <c r="AJ85" s="78" t="s">
        <v>390</v>
      </c>
      <c r="AK85" s="77" t="s">
        <v>13</v>
      </c>
      <c r="AL85" s="106">
        <f t="shared" si="5"/>
        <v>22</v>
      </c>
      <c r="AM85" s="106">
        <f t="shared" si="6"/>
        <v>0</v>
      </c>
      <c r="AN85" s="106">
        <f t="shared" si="7"/>
        <v>0</v>
      </c>
      <c r="AO85" s="106">
        <f t="shared" si="8"/>
        <v>22</v>
      </c>
      <c r="AP85" s="106">
        <f t="shared" si="9"/>
        <v>1</v>
      </c>
      <c r="AQ85" s="134"/>
      <c r="AR85" s="134"/>
      <c r="AS85" s="134"/>
      <c r="AT85" s="135"/>
      <c r="AU85" s="106" t="s">
        <v>427</v>
      </c>
      <c r="AV85" s="100"/>
      <c r="AW85" s="100"/>
    </row>
    <row r="86" spans="1:49" x14ac:dyDescent="0.25">
      <c r="A86" s="96">
        <v>86</v>
      </c>
      <c r="B86" s="148">
        <v>1792</v>
      </c>
      <c r="C86" s="98" t="s">
        <v>129</v>
      </c>
      <c r="D86" s="32" t="s">
        <v>77</v>
      </c>
      <c r="E86" s="32" t="s">
        <v>130</v>
      </c>
      <c r="F86" s="32" t="s">
        <v>131</v>
      </c>
      <c r="G86" s="60">
        <v>44466</v>
      </c>
      <c r="H86" s="75" t="s">
        <v>12</v>
      </c>
      <c r="I86" s="75" t="s">
        <v>13</v>
      </c>
      <c r="J86" s="76" t="s">
        <v>378</v>
      </c>
      <c r="K86" s="76" t="s">
        <v>378</v>
      </c>
      <c r="L86" s="76" t="s">
        <v>378</v>
      </c>
      <c r="M86" s="76" t="s">
        <v>378</v>
      </c>
      <c r="N86" s="83" t="s">
        <v>14</v>
      </c>
      <c r="O86" s="83" t="s">
        <v>14</v>
      </c>
      <c r="P86" s="75" t="s">
        <v>13</v>
      </c>
      <c r="Q86" s="83" t="s">
        <v>14</v>
      </c>
      <c r="R86" s="83" t="s">
        <v>14</v>
      </c>
      <c r="S86" s="83" t="s">
        <v>14</v>
      </c>
      <c r="T86" s="83" t="s">
        <v>14</v>
      </c>
      <c r="U86" s="83" t="s">
        <v>14</v>
      </c>
      <c r="V86" s="83" t="s">
        <v>14</v>
      </c>
      <c r="W86" s="77" t="s">
        <v>13</v>
      </c>
      <c r="X86" s="83" t="s">
        <v>14</v>
      </c>
      <c r="Y86" s="83" t="s">
        <v>14</v>
      </c>
      <c r="Z86" s="83" t="s">
        <v>14</v>
      </c>
      <c r="AA86" s="83" t="s">
        <v>14</v>
      </c>
      <c r="AB86" s="83" t="s">
        <v>14</v>
      </c>
      <c r="AC86" s="83" t="s">
        <v>14</v>
      </c>
      <c r="AD86" s="83" t="s">
        <v>14</v>
      </c>
      <c r="AE86" s="83" t="s">
        <v>14</v>
      </c>
      <c r="AF86" s="83" t="s">
        <v>14</v>
      </c>
      <c r="AG86" s="83" t="s">
        <v>14</v>
      </c>
      <c r="AH86" s="83" t="s">
        <v>14</v>
      </c>
      <c r="AI86" s="83" t="s">
        <v>14</v>
      </c>
      <c r="AJ86" s="145" t="s">
        <v>14</v>
      </c>
      <c r="AK86" s="83" t="s">
        <v>14</v>
      </c>
      <c r="AL86" s="106">
        <f t="shared" si="5"/>
        <v>0</v>
      </c>
      <c r="AM86" s="106">
        <f t="shared" si="6"/>
        <v>4</v>
      </c>
      <c r="AN86" s="106">
        <f t="shared" si="7"/>
        <v>0</v>
      </c>
      <c r="AO86" s="106">
        <f t="shared" si="8"/>
        <v>4</v>
      </c>
      <c r="AP86" s="106">
        <f t="shared" si="9"/>
        <v>22</v>
      </c>
      <c r="AQ86" s="134"/>
      <c r="AR86" s="134"/>
      <c r="AS86" s="134"/>
      <c r="AT86" s="135"/>
      <c r="AU86" s="106" t="s">
        <v>427</v>
      </c>
      <c r="AV86" s="100"/>
      <c r="AW86" s="100"/>
    </row>
    <row r="87" spans="1:49" x14ac:dyDescent="0.25">
      <c r="A87" s="96">
        <v>87</v>
      </c>
      <c r="B87" s="148">
        <v>1795</v>
      </c>
      <c r="C87" s="32" t="s">
        <v>132</v>
      </c>
      <c r="D87" s="32" t="s">
        <v>80</v>
      </c>
      <c r="E87" s="32" t="s">
        <v>39</v>
      </c>
      <c r="F87" s="32" t="s">
        <v>89</v>
      </c>
      <c r="G87" s="67">
        <v>44470</v>
      </c>
      <c r="H87" s="77" t="s">
        <v>389</v>
      </c>
      <c r="I87" s="77" t="s">
        <v>13</v>
      </c>
      <c r="J87" s="78" t="s">
        <v>390</v>
      </c>
      <c r="K87" s="78" t="s">
        <v>390</v>
      </c>
      <c r="L87" s="78" t="s">
        <v>390</v>
      </c>
      <c r="M87" s="80" t="s">
        <v>14</v>
      </c>
      <c r="N87" s="78" t="s">
        <v>390</v>
      </c>
      <c r="O87" s="78" t="s">
        <v>390</v>
      </c>
      <c r="P87" s="77" t="s">
        <v>13</v>
      </c>
      <c r="Q87" s="78" t="s">
        <v>390</v>
      </c>
      <c r="R87" s="78" t="s">
        <v>390</v>
      </c>
      <c r="S87" s="81" t="s">
        <v>392</v>
      </c>
      <c r="T87" s="78" t="s">
        <v>390</v>
      </c>
      <c r="U87" s="81" t="s">
        <v>392</v>
      </c>
      <c r="V87" s="137" t="s">
        <v>391</v>
      </c>
      <c r="W87" s="77" t="s">
        <v>13</v>
      </c>
      <c r="X87" s="81" t="s">
        <v>392</v>
      </c>
      <c r="Y87" s="78" t="s">
        <v>390</v>
      </c>
      <c r="Z87" s="78" t="s">
        <v>390</v>
      </c>
      <c r="AA87" s="81" t="s">
        <v>392</v>
      </c>
      <c r="AB87" s="78" t="s">
        <v>390</v>
      </c>
      <c r="AC87" s="78" t="s">
        <v>390</v>
      </c>
      <c r="AD87" s="77" t="s">
        <v>13</v>
      </c>
      <c r="AE87" s="78" t="s">
        <v>390</v>
      </c>
      <c r="AF87" s="78" t="s">
        <v>390</v>
      </c>
      <c r="AG87" s="78" t="s">
        <v>390</v>
      </c>
      <c r="AH87" s="80" t="s">
        <v>14</v>
      </c>
      <c r="AI87" s="78" t="s">
        <v>390</v>
      </c>
      <c r="AJ87" s="78" t="s">
        <v>390</v>
      </c>
      <c r="AK87" s="77" t="s">
        <v>13</v>
      </c>
      <c r="AL87" s="106">
        <f t="shared" si="5"/>
        <v>17</v>
      </c>
      <c r="AM87" s="106">
        <f t="shared" si="6"/>
        <v>0</v>
      </c>
      <c r="AN87" s="106">
        <f t="shared" si="7"/>
        <v>2</v>
      </c>
      <c r="AO87" s="106">
        <f t="shared" si="8"/>
        <v>19</v>
      </c>
      <c r="AP87" s="106">
        <f t="shared" si="9"/>
        <v>4</v>
      </c>
      <c r="AQ87" s="134">
        <v>50</v>
      </c>
      <c r="AR87" s="134">
        <v>1450</v>
      </c>
      <c r="AS87" s="134">
        <v>30</v>
      </c>
      <c r="AT87" s="135">
        <v>2.0689655172413794</v>
      </c>
      <c r="AU87" s="106" t="s">
        <v>427</v>
      </c>
      <c r="AV87" s="100"/>
      <c r="AW87" s="100"/>
    </row>
    <row r="88" spans="1:49" x14ac:dyDescent="0.25">
      <c r="A88" s="96">
        <v>88</v>
      </c>
      <c r="B88" s="148">
        <v>1814</v>
      </c>
      <c r="C88" s="32" t="s">
        <v>133</v>
      </c>
      <c r="D88" s="32" t="s">
        <v>77</v>
      </c>
      <c r="E88" s="32" t="s">
        <v>124</v>
      </c>
      <c r="F88" s="32" t="s">
        <v>131</v>
      </c>
      <c r="G88" s="67">
        <v>44505</v>
      </c>
      <c r="H88" s="75" t="s">
        <v>12</v>
      </c>
      <c r="I88" s="75" t="s">
        <v>13</v>
      </c>
      <c r="J88" s="84" t="s">
        <v>390</v>
      </c>
      <c r="K88" s="84" t="s">
        <v>390</v>
      </c>
      <c r="L88" s="84" t="s">
        <v>390</v>
      </c>
      <c r="M88" s="84" t="s">
        <v>390</v>
      </c>
      <c r="N88" s="84" t="s">
        <v>390</v>
      </c>
      <c r="O88" s="84" t="s">
        <v>390</v>
      </c>
      <c r="P88" s="75" t="s">
        <v>13</v>
      </c>
      <c r="Q88" s="84" t="s">
        <v>390</v>
      </c>
      <c r="R88" s="84" t="s">
        <v>390</v>
      </c>
      <c r="S88" s="84" t="s">
        <v>390</v>
      </c>
      <c r="T88" s="84" t="s">
        <v>390</v>
      </c>
      <c r="U88" s="84" t="s">
        <v>390</v>
      </c>
      <c r="V88" s="84" t="s">
        <v>390</v>
      </c>
      <c r="W88" s="75" t="s">
        <v>13</v>
      </c>
      <c r="X88" s="84" t="s">
        <v>390</v>
      </c>
      <c r="Y88" s="84" t="s">
        <v>390</v>
      </c>
      <c r="Z88" s="84" t="s">
        <v>390</v>
      </c>
      <c r="AA88" s="84" t="s">
        <v>390</v>
      </c>
      <c r="AB88" s="84" t="s">
        <v>390</v>
      </c>
      <c r="AC88" s="82" t="s">
        <v>391</v>
      </c>
      <c r="AD88" s="75" t="s">
        <v>13</v>
      </c>
      <c r="AE88" s="84" t="s">
        <v>390</v>
      </c>
      <c r="AF88" s="84" t="s">
        <v>390</v>
      </c>
      <c r="AG88" s="84" t="s">
        <v>390</v>
      </c>
      <c r="AH88" s="84" t="s">
        <v>390</v>
      </c>
      <c r="AI88" s="84" t="s">
        <v>390</v>
      </c>
      <c r="AJ88" s="84" t="s">
        <v>390</v>
      </c>
      <c r="AK88" s="75" t="s">
        <v>13</v>
      </c>
      <c r="AL88" s="106">
        <f t="shared" si="5"/>
        <v>23</v>
      </c>
      <c r="AM88" s="106">
        <f t="shared" si="6"/>
        <v>0</v>
      </c>
      <c r="AN88" s="106">
        <f t="shared" si="7"/>
        <v>0</v>
      </c>
      <c r="AO88" s="106">
        <f t="shared" si="8"/>
        <v>23</v>
      </c>
      <c r="AP88" s="106">
        <f t="shared" si="9"/>
        <v>0</v>
      </c>
      <c r="AQ88" s="134"/>
      <c r="AR88" s="134"/>
      <c r="AS88" s="134"/>
      <c r="AT88" s="135"/>
      <c r="AU88" s="106" t="s">
        <v>427</v>
      </c>
      <c r="AV88" s="100"/>
      <c r="AW88" s="100"/>
    </row>
    <row r="89" spans="1:49" x14ac:dyDescent="0.25">
      <c r="A89" s="96">
        <v>89</v>
      </c>
      <c r="B89" s="148">
        <v>1823</v>
      </c>
      <c r="C89" s="32" t="s">
        <v>134</v>
      </c>
      <c r="D89" s="32" t="s">
        <v>80</v>
      </c>
      <c r="E89" s="32" t="s">
        <v>45</v>
      </c>
      <c r="F89" s="32" t="s">
        <v>86</v>
      </c>
      <c r="G89" s="60">
        <v>44526</v>
      </c>
      <c r="H89" s="77" t="s">
        <v>389</v>
      </c>
      <c r="I89" s="77" t="s">
        <v>13</v>
      </c>
      <c r="J89" s="78" t="s">
        <v>390</v>
      </c>
      <c r="K89" s="78" t="s">
        <v>390</v>
      </c>
      <c r="L89" s="78" t="s">
        <v>390</v>
      </c>
      <c r="M89" s="78" t="s">
        <v>390</v>
      </c>
      <c r="N89" s="78" t="s">
        <v>390</v>
      </c>
      <c r="O89" s="78" t="s">
        <v>390</v>
      </c>
      <c r="P89" s="77" t="s">
        <v>13</v>
      </c>
      <c r="Q89" s="78" t="s">
        <v>390</v>
      </c>
      <c r="R89" s="78" t="s">
        <v>390</v>
      </c>
      <c r="S89" s="78" t="s">
        <v>390</v>
      </c>
      <c r="T89" s="78" t="s">
        <v>390</v>
      </c>
      <c r="U89" s="78" t="s">
        <v>390</v>
      </c>
      <c r="V89" s="141" t="s">
        <v>391</v>
      </c>
      <c r="W89" s="77" t="s">
        <v>13</v>
      </c>
      <c r="X89" s="78" t="s">
        <v>390</v>
      </c>
      <c r="Y89" s="78" t="s">
        <v>390</v>
      </c>
      <c r="Z89" s="78" t="s">
        <v>390</v>
      </c>
      <c r="AA89" s="78" t="s">
        <v>390</v>
      </c>
      <c r="AB89" s="78" t="s">
        <v>390</v>
      </c>
      <c r="AC89" s="78" t="s">
        <v>390</v>
      </c>
      <c r="AD89" s="77" t="s">
        <v>13</v>
      </c>
      <c r="AE89" s="78" t="s">
        <v>390</v>
      </c>
      <c r="AF89" s="78" t="s">
        <v>390</v>
      </c>
      <c r="AG89" s="78" t="s">
        <v>390</v>
      </c>
      <c r="AH89" s="78" t="s">
        <v>390</v>
      </c>
      <c r="AI89" s="78" t="s">
        <v>390</v>
      </c>
      <c r="AJ89" s="78" t="s">
        <v>390</v>
      </c>
      <c r="AK89" s="77" t="s">
        <v>13</v>
      </c>
      <c r="AL89" s="106">
        <f t="shared" si="5"/>
        <v>23</v>
      </c>
      <c r="AM89" s="106">
        <f t="shared" si="6"/>
        <v>0</v>
      </c>
      <c r="AN89" s="106">
        <f t="shared" si="7"/>
        <v>0</v>
      </c>
      <c r="AO89" s="106">
        <f t="shared" si="8"/>
        <v>23</v>
      </c>
      <c r="AP89" s="106">
        <f t="shared" si="9"/>
        <v>0</v>
      </c>
      <c r="AQ89" s="134">
        <v>50</v>
      </c>
      <c r="AR89" s="134">
        <v>1450</v>
      </c>
      <c r="AS89" s="134">
        <v>2</v>
      </c>
      <c r="AT89" s="135">
        <v>0.13793103448275862</v>
      </c>
      <c r="AU89" s="106" t="s">
        <v>427</v>
      </c>
      <c r="AV89" s="100"/>
      <c r="AW89" s="100"/>
    </row>
    <row r="90" spans="1:49" x14ac:dyDescent="0.25">
      <c r="A90" s="96">
        <v>90</v>
      </c>
      <c r="B90" s="148">
        <v>1826</v>
      </c>
      <c r="C90" s="32" t="s">
        <v>135</v>
      </c>
      <c r="D90" s="32" t="s">
        <v>136</v>
      </c>
      <c r="E90" s="32" t="s">
        <v>137</v>
      </c>
      <c r="F90" s="32" t="s">
        <v>89</v>
      </c>
      <c r="G90" s="60">
        <v>44529</v>
      </c>
      <c r="H90" s="85" t="s">
        <v>378</v>
      </c>
      <c r="I90" s="77" t="s">
        <v>13</v>
      </c>
      <c r="J90" s="85" t="s">
        <v>378</v>
      </c>
      <c r="K90" s="85" t="s">
        <v>378</v>
      </c>
      <c r="L90" s="85" t="s">
        <v>378</v>
      </c>
      <c r="M90" s="85" t="s">
        <v>378</v>
      </c>
      <c r="N90" s="85" t="s">
        <v>378</v>
      </c>
      <c r="O90" s="85" t="s">
        <v>378</v>
      </c>
      <c r="P90" s="77" t="s">
        <v>13</v>
      </c>
      <c r="Q90" s="85" t="s">
        <v>378</v>
      </c>
      <c r="R90" s="85" t="s">
        <v>378</v>
      </c>
      <c r="S90" s="85" t="s">
        <v>378</v>
      </c>
      <c r="T90" s="85" t="s">
        <v>378</v>
      </c>
      <c r="U90" s="85" t="s">
        <v>378</v>
      </c>
      <c r="V90" s="143" t="s">
        <v>378</v>
      </c>
      <c r="W90" s="77" t="s">
        <v>13</v>
      </c>
      <c r="X90" s="85" t="s">
        <v>378</v>
      </c>
      <c r="Y90" s="85" t="s">
        <v>378</v>
      </c>
      <c r="Z90" s="85" t="s">
        <v>378</v>
      </c>
      <c r="AA90" s="85" t="s">
        <v>378</v>
      </c>
      <c r="AB90" s="85" t="s">
        <v>378</v>
      </c>
      <c r="AC90" s="85" t="s">
        <v>378</v>
      </c>
      <c r="AD90" s="77" t="s">
        <v>13</v>
      </c>
      <c r="AE90" s="85" t="s">
        <v>378</v>
      </c>
      <c r="AF90" s="85" t="s">
        <v>378</v>
      </c>
      <c r="AG90" s="85" t="s">
        <v>378</v>
      </c>
      <c r="AH90" s="85" t="s">
        <v>378</v>
      </c>
      <c r="AI90" s="85" t="s">
        <v>378</v>
      </c>
      <c r="AJ90" s="85" t="s">
        <v>378</v>
      </c>
      <c r="AK90" s="77" t="s">
        <v>13</v>
      </c>
      <c r="AL90" s="106">
        <f t="shared" si="5"/>
        <v>0</v>
      </c>
      <c r="AM90" s="106">
        <f t="shared" si="6"/>
        <v>25</v>
      </c>
      <c r="AN90" s="106">
        <f t="shared" si="7"/>
        <v>0</v>
      </c>
      <c r="AO90" s="106">
        <f t="shared" si="8"/>
        <v>25</v>
      </c>
      <c r="AP90" s="106">
        <f t="shared" si="9"/>
        <v>0</v>
      </c>
      <c r="AQ90" s="134"/>
      <c r="AR90" s="134"/>
      <c r="AS90" s="134"/>
      <c r="AT90" s="135"/>
      <c r="AU90" s="106" t="s">
        <v>427</v>
      </c>
      <c r="AV90" s="112" t="s">
        <v>422</v>
      </c>
      <c r="AW90" s="100"/>
    </row>
    <row r="91" spans="1:49" x14ac:dyDescent="0.25">
      <c r="A91" s="96">
        <v>91</v>
      </c>
      <c r="B91" s="148">
        <v>1827</v>
      </c>
      <c r="C91" s="32" t="s">
        <v>138</v>
      </c>
      <c r="D91" s="32" t="s">
        <v>19</v>
      </c>
      <c r="E91" s="32" t="s">
        <v>9</v>
      </c>
      <c r="F91" s="32" t="s">
        <v>89</v>
      </c>
      <c r="G91" s="59" t="s">
        <v>139</v>
      </c>
      <c r="H91" s="77" t="s">
        <v>389</v>
      </c>
      <c r="I91" s="77" t="s">
        <v>13</v>
      </c>
      <c r="J91" s="78" t="s">
        <v>390</v>
      </c>
      <c r="K91" s="78" t="s">
        <v>390</v>
      </c>
      <c r="L91" s="78" t="s">
        <v>390</v>
      </c>
      <c r="M91" s="78" t="s">
        <v>390</v>
      </c>
      <c r="N91" s="78" t="s">
        <v>390</v>
      </c>
      <c r="O91" s="78" t="s">
        <v>390</v>
      </c>
      <c r="P91" s="77" t="s">
        <v>13</v>
      </c>
      <c r="Q91" s="80" t="s">
        <v>14</v>
      </c>
      <c r="R91" s="78" t="s">
        <v>390</v>
      </c>
      <c r="S91" s="78" t="s">
        <v>390</v>
      </c>
      <c r="T91" s="78" t="s">
        <v>390</v>
      </c>
      <c r="U91" s="78" t="s">
        <v>390</v>
      </c>
      <c r="V91" s="79" t="s">
        <v>391</v>
      </c>
      <c r="W91" s="77" t="s">
        <v>13</v>
      </c>
      <c r="X91" s="78" t="s">
        <v>390</v>
      </c>
      <c r="Y91" s="78" t="s">
        <v>390</v>
      </c>
      <c r="Z91" s="78" t="s">
        <v>390</v>
      </c>
      <c r="AA91" s="78" t="s">
        <v>390</v>
      </c>
      <c r="AB91" s="78" t="s">
        <v>390</v>
      </c>
      <c r="AC91" s="78" t="s">
        <v>390</v>
      </c>
      <c r="AD91" s="77" t="s">
        <v>13</v>
      </c>
      <c r="AE91" s="78" t="s">
        <v>390</v>
      </c>
      <c r="AF91" s="78" t="s">
        <v>390</v>
      </c>
      <c r="AG91" s="78" t="s">
        <v>390</v>
      </c>
      <c r="AH91" s="78" t="s">
        <v>390</v>
      </c>
      <c r="AI91" s="78" t="s">
        <v>390</v>
      </c>
      <c r="AJ91" s="78" t="s">
        <v>390</v>
      </c>
      <c r="AK91" s="77" t="s">
        <v>13</v>
      </c>
      <c r="AL91" s="106">
        <f t="shared" si="5"/>
        <v>22</v>
      </c>
      <c r="AM91" s="106">
        <f t="shared" si="6"/>
        <v>0</v>
      </c>
      <c r="AN91" s="106">
        <f t="shared" si="7"/>
        <v>0</v>
      </c>
      <c r="AO91" s="106">
        <f t="shared" si="8"/>
        <v>22</v>
      </c>
      <c r="AP91" s="106">
        <f t="shared" si="9"/>
        <v>1</v>
      </c>
      <c r="AQ91" s="134">
        <v>50</v>
      </c>
      <c r="AR91" s="134">
        <v>1300</v>
      </c>
      <c r="AS91" s="134">
        <v>584</v>
      </c>
      <c r="AT91" s="135">
        <v>44.92307692307692</v>
      </c>
      <c r="AU91" s="106" t="s">
        <v>427</v>
      </c>
      <c r="AV91" s="100"/>
      <c r="AW91" s="100"/>
    </row>
    <row r="92" spans="1:49" x14ac:dyDescent="0.25">
      <c r="A92" s="96">
        <v>92</v>
      </c>
      <c r="B92" s="148">
        <v>1833</v>
      </c>
      <c r="C92" s="32" t="s">
        <v>140</v>
      </c>
      <c r="D92" s="32" t="s">
        <v>74</v>
      </c>
      <c r="E92" s="32" t="s">
        <v>124</v>
      </c>
      <c r="F92" s="32" t="s">
        <v>141</v>
      </c>
      <c r="G92" s="67">
        <v>44538</v>
      </c>
      <c r="H92" s="75" t="s">
        <v>12</v>
      </c>
      <c r="I92" s="75" t="s">
        <v>13</v>
      </c>
      <c r="J92" s="84" t="s">
        <v>390</v>
      </c>
      <c r="K92" s="84" t="s">
        <v>390</v>
      </c>
      <c r="L92" s="84" t="s">
        <v>390</v>
      </c>
      <c r="M92" s="84" t="s">
        <v>390</v>
      </c>
      <c r="N92" s="84" t="s">
        <v>390</v>
      </c>
      <c r="O92" s="76" t="s">
        <v>378</v>
      </c>
      <c r="P92" s="75" t="s">
        <v>13</v>
      </c>
      <c r="Q92" s="84" t="s">
        <v>390</v>
      </c>
      <c r="R92" s="84" t="s">
        <v>390</v>
      </c>
      <c r="S92" s="84" t="s">
        <v>390</v>
      </c>
      <c r="T92" s="84" t="s">
        <v>390</v>
      </c>
      <c r="U92" s="84" t="s">
        <v>390</v>
      </c>
      <c r="V92" s="82" t="s">
        <v>391</v>
      </c>
      <c r="W92" s="75" t="s">
        <v>13</v>
      </c>
      <c r="X92" s="84" t="s">
        <v>390</v>
      </c>
      <c r="Y92" s="84" t="s">
        <v>390</v>
      </c>
      <c r="Z92" s="83" t="s">
        <v>14</v>
      </c>
      <c r="AA92" s="84" t="s">
        <v>390</v>
      </c>
      <c r="AB92" s="84" t="s">
        <v>390</v>
      </c>
      <c r="AC92" s="83" t="s">
        <v>14</v>
      </c>
      <c r="AD92" s="75" t="s">
        <v>13</v>
      </c>
      <c r="AE92" s="83" t="s">
        <v>14</v>
      </c>
      <c r="AF92" s="83" t="s">
        <v>14</v>
      </c>
      <c r="AG92" s="84" t="s">
        <v>390</v>
      </c>
      <c r="AH92" s="84" t="s">
        <v>390</v>
      </c>
      <c r="AI92" s="84" t="s">
        <v>390</v>
      </c>
      <c r="AJ92" s="76" t="s">
        <v>378</v>
      </c>
      <c r="AK92" s="75" t="s">
        <v>13</v>
      </c>
      <c r="AL92" s="106">
        <f t="shared" si="5"/>
        <v>17</v>
      </c>
      <c r="AM92" s="106">
        <f t="shared" si="6"/>
        <v>2</v>
      </c>
      <c r="AN92" s="106">
        <f t="shared" si="7"/>
        <v>0</v>
      </c>
      <c r="AO92" s="106">
        <f t="shared" si="8"/>
        <v>19</v>
      </c>
      <c r="AP92" s="106">
        <f t="shared" si="9"/>
        <v>4</v>
      </c>
      <c r="AQ92" s="134"/>
      <c r="AR92" s="134"/>
      <c r="AS92" s="134"/>
      <c r="AT92" s="135"/>
      <c r="AU92" s="106" t="s">
        <v>427</v>
      </c>
      <c r="AV92" s="100"/>
      <c r="AW92" s="100"/>
    </row>
    <row r="93" spans="1:49" x14ac:dyDescent="0.25">
      <c r="A93" s="96">
        <v>93</v>
      </c>
      <c r="B93" s="148">
        <v>1851</v>
      </c>
      <c r="C93" s="32" t="s">
        <v>142</v>
      </c>
      <c r="D93" s="32" t="s">
        <v>88</v>
      </c>
      <c r="E93" s="32" t="s">
        <v>39</v>
      </c>
      <c r="F93" s="32" t="s">
        <v>93</v>
      </c>
      <c r="G93" s="60">
        <v>44557</v>
      </c>
      <c r="H93" s="77" t="s">
        <v>389</v>
      </c>
      <c r="I93" s="77" t="s">
        <v>13</v>
      </c>
      <c r="J93" s="80" t="s">
        <v>14</v>
      </c>
      <c r="K93" s="80" t="s">
        <v>14</v>
      </c>
      <c r="L93" s="78" t="s">
        <v>390</v>
      </c>
      <c r="M93" s="78" t="s">
        <v>390</v>
      </c>
      <c r="N93" s="78" t="s">
        <v>390</v>
      </c>
      <c r="O93" s="78" t="s">
        <v>390</v>
      </c>
      <c r="P93" s="77" t="s">
        <v>13</v>
      </c>
      <c r="Q93" s="78" t="s">
        <v>390</v>
      </c>
      <c r="R93" s="78" t="s">
        <v>390</v>
      </c>
      <c r="S93" s="78" t="s">
        <v>390</v>
      </c>
      <c r="T93" s="78" t="s">
        <v>390</v>
      </c>
      <c r="U93" s="78" t="s">
        <v>390</v>
      </c>
      <c r="V93" s="137" t="s">
        <v>391</v>
      </c>
      <c r="W93" s="77" t="s">
        <v>13</v>
      </c>
      <c r="X93" s="78" t="s">
        <v>390</v>
      </c>
      <c r="Y93" s="78" t="s">
        <v>390</v>
      </c>
      <c r="Z93" s="78" t="s">
        <v>390</v>
      </c>
      <c r="AA93" s="78" t="s">
        <v>390</v>
      </c>
      <c r="AB93" s="78" t="s">
        <v>390</v>
      </c>
      <c r="AC93" s="78" t="s">
        <v>390</v>
      </c>
      <c r="AD93" s="77" t="s">
        <v>13</v>
      </c>
      <c r="AE93" s="78" t="s">
        <v>390</v>
      </c>
      <c r="AF93" s="81" t="s">
        <v>392</v>
      </c>
      <c r="AG93" s="78" t="s">
        <v>390</v>
      </c>
      <c r="AH93" s="78" t="s">
        <v>390</v>
      </c>
      <c r="AI93" s="78" t="s">
        <v>390</v>
      </c>
      <c r="AJ93" s="80" t="s">
        <v>14</v>
      </c>
      <c r="AK93" s="77" t="s">
        <v>13</v>
      </c>
      <c r="AL93" s="106">
        <f t="shared" si="5"/>
        <v>19</v>
      </c>
      <c r="AM93" s="106">
        <f t="shared" si="6"/>
        <v>0</v>
      </c>
      <c r="AN93" s="106">
        <f t="shared" si="7"/>
        <v>0.5</v>
      </c>
      <c r="AO93" s="106">
        <f t="shared" si="8"/>
        <v>19.5</v>
      </c>
      <c r="AP93" s="106">
        <f t="shared" si="9"/>
        <v>3.5</v>
      </c>
      <c r="AQ93" s="134">
        <v>50</v>
      </c>
      <c r="AR93" s="134">
        <v>1350</v>
      </c>
      <c r="AS93" s="134">
        <v>2</v>
      </c>
      <c r="AT93" s="135">
        <v>0.14814814814814814</v>
      </c>
      <c r="AU93" s="106" t="s">
        <v>427</v>
      </c>
      <c r="AV93" s="100"/>
      <c r="AW93" s="100"/>
    </row>
    <row r="94" spans="1:49" x14ac:dyDescent="0.25">
      <c r="A94" s="96">
        <v>94</v>
      </c>
      <c r="B94" s="148">
        <v>1854</v>
      </c>
      <c r="C94" s="32" t="s">
        <v>143</v>
      </c>
      <c r="D94" s="32" t="s">
        <v>80</v>
      </c>
      <c r="E94" s="32" t="s">
        <v>24</v>
      </c>
      <c r="F94" s="32" t="s">
        <v>89</v>
      </c>
      <c r="G94" s="60">
        <v>44558</v>
      </c>
      <c r="H94" s="77" t="s">
        <v>389</v>
      </c>
      <c r="I94" s="77" t="s">
        <v>13</v>
      </c>
      <c r="J94" s="78" t="s">
        <v>390</v>
      </c>
      <c r="K94" s="78" t="s">
        <v>390</v>
      </c>
      <c r="L94" s="78" t="s">
        <v>390</v>
      </c>
      <c r="M94" s="78" t="s">
        <v>390</v>
      </c>
      <c r="N94" s="80" t="s">
        <v>14</v>
      </c>
      <c r="O94" s="78" t="s">
        <v>390</v>
      </c>
      <c r="P94" s="77" t="s">
        <v>13</v>
      </c>
      <c r="Q94" s="78" t="s">
        <v>390</v>
      </c>
      <c r="R94" s="78" t="s">
        <v>390</v>
      </c>
      <c r="S94" s="78" t="s">
        <v>390</v>
      </c>
      <c r="T94" s="78" t="s">
        <v>390</v>
      </c>
      <c r="U94" s="78" t="s">
        <v>390</v>
      </c>
      <c r="V94" s="78" t="s">
        <v>390</v>
      </c>
      <c r="W94" s="77" t="s">
        <v>13</v>
      </c>
      <c r="X94" s="78" t="s">
        <v>390</v>
      </c>
      <c r="Y94" s="78" t="s">
        <v>390</v>
      </c>
      <c r="Z94" s="78" t="s">
        <v>390</v>
      </c>
      <c r="AA94" s="78" t="s">
        <v>390</v>
      </c>
      <c r="AB94" s="78" t="s">
        <v>390</v>
      </c>
      <c r="AC94" s="82" t="s">
        <v>391</v>
      </c>
      <c r="AD94" s="77" t="s">
        <v>13</v>
      </c>
      <c r="AE94" s="78" t="s">
        <v>390</v>
      </c>
      <c r="AF94" s="78" t="s">
        <v>390</v>
      </c>
      <c r="AG94" s="78" t="s">
        <v>390</v>
      </c>
      <c r="AH94" s="78" t="s">
        <v>390</v>
      </c>
      <c r="AI94" s="78" t="s">
        <v>390</v>
      </c>
      <c r="AJ94" s="78" t="s">
        <v>390</v>
      </c>
      <c r="AK94" s="78" t="s">
        <v>390</v>
      </c>
      <c r="AL94" s="106">
        <f t="shared" si="5"/>
        <v>23</v>
      </c>
      <c r="AM94" s="106">
        <f t="shared" si="6"/>
        <v>0</v>
      </c>
      <c r="AN94" s="106">
        <f t="shared" si="7"/>
        <v>0</v>
      </c>
      <c r="AO94" s="106">
        <f t="shared" si="8"/>
        <v>23</v>
      </c>
      <c r="AP94" s="106">
        <f t="shared" si="9"/>
        <v>1</v>
      </c>
      <c r="AQ94" s="134">
        <v>50</v>
      </c>
      <c r="AR94" s="134">
        <v>1450</v>
      </c>
      <c r="AS94" s="134">
        <v>128</v>
      </c>
      <c r="AT94" s="135">
        <v>8.8275862068965516</v>
      </c>
      <c r="AU94" s="106" t="s">
        <v>427</v>
      </c>
      <c r="AV94" s="100"/>
      <c r="AW94" s="100"/>
    </row>
    <row r="95" spans="1:49" x14ac:dyDescent="0.25">
      <c r="A95" s="96">
        <v>95</v>
      </c>
      <c r="B95" s="148">
        <v>1879</v>
      </c>
      <c r="C95" s="32" t="s">
        <v>144</v>
      </c>
      <c r="D95" s="32" t="s">
        <v>92</v>
      </c>
      <c r="E95" s="32" t="s">
        <v>39</v>
      </c>
      <c r="F95" s="32" t="s">
        <v>107</v>
      </c>
      <c r="G95" s="60">
        <v>44593</v>
      </c>
      <c r="H95" s="77" t="s">
        <v>389</v>
      </c>
      <c r="I95" s="77" t="s">
        <v>13</v>
      </c>
      <c r="J95" s="78" t="s">
        <v>390</v>
      </c>
      <c r="K95" s="78" t="s">
        <v>390</v>
      </c>
      <c r="L95" s="78" t="s">
        <v>390</v>
      </c>
      <c r="M95" s="78" t="s">
        <v>390</v>
      </c>
      <c r="N95" s="78" t="s">
        <v>390</v>
      </c>
      <c r="O95" s="78" t="s">
        <v>390</v>
      </c>
      <c r="P95" s="77" t="s">
        <v>13</v>
      </c>
      <c r="Q95" s="78" t="s">
        <v>390</v>
      </c>
      <c r="R95" s="78" t="s">
        <v>390</v>
      </c>
      <c r="S95" s="78" t="s">
        <v>390</v>
      </c>
      <c r="T95" s="80" t="s">
        <v>14</v>
      </c>
      <c r="U95" s="78" t="s">
        <v>390</v>
      </c>
      <c r="V95" s="79" t="s">
        <v>391</v>
      </c>
      <c r="W95" s="77" t="s">
        <v>13</v>
      </c>
      <c r="X95" s="78" t="s">
        <v>390</v>
      </c>
      <c r="Y95" s="81" t="s">
        <v>392</v>
      </c>
      <c r="Z95" s="78" t="s">
        <v>390</v>
      </c>
      <c r="AA95" s="78" t="s">
        <v>390</v>
      </c>
      <c r="AB95" s="78" t="s">
        <v>390</v>
      </c>
      <c r="AC95" s="78" t="s">
        <v>390</v>
      </c>
      <c r="AD95" s="77" t="s">
        <v>13</v>
      </c>
      <c r="AE95" s="78" t="s">
        <v>390</v>
      </c>
      <c r="AF95" s="78" t="s">
        <v>390</v>
      </c>
      <c r="AG95" s="78" t="s">
        <v>390</v>
      </c>
      <c r="AH95" s="78" t="s">
        <v>390</v>
      </c>
      <c r="AI95" s="78" t="s">
        <v>390</v>
      </c>
      <c r="AJ95" s="78" t="s">
        <v>390</v>
      </c>
      <c r="AK95" s="77" t="s">
        <v>13</v>
      </c>
      <c r="AL95" s="106">
        <f t="shared" si="5"/>
        <v>21</v>
      </c>
      <c r="AM95" s="106">
        <f t="shared" si="6"/>
        <v>0</v>
      </c>
      <c r="AN95" s="106">
        <f t="shared" si="7"/>
        <v>0.5</v>
      </c>
      <c r="AO95" s="106">
        <f t="shared" si="8"/>
        <v>21.5</v>
      </c>
      <c r="AP95" s="106">
        <f t="shared" si="9"/>
        <v>1.5</v>
      </c>
      <c r="AQ95" s="134">
        <v>110</v>
      </c>
      <c r="AR95" s="134">
        <v>2970</v>
      </c>
      <c r="AS95" s="134">
        <v>1534</v>
      </c>
      <c r="AT95" s="135">
        <v>51.649831649831647</v>
      </c>
      <c r="AU95" s="106" t="s">
        <v>427</v>
      </c>
      <c r="AV95" s="100"/>
      <c r="AW95" s="100"/>
    </row>
    <row r="96" spans="1:49" x14ac:dyDescent="0.25">
      <c r="A96" s="96">
        <v>96</v>
      </c>
      <c r="B96" s="148">
        <v>1883</v>
      </c>
      <c r="C96" s="32" t="s">
        <v>128</v>
      </c>
      <c r="D96" s="32" t="s">
        <v>88</v>
      </c>
      <c r="E96" s="30" t="s">
        <v>28</v>
      </c>
      <c r="F96" s="32" t="s">
        <v>89</v>
      </c>
      <c r="G96" s="60">
        <v>44597</v>
      </c>
      <c r="H96" s="77" t="s">
        <v>389</v>
      </c>
      <c r="I96" s="77" t="s">
        <v>13</v>
      </c>
      <c r="J96" s="85" t="s">
        <v>378</v>
      </c>
      <c r="K96" s="85" t="s">
        <v>378</v>
      </c>
      <c r="L96" s="85" t="s">
        <v>378</v>
      </c>
      <c r="M96" s="85" t="s">
        <v>378</v>
      </c>
      <c r="N96" s="85" t="s">
        <v>378</v>
      </c>
      <c r="O96" s="101" t="s">
        <v>378</v>
      </c>
      <c r="P96" s="77" t="s">
        <v>13</v>
      </c>
      <c r="Q96" s="85" t="s">
        <v>378</v>
      </c>
      <c r="R96" s="85" t="s">
        <v>378</v>
      </c>
      <c r="S96" s="85" t="s">
        <v>378</v>
      </c>
      <c r="T96" s="85" t="s">
        <v>378</v>
      </c>
      <c r="U96" s="85" t="s">
        <v>378</v>
      </c>
      <c r="V96" s="85" t="s">
        <v>378</v>
      </c>
      <c r="W96" s="77" t="s">
        <v>13</v>
      </c>
      <c r="X96" s="85" t="s">
        <v>378</v>
      </c>
      <c r="Y96" s="85" t="s">
        <v>378</v>
      </c>
      <c r="Z96" s="85" t="s">
        <v>378</v>
      </c>
      <c r="AA96" s="85" t="s">
        <v>378</v>
      </c>
      <c r="AB96" s="85" t="s">
        <v>378</v>
      </c>
      <c r="AC96" s="85" t="s">
        <v>378</v>
      </c>
      <c r="AD96" s="85" t="s">
        <v>378</v>
      </c>
      <c r="AE96" s="85" t="s">
        <v>378</v>
      </c>
      <c r="AF96" s="85" t="s">
        <v>378</v>
      </c>
      <c r="AG96" s="85" t="s">
        <v>378</v>
      </c>
      <c r="AH96" s="85" t="s">
        <v>378</v>
      </c>
      <c r="AI96" s="85" t="s">
        <v>378</v>
      </c>
      <c r="AJ96" s="85" t="s">
        <v>378</v>
      </c>
      <c r="AK96" s="85" t="s">
        <v>378</v>
      </c>
      <c r="AL96" s="106">
        <f t="shared" si="5"/>
        <v>0</v>
      </c>
      <c r="AM96" s="106">
        <f t="shared" si="6"/>
        <v>26</v>
      </c>
      <c r="AN96" s="106">
        <f t="shared" si="7"/>
        <v>0</v>
      </c>
      <c r="AO96" s="106">
        <f t="shared" si="8"/>
        <v>26</v>
      </c>
      <c r="AP96" s="106">
        <f t="shared" si="9"/>
        <v>0</v>
      </c>
      <c r="AQ96" s="134"/>
      <c r="AR96" s="134"/>
      <c r="AS96" s="134"/>
      <c r="AT96" s="135"/>
      <c r="AU96" s="106" t="s">
        <v>427</v>
      </c>
      <c r="AV96" s="100"/>
      <c r="AW96" s="100"/>
    </row>
    <row r="97" spans="1:49" x14ac:dyDescent="0.25">
      <c r="A97" s="96">
        <v>97</v>
      </c>
      <c r="B97" s="148">
        <v>1894</v>
      </c>
      <c r="C97" s="32" t="s">
        <v>145</v>
      </c>
      <c r="D97" s="32" t="s">
        <v>88</v>
      </c>
      <c r="E97" s="32" t="s">
        <v>24</v>
      </c>
      <c r="F97" s="32" t="s">
        <v>107</v>
      </c>
      <c r="G97" s="67">
        <v>44621</v>
      </c>
      <c r="H97" s="77" t="s">
        <v>389</v>
      </c>
      <c r="I97" s="77" t="s">
        <v>13</v>
      </c>
      <c r="J97" s="78" t="s">
        <v>390</v>
      </c>
      <c r="K97" s="78" t="s">
        <v>390</v>
      </c>
      <c r="L97" s="78" t="s">
        <v>390</v>
      </c>
      <c r="M97" s="78" t="s">
        <v>390</v>
      </c>
      <c r="N97" s="78" t="s">
        <v>390</v>
      </c>
      <c r="O97" s="142" t="s">
        <v>391</v>
      </c>
      <c r="P97" s="77" t="s">
        <v>13</v>
      </c>
      <c r="Q97" s="78" t="s">
        <v>390</v>
      </c>
      <c r="R97" s="78" t="s">
        <v>390</v>
      </c>
      <c r="S97" s="78" t="s">
        <v>390</v>
      </c>
      <c r="T97" s="78" t="s">
        <v>390</v>
      </c>
      <c r="U97" s="78" t="s">
        <v>390</v>
      </c>
      <c r="V97" s="80" t="s">
        <v>14</v>
      </c>
      <c r="W97" s="77" t="s">
        <v>13</v>
      </c>
      <c r="X97" s="78" t="s">
        <v>390</v>
      </c>
      <c r="Y97" s="78" t="s">
        <v>390</v>
      </c>
      <c r="Z97" s="78" t="s">
        <v>390</v>
      </c>
      <c r="AA97" s="78" t="s">
        <v>390</v>
      </c>
      <c r="AB97" s="78" t="s">
        <v>390</v>
      </c>
      <c r="AC97" s="78" t="s">
        <v>390</v>
      </c>
      <c r="AD97" s="77" t="s">
        <v>13</v>
      </c>
      <c r="AE97" s="78" t="s">
        <v>390</v>
      </c>
      <c r="AF97" s="80" t="s">
        <v>14</v>
      </c>
      <c r="AG97" s="78" t="s">
        <v>390</v>
      </c>
      <c r="AH97" s="78" t="s">
        <v>390</v>
      </c>
      <c r="AI97" s="78" t="s">
        <v>390</v>
      </c>
      <c r="AJ97" s="78" t="s">
        <v>390</v>
      </c>
      <c r="AK97" s="78" t="s">
        <v>390</v>
      </c>
      <c r="AL97" s="106">
        <f t="shared" si="5"/>
        <v>22</v>
      </c>
      <c r="AM97" s="106">
        <f t="shared" si="6"/>
        <v>0</v>
      </c>
      <c r="AN97" s="106">
        <f t="shared" si="7"/>
        <v>0</v>
      </c>
      <c r="AO97" s="106">
        <f t="shared" si="8"/>
        <v>22</v>
      </c>
      <c r="AP97" s="106">
        <f t="shared" si="9"/>
        <v>2</v>
      </c>
      <c r="AQ97" s="134"/>
      <c r="AR97" s="134"/>
      <c r="AS97" s="134"/>
      <c r="AT97" s="135"/>
      <c r="AU97" s="106" t="s">
        <v>427</v>
      </c>
      <c r="AV97" s="100"/>
      <c r="AW97" s="100"/>
    </row>
    <row r="98" spans="1:49" x14ac:dyDescent="0.25">
      <c r="A98" s="96">
        <v>98</v>
      </c>
      <c r="B98" s="148">
        <v>1896</v>
      </c>
      <c r="C98" s="32" t="s">
        <v>146</v>
      </c>
      <c r="D98" s="32" t="s">
        <v>80</v>
      </c>
      <c r="E98" s="32" t="s">
        <v>24</v>
      </c>
      <c r="F98" s="32" t="s">
        <v>93</v>
      </c>
      <c r="G98" s="67">
        <v>44621</v>
      </c>
      <c r="H98" s="77" t="s">
        <v>389</v>
      </c>
      <c r="I98" s="77" t="s">
        <v>13</v>
      </c>
      <c r="J98" s="78" t="s">
        <v>390</v>
      </c>
      <c r="K98" s="78" t="s">
        <v>390</v>
      </c>
      <c r="L98" s="78" t="s">
        <v>390</v>
      </c>
      <c r="M98" s="78" t="s">
        <v>390</v>
      </c>
      <c r="N98" s="78" t="s">
        <v>390</v>
      </c>
      <c r="O98" s="85" t="s">
        <v>378</v>
      </c>
      <c r="P98" s="77" t="s">
        <v>13</v>
      </c>
      <c r="Q98" s="78" t="s">
        <v>390</v>
      </c>
      <c r="R98" s="78" t="s">
        <v>390</v>
      </c>
      <c r="S98" s="78" t="s">
        <v>390</v>
      </c>
      <c r="T98" s="78" t="s">
        <v>390</v>
      </c>
      <c r="U98" s="78" t="s">
        <v>390</v>
      </c>
      <c r="V98" s="80" t="s">
        <v>391</v>
      </c>
      <c r="W98" s="77" t="s">
        <v>13</v>
      </c>
      <c r="X98" s="78" t="s">
        <v>390</v>
      </c>
      <c r="Y98" s="78" t="s">
        <v>390</v>
      </c>
      <c r="Z98" s="78" t="s">
        <v>390</v>
      </c>
      <c r="AA98" s="78" t="s">
        <v>390</v>
      </c>
      <c r="AB98" s="78" t="s">
        <v>390</v>
      </c>
      <c r="AC98" s="78" t="s">
        <v>390</v>
      </c>
      <c r="AD98" s="77" t="s">
        <v>13</v>
      </c>
      <c r="AE98" s="78" t="s">
        <v>390</v>
      </c>
      <c r="AF98" s="78" t="s">
        <v>390</v>
      </c>
      <c r="AG98" s="78" t="s">
        <v>390</v>
      </c>
      <c r="AH98" s="78" t="s">
        <v>390</v>
      </c>
      <c r="AI98" s="78" t="s">
        <v>390</v>
      </c>
      <c r="AJ98" s="78" t="s">
        <v>390</v>
      </c>
      <c r="AK98" s="78" t="s">
        <v>390</v>
      </c>
      <c r="AL98" s="106">
        <f t="shared" si="5"/>
        <v>23</v>
      </c>
      <c r="AM98" s="106">
        <f t="shared" si="6"/>
        <v>1</v>
      </c>
      <c r="AN98" s="106">
        <f t="shared" si="7"/>
        <v>0</v>
      </c>
      <c r="AO98" s="106">
        <f t="shared" si="8"/>
        <v>24</v>
      </c>
      <c r="AP98" s="106">
        <f t="shared" si="9"/>
        <v>0</v>
      </c>
      <c r="AQ98" s="134">
        <v>150</v>
      </c>
      <c r="AR98" s="134">
        <v>4350</v>
      </c>
      <c r="AS98" s="134">
        <v>262</v>
      </c>
      <c r="AT98" s="135">
        <v>6.0229885057471266</v>
      </c>
      <c r="AU98" s="106" t="s">
        <v>427</v>
      </c>
      <c r="AV98" s="100"/>
      <c r="AW98" s="100"/>
    </row>
    <row r="99" spans="1:49" x14ac:dyDescent="0.25">
      <c r="A99" s="96">
        <v>99</v>
      </c>
      <c r="B99" s="148">
        <v>1900</v>
      </c>
      <c r="C99" s="32" t="s">
        <v>147</v>
      </c>
      <c r="D99" s="32" t="s">
        <v>88</v>
      </c>
      <c r="E99" s="32" t="s">
        <v>45</v>
      </c>
      <c r="F99" s="32" t="s">
        <v>81</v>
      </c>
      <c r="G99" s="67">
        <v>44625</v>
      </c>
      <c r="H99" s="77" t="s">
        <v>389</v>
      </c>
      <c r="I99" s="77" t="s">
        <v>13</v>
      </c>
      <c r="J99" s="78" t="s">
        <v>390</v>
      </c>
      <c r="K99" s="78" t="s">
        <v>390</v>
      </c>
      <c r="L99" s="78" t="s">
        <v>390</v>
      </c>
      <c r="M99" s="78" t="s">
        <v>390</v>
      </c>
      <c r="N99" s="78" t="s">
        <v>390</v>
      </c>
      <c r="O99" s="87" t="s">
        <v>391</v>
      </c>
      <c r="P99" s="77" t="s">
        <v>13</v>
      </c>
      <c r="Q99" s="78" t="s">
        <v>390</v>
      </c>
      <c r="R99" s="78" t="s">
        <v>390</v>
      </c>
      <c r="S99" s="78" t="s">
        <v>390</v>
      </c>
      <c r="T99" s="78" t="s">
        <v>390</v>
      </c>
      <c r="U99" s="80" t="s">
        <v>14</v>
      </c>
      <c r="V99" s="78" t="s">
        <v>390</v>
      </c>
      <c r="W99" s="77" t="s">
        <v>13</v>
      </c>
      <c r="X99" s="78" t="s">
        <v>390</v>
      </c>
      <c r="Y99" s="78" t="s">
        <v>390</v>
      </c>
      <c r="Z99" s="78" t="s">
        <v>390</v>
      </c>
      <c r="AA99" s="78" t="s">
        <v>390</v>
      </c>
      <c r="AB99" s="78" t="s">
        <v>390</v>
      </c>
      <c r="AC99" s="78" t="s">
        <v>390</v>
      </c>
      <c r="AD99" s="77" t="s">
        <v>13</v>
      </c>
      <c r="AE99" s="78" t="s">
        <v>390</v>
      </c>
      <c r="AF99" s="78" t="s">
        <v>390</v>
      </c>
      <c r="AG99" s="78" t="s">
        <v>390</v>
      </c>
      <c r="AH99" s="78" t="s">
        <v>390</v>
      </c>
      <c r="AI99" s="78" t="s">
        <v>390</v>
      </c>
      <c r="AJ99" s="78" t="s">
        <v>390</v>
      </c>
      <c r="AK99" s="77" t="s">
        <v>13</v>
      </c>
      <c r="AL99" s="106">
        <f t="shared" si="5"/>
        <v>22</v>
      </c>
      <c r="AM99" s="106">
        <f t="shared" si="6"/>
        <v>0</v>
      </c>
      <c r="AN99" s="106">
        <f t="shared" si="7"/>
        <v>0</v>
      </c>
      <c r="AO99" s="106">
        <f t="shared" si="8"/>
        <v>22</v>
      </c>
      <c r="AP99" s="106">
        <f t="shared" si="9"/>
        <v>1</v>
      </c>
      <c r="AQ99" s="134">
        <v>50</v>
      </c>
      <c r="AR99" s="134">
        <v>1450</v>
      </c>
      <c r="AS99" s="134">
        <v>18</v>
      </c>
      <c r="AT99" s="135">
        <v>1.2413793103448276</v>
      </c>
      <c r="AU99" s="106" t="s">
        <v>427</v>
      </c>
      <c r="AV99" s="100"/>
      <c r="AW99" s="100"/>
    </row>
    <row r="100" spans="1:49" x14ac:dyDescent="0.25">
      <c r="A100" s="96">
        <v>100</v>
      </c>
      <c r="B100" s="148">
        <v>1922</v>
      </c>
      <c r="C100" s="32" t="s">
        <v>148</v>
      </c>
      <c r="D100" s="32" t="s">
        <v>88</v>
      </c>
      <c r="E100" s="32" t="s">
        <v>39</v>
      </c>
      <c r="F100" s="32" t="s">
        <v>89</v>
      </c>
      <c r="G100" s="60">
        <v>44662</v>
      </c>
      <c r="H100" s="77" t="s">
        <v>389</v>
      </c>
      <c r="I100" s="77" t="s">
        <v>13</v>
      </c>
      <c r="J100" s="85" t="s">
        <v>378</v>
      </c>
      <c r="K100" s="78" t="s">
        <v>390</v>
      </c>
      <c r="L100" s="78" t="s">
        <v>390</v>
      </c>
      <c r="M100" s="78" t="s">
        <v>390</v>
      </c>
      <c r="N100" s="78" t="s">
        <v>390</v>
      </c>
      <c r="O100" s="78" t="s">
        <v>390</v>
      </c>
      <c r="P100" s="77" t="s">
        <v>13</v>
      </c>
      <c r="Q100" s="78" t="s">
        <v>390</v>
      </c>
      <c r="R100" s="78" t="s">
        <v>390</v>
      </c>
      <c r="S100" s="78" t="s">
        <v>390</v>
      </c>
      <c r="T100" s="78" t="s">
        <v>390</v>
      </c>
      <c r="U100" s="78" t="s">
        <v>390</v>
      </c>
      <c r="V100" s="79" t="s">
        <v>391</v>
      </c>
      <c r="W100" s="77" t="s">
        <v>13</v>
      </c>
      <c r="X100" s="78" t="s">
        <v>390</v>
      </c>
      <c r="Y100" s="78" t="s">
        <v>390</v>
      </c>
      <c r="Z100" s="136" t="s">
        <v>390</v>
      </c>
      <c r="AA100" s="78" t="s">
        <v>390</v>
      </c>
      <c r="AB100" s="78" t="s">
        <v>390</v>
      </c>
      <c r="AC100" s="78" t="s">
        <v>390</v>
      </c>
      <c r="AD100" s="85" t="s">
        <v>378</v>
      </c>
      <c r="AE100" s="78" t="s">
        <v>390</v>
      </c>
      <c r="AF100" s="78" t="s">
        <v>390</v>
      </c>
      <c r="AG100" s="78" t="s">
        <v>390</v>
      </c>
      <c r="AH100" s="78" t="s">
        <v>390</v>
      </c>
      <c r="AI100" s="78" t="s">
        <v>390</v>
      </c>
      <c r="AJ100" s="80" t="s">
        <v>14</v>
      </c>
      <c r="AK100" s="85" t="s">
        <v>378</v>
      </c>
      <c r="AL100" s="106">
        <f t="shared" si="5"/>
        <v>21</v>
      </c>
      <c r="AM100" s="106">
        <f t="shared" si="6"/>
        <v>3</v>
      </c>
      <c r="AN100" s="106">
        <f t="shared" si="7"/>
        <v>0</v>
      </c>
      <c r="AO100" s="106">
        <f t="shared" si="8"/>
        <v>24</v>
      </c>
      <c r="AP100" s="106">
        <f t="shared" si="9"/>
        <v>1</v>
      </c>
      <c r="AQ100" s="134">
        <v>50</v>
      </c>
      <c r="AR100" s="134">
        <v>1450</v>
      </c>
      <c r="AS100" s="134">
        <v>20</v>
      </c>
      <c r="AT100" s="135">
        <v>1.3793103448275863</v>
      </c>
      <c r="AU100" s="106" t="s">
        <v>427</v>
      </c>
      <c r="AV100" s="100"/>
      <c r="AW100" s="100"/>
    </row>
    <row r="101" spans="1:49" x14ac:dyDescent="0.25">
      <c r="A101" s="96">
        <v>101</v>
      </c>
      <c r="B101" s="148">
        <v>1924</v>
      </c>
      <c r="C101" s="32" t="s">
        <v>149</v>
      </c>
      <c r="D101" s="32" t="s">
        <v>44</v>
      </c>
      <c r="E101" s="32" t="s">
        <v>20</v>
      </c>
      <c r="F101" s="32" t="s">
        <v>107</v>
      </c>
      <c r="G101" s="60">
        <v>44667</v>
      </c>
      <c r="H101" s="77" t="s">
        <v>389</v>
      </c>
      <c r="I101" s="77" t="s">
        <v>13</v>
      </c>
      <c r="J101" s="78" t="s">
        <v>390</v>
      </c>
      <c r="K101" s="78" t="s">
        <v>390</v>
      </c>
      <c r="L101" s="78" t="s">
        <v>390</v>
      </c>
      <c r="M101" s="78" t="s">
        <v>390</v>
      </c>
      <c r="N101" s="78" t="s">
        <v>390</v>
      </c>
      <c r="O101" s="78" t="s">
        <v>390</v>
      </c>
      <c r="P101" s="77" t="s">
        <v>13</v>
      </c>
      <c r="Q101" s="78" t="s">
        <v>390</v>
      </c>
      <c r="R101" s="78" t="s">
        <v>390</v>
      </c>
      <c r="S101" s="78" t="s">
        <v>390</v>
      </c>
      <c r="T101" s="78" t="s">
        <v>390</v>
      </c>
      <c r="U101" s="78" t="s">
        <v>390</v>
      </c>
      <c r="V101" s="78" t="s">
        <v>390</v>
      </c>
      <c r="W101" s="77" t="s">
        <v>13</v>
      </c>
      <c r="X101" s="78" t="s">
        <v>390</v>
      </c>
      <c r="Y101" s="78" t="s">
        <v>390</v>
      </c>
      <c r="Z101" s="81" t="s">
        <v>392</v>
      </c>
      <c r="AA101" s="80" t="s">
        <v>14</v>
      </c>
      <c r="AB101" s="80" t="s">
        <v>14</v>
      </c>
      <c r="AC101" s="79" t="s">
        <v>391</v>
      </c>
      <c r="AD101" s="77" t="s">
        <v>13</v>
      </c>
      <c r="AE101" s="80" t="s">
        <v>14</v>
      </c>
      <c r="AF101" s="80" t="s">
        <v>14</v>
      </c>
      <c r="AG101" s="81" t="s">
        <v>392</v>
      </c>
      <c r="AH101" s="78" t="s">
        <v>390</v>
      </c>
      <c r="AI101" s="78" t="s">
        <v>390</v>
      </c>
      <c r="AJ101" s="78" t="s">
        <v>390</v>
      </c>
      <c r="AK101" s="77" t="s">
        <v>13</v>
      </c>
      <c r="AL101" s="106">
        <f t="shared" si="5"/>
        <v>17</v>
      </c>
      <c r="AM101" s="106">
        <f t="shared" si="6"/>
        <v>0</v>
      </c>
      <c r="AN101" s="106">
        <f t="shared" si="7"/>
        <v>1</v>
      </c>
      <c r="AO101" s="106">
        <f t="shared" si="8"/>
        <v>18</v>
      </c>
      <c r="AP101" s="106">
        <f t="shared" si="9"/>
        <v>5</v>
      </c>
      <c r="AQ101" s="134">
        <v>120</v>
      </c>
      <c r="AR101" s="134">
        <v>3480</v>
      </c>
      <c r="AS101" s="134">
        <v>2118</v>
      </c>
      <c r="AT101" s="135">
        <v>60.862068965517246</v>
      </c>
      <c r="AU101" s="106" t="s">
        <v>427</v>
      </c>
      <c r="AV101" s="100"/>
      <c r="AW101" s="100"/>
    </row>
    <row r="102" spans="1:49" x14ac:dyDescent="0.25">
      <c r="A102" s="96">
        <v>102</v>
      </c>
      <c r="B102" s="148">
        <v>1925</v>
      </c>
      <c r="C102" s="32" t="s">
        <v>150</v>
      </c>
      <c r="D102" s="32" t="s">
        <v>88</v>
      </c>
      <c r="E102" s="32" t="s">
        <v>39</v>
      </c>
      <c r="F102" s="32" t="s">
        <v>89</v>
      </c>
      <c r="G102" s="60">
        <v>44669</v>
      </c>
      <c r="H102" s="85" t="s">
        <v>378</v>
      </c>
      <c r="I102" s="77" t="s">
        <v>13</v>
      </c>
      <c r="J102" s="85" t="s">
        <v>378</v>
      </c>
      <c r="K102" s="85" t="s">
        <v>378</v>
      </c>
      <c r="L102" s="85" t="s">
        <v>378</v>
      </c>
      <c r="M102" s="85" t="s">
        <v>378</v>
      </c>
      <c r="N102" s="85" t="s">
        <v>378</v>
      </c>
      <c r="O102" s="101" t="s">
        <v>378</v>
      </c>
      <c r="P102" s="77" t="s">
        <v>13</v>
      </c>
      <c r="Q102" s="85" t="s">
        <v>378</v>
      </c>
      <c r="R102" s="85" t="s">
        <v>378</v>
      </c>
      <c r="S102" s="85" t="s">
        <v>378</v>
      </c>
      <c r="T102" s="79" t="s">
        <v>391</v>
      </c>
      <c r="U102" s="85" t="s">
        <v>378</v>
      </c>
      <c r="V102" s="85" t="s">
        <v>378</v>
      </c>
      <c r="W102" s="77" t="s">
        <v>13</v>
      </c>
      <c r="X102" s="85" t="s">
        <v>378</v>
      </c>
      <c r="Y102" s="80" t="s">
        <v>14</v>
      </c>
      <c r="Z102" s="81" t="s">
        <v>392</v>
      </c>
      <c r="AA102" s="85" t="s">
        <v>378</v>
      </c>
      <c r="AB102" s="85" t="s">
        <v>378</v>
      </c>
      <c r="AC102" s="85" t="s">
        <v>378</v>
      </c>
      <c r="AD102" s="77" t="s">
        <v>13</v>
      </c>
      <c r="AE102" s="85" t="s">
        <v>378</v>
      </c>
      <c r="AF102" s="85" t="s">
        <v>378</v>
      </c>
      <c r="AG102" s="85" t="s">
        <v>378</v>
      </c>
      <c r="AH102" s="85" t="s">
        <v>378</v>
      </c>
      <c r="AI102" s="85" t="s">
        <v>378</v>
      </c>
      <c r="AJ102" s="85" t="s">
        <v>378</v>
      </c>
      <c r="AK102" s="77" t="s">
        <v>13</v>
      </c>
      <c r="AL102" s="106">
        <f t="shared" si="5"/>
        <v>0</v>
      </c>
      <c r="AM102" s="106">
        <f t="shared" si="6"/>
        <v>22</v>
      </c>
      <c r="AN102" s="106">
        <f t="shared" si="7"/>
        <v>0.5</v>
      </c>
      <c r="AO102" s="106">
        <f t="shared" si="8"/>
        <v>22.5</v>
      </c>
      <c r="AP102" s="106">
        <f t="shared" si="9"/>
        <v>1.5</v>
      </c>
      <c r="AQ102" s="134">
        <v>50</v>
      </c>
      <c r="AR102" s="134">
        <v>1450</v>
      </c>
      <c r="AS102" s="134">
        <v>544</v>
      </c>
      <c r="AT102" s="135">
        <v>37.517241379310349</v>
      </c>
      <c r="AU102" s="106" t="s">
        <v>427</v>
      </c>
      <c r="AV102" s="100"/>
      <c r="AW102" s="100"/>
    </row>
    <row r="103" spans="1:49" x14ac:dyDescent="0.25">
      <c r="A103" s="96">
        <v>103</v>
      </c>
      <c r="B103" s="148">
        <v>1930</v>
      </c>
      <c r="C103" s="32" t="s">
        <v>151</v>
      </c>
      <c r="D103" s="32" t="s">
        <v>44</v>
      </c>
      <c r="E103" s="32" t="s">
        <v>24</v>
      </c>
      <c r="F103" s="32" t="s">
        <v>89</v>
      </c>
      <c r="G103" s="68">
        <v>44683</v>
      </c>
      <c r="H103" s="77" t="s">
        <v>389</v>
      </c>
      <c r="I103" s="77" t="s">
        <v>13</v>
      </c>
      <c r="J103" s="78" t="s">
        <v>390</v>
      </c>
      <c r="K103" s="78" t="s">
        <v>390</v>
      </c>
      <c r="L103" s="78" t="s">
        <v>390</v>
      </c>
      <c r="M103" s="78" t="s">
        <v>390</v>
      </c>
      <c r="N103" s="78" t="s">
        <v>390</v>
      </c>
      <c r="O103" s="82" t="s">
        <v>391</v>
      </c>
      <c r="P103" s="77" t="s">
        <v>13</v>
      </c>
      <c r="Q103" s="78" t="s">
        <v>390</v>
      </c>
      <c r="R103" s="78" t="s">
        <v>390</v>
      </c>
      <c r="S103" s="80" t="s">
        <v>14</v>
      </c>
      <c r="T103" s="78" t="s">
        <v>390</v>
      </c>
      <c r="U103" s="78" t="s">
        <v>390</v>
      </c>
      <c r="V103" s="78" t="s">
        <v>390</v>
      </c>
      <c r="W103" s="77" t="s">
        <v>13</v>
      </c>
      <c r="X103" s="78" t="s">
        <v>390</v>
      </c>
      <c r="Y103" s="78" t="s">
        <v>390</v>
      </c>
      <c r="Z103" s="78" t="s">
        <v>390</v>
      </c>
      <c r="AA103" s="78" t="s">
        <v>390</v>
      </c>
      <c r="AB103" s="78" t="s">
        <v>390</v>
      </c>
      <c r="AC103" s="78" t="s">
        <v>390</v>
      </c>
      <c r="AD103" s="77" t="s">
        <v>13</v>
      </c>
      <c r="AE103" s="78" t="s">
        <v>390</v>
      </c>
      <c r="AF103" s="85" t="s">
        <v>378</v>
      </c>
      <c r="AG103" s="78" t="s">
        <v>390</v>
      </c>
      <c r="AH103" s="78" t="s">
        <v>390</v>
      </c>
      <c r="AI103" s="78" t="s">
        <v>390</v>
      </c>
      <c r="AJ103" s="78" t="s">
        <v>390</v>
      </c>
      <c r="AK103" s="85" t="s">
        <v>378</v>
      </c>
      <c r="AL103" s="106">
        <f t="shared" si="5"/>
        <v>21</v>
      </c>
      <c r="AM103" s="106">
        <f t="shared" si="6"/>
        <v>2</v>
      </c>
      <c r="AN103" s="106">
        <f t="shared" si="7"/>
        <v>0</v>
      </c>
      <c r="AO103" s="106">
        <f t="shared" si="8"/>
        <v>23</v>
      </c>
      <c r="AP103" s="106">
        <f t="shared" si="9"/>
        <v>1</v>
      </c>
      <c r="AQ103" s="134">
        <v>100</v>
      </c>
      <c r="AR103" s="134">
        <v>2900</v>
      </c>
      <c r="AS103" s="134">
        <v>1895</v>
      </c>
      <c r="AT103" s="135">
        <v>65.344827586206904</v>
      </c>
      <c r="AU103" s="106" t="s">
        <v>427</v>
      </c>
      <c r="AV103" s="100"/>
      <c r="AW103" s="100"/>
    </row>
    <row r="104" spans="1:49" x14ac:dyDescent="0.25">
      <c r="A104" s="96">
        <v>104</v>
      </c>
      <c r="B104" s="148">
        <v>1939</v>
      </c>
      <c r="C104" s="32" t="s">
        <v>152</v>
      </c>
      <c r="D104" s="32" t="s">
        <v>19</v>
      </c>
      <c r="E104" s="32" t="s">
        <v>9</v>
      </c>
      <c r="F104" s="32" t="s">
        <v>107</v>
      </c>
      <c r="G104" s="69">
        <v>44694</v>
      </c>
      <c r="H104" s="77" t="s">
        <v>389</v>
      </c>
      <c r="I104" s="77" t="s">
        <v>13</v>
      </c>
      <c r="J104" s="78" t="s">
        <v>390</v>
      </c>
      <c r="K104" s="78" t="s">
        <v>390</v>
      </c>
      <c r="L104" s="78" t="s">
        <v>390</v>
      </c>
      <c r="M104" s="78" t="s">
        <v>390</v>
      </c>
      <c r="N104" s="78" t="s">
        <v>390</v>
      </c>
      <c r="O104" s="79" t="s">
        <v>391</v>
      </c>
      <c r="P104" s="77" t="s">
        <v>13</v>
      </c>
      <c r="Q104" s="80" t="s">
        <v>14</v>
      </c>
      <c r="R104" s="80" t="s">
        <v>14</v>
      </c>
      <c r="S104" s="78" t="s">
        <v>390</v>
      </c>
      <c r="T104" s="78" t="s">
        <v>390</v>
      </c>
      <c r="U104" s="78" t="s">
        <v>390</v>
      </c>
      <c r="V104" s="78" t="s">
        <v>390</v>
      </c>
      <c r="W104" s="77" t="s">
        <v>13</v>
      </c>
      <c r="X104" s="78" t="s">
        <v>390</v>
      </c>
      <c r="Y104" s="78" t="s">
        <v>390</v>
      </c>
      <c r="Z104" s="78" t="s">
        <v>390</v>
      </c>
      <c r="AA104" s="81" t="s">
        <v>392</v>
      </c>
      <c r="AB104" s="80" t="s">
        <v>14</v>
      </c>
      <c r="AC104" s="78" t="s">
        <v>390</v>
      </c>
      <c r="AD104" s="77" t="s">
        <v>13</v>
      </c>
      <c r="AE104" s="78" t="s">
        <v>390</v>
      </c>
      <c r="AF104" s="78" t="s">
        <v>390</v>
      </c>
      <c r="AG104" s="78" t="s">
        <v>390</v>
      </c>
      <c r="AH104" s="78" t="s">
        <v>390</v>
      </c>
      <c r="AI104" s="78" t="s">
        <v>390</v>
      </c>
      <c r="AJ104" s="78" t="s">
        <v>390</v>
      </c>
      <c r="AK104" s="77" t="s">
        <v>13</v>
      </c>
      <c r="AL104" s="106">
        <f t="shared" si="5"/>
        <v>19</v>
      </c>
      <c r="AM104" s="106">
        <f t="shared" si="6"/>
        <v>0</v>
      </c>
      <c r="AN104" s="106">
        <f t="shared" si="7"/>
        <v>0.5</v>
      </c>
      <c r="AO104" s="106">
        <f t="shared" si="8"/>
        <v>19.5</v>
      </c>
      <c r="AP104" s="106">
        <f t="shared" si="9"/>
        <v>3.5</v>
      </c>
      <c r="AQ104" s="134">
        <v>50</v>
      </c>
      <c r="AR104" s="134">
        <v>1300</v>
      </c>
      <c r="AS104" s="134">
        <v>497</v>
      </c>
      <c r="AT104" s="135">
        <v>38.230769230769226</v>
      </c>
      <c r="AU104" s="106" t="s">
        <v>427</v>
      </c>
      <c r="AV104" s="100"/>
      <c r="AW104" s="100"/>
    </row>
    <row r="105" spans="1:49" x14ac:dyDescent="0.25">
      <c r="A105" s="96">
        <v>105</v>
      </c>
      <c r="B105" s="148">
        <v>1940</v>
      </c>
      <c r="C105" s="32" t="s">
        <v>153</v>
      </c>
      <c r="D105" s="32" t="s">
        <v>80</v>
      </c>
      <c r="E105" s="32" t="s">
        <v>39</v>
      </c>
      <c r="F105" s="32" t="s">
        <v>93</v>
      </c>
      <c r="G105" s="69">
        <v>44697</v>
      </c>
      <c r="H105" s="77" t="s">
        <v>389</v>
      </c>
      <c r="I105" s="77" t="s">
        <v>13</v>
      </c>
      <c r="J105" s="78" t="s">
        <v>390</v>
      </c>
      <c r="K105" s="78" t="s">
        <v>390</v>
      </c>
      <c r="L105" s="78" t="s">
        <v>390</v>
      </c>
      <c r="M105" s="78" t="s">
        <v>390</v>
      </c>
      <c r="N105" s="78" t="s">
        <v>390</v>
      </c>
      <c r="O105" s="78" t="s">
        <v>390</v>
      </c>
      <c r="P105" s="77" t="s">
        <v>13</v>
      </c>
      <c r="Q105" s="78" t="s">
        <v>390</v>
      </c>
      <c r="R105" s="78" t="s">
        <v>390</v>
      </c>
      <c r="S105" s="81" t="s">
        <v>392</v>
      </c>
      <c r="T105" s="85" t="s">
        <v>378</v>
      </c>
      <c r="U105" s="78" t="s">
        <v>390</v>
      </c>
      <c r="V105" s="78" t="s">
        <v>390</v>
      </c>
      <c r="W105" s="77" t="s">
        <v>13</v>
      </c>
      <c r="X105" s="78" t="s">
        <v>390</v>
      </c>
      <c r="Y105" s="78" t="s">
        <v>390</v>
      </c>
      <c r="Z105" s="78" t="s">
        <v>390</v>
      </c>
      <c r="AA105" s="78" t="s">
        <v>390</v>
      </c>
      <c r="AB105" s="78" t="s">
        <v>390</v>
      </c>
      <c r="AC105" s="78" t="s">
        <v>390</v>
      </c>
      <c r="AD105" s="77" t="s">
        <v>13</v>
      </c>
      <c r="AE105" s="78" t="s">
        <v>390</v>
      </c>
      <c r="AF105" s="78" t="s">
        <v>390</v>
      </c>
      <c r="AG105" s="79" t="s">
        <v>391</v>
      </c>
      <c r="AH105" s="78" t="s">
        <v>390</v>
      </c>
      <c r="AI105" s="78" t="s">
        <v>390</v>
      </c>
      <c r="AJ105" s="78" t="s">
        <v>390</v>
      </c>
      <c r="AK105" s="77" t="s">
        <v>13</v>
      </c>
      <c r="AL105" s="106">
        <f t="shared" si="5"/>
        <v>21</v>
      </c>
      <c r="AM105" s="106">
        <f t="shared" si="6"/>
        <v>1</v>
      </c>
      <c r="AN105" s="106">
        <f t="shared" si="7"/>
        <v>0.5</v>
      </c>
      <c r="AO105" s="106">
        <f t="shared" si="8"/>
        <v>22.5</v>
      </c>
      <c r="AP105" s="106">
        <f t="shared" si="9"/>
        <v>0.5</v>
      </c>
      <c r="AQ105" s="134">
        <v>80</v>
      </c>
      <c r="AR105" s="134">
        <v>2160</v>
      </c>
      <c r="AS105" s="134">
        <v>11</v>
      </c>
      <c r="AT105" s="135">
        <v>0.5092592592592593</v>
      </c>
      <c r="AU105" s="106" t="s">
        <v>427</v>
      </c>
      <c r="AV105" s="100"/>
      <c r="AW105" s="100"/>
    </row>
    <row r="106" spans="1:49" x14ac:dyDescent="0.25">
      <c r="A106" s="96">
        <v>106</v>
      </c>
      <c r="B106" s="148">
        <v>1950</v>
      </c>
      <c r="C106" s="32" t="s">
        <v>154</v>
      </c>
      <c r="D106" s="32" t="s">
        <v>19</v>
      </c>
      <c r="E106" s="32" t="s">
        <v>39</v>
      </c>
      <c r="F106" s="32" t="s">
        <v>89</v>
      </c>
      <c r="G106" s="60">
        <v>44613</v>
      </c>
      <c r="H106" s="77" t="s">
        <v>389</v>
      </c>
      <c r="I106" s="77" t="s">
        <v>13</v>
      </c>
      <c r="J106" s="78" t="s">
        <v>390</v>
      </c>
      <c r="K106" s="78" t="s">
        <v>390</v>
      </c>
      <c r="L106" s="78" t="s">
        <v>390</v>
      </c>
      <c r="M106" s="78" t="s">
        <v>390</v>
      </c>
      <c r="N106" s="81" t="s">
        <v>392</v>
      </c>
      <c r="O106" s="79" t="s">
        <v>391</v>
      </c>
      <c r="P106" s="77" t="s">
        <v>13</v>
      </c>
      <c r="Q106" s="80" t="s">
        <v>14</v>
      </c>
      <c r="R106" s="80" t="s">
        <v>14</v>
      </c>
      <c r="S106" s="78" t="s">
        <v>390</v>
      </c>
      <c r="T106" s="78" t="s">
        <v>390</v>
      </c>
      <c r="U106" s="78" t="s">
        <v>390</v>
      </c>
      <c r="V106" s="78" t="s">
        <v>390</v>
      </c>
      <c r="W106" s="78" t="s">
        <v>390</v>
      </c>
      <c r="X106" s="78" t="s">
        <v>390</v>
      </c>
      <c r="Y106" s="78" t="s">
        <v>390</v>
      </c>
      <c r="Z106" s="78" t="s">
        <v>390</v>
      </c>
      <c r="AA106" s="78" t="s">
        <v>390</v>
      </c>
      <c r="AB106" s="78" t="s">
        <v>390</v>
      </c>
      <c r="AC106" s="78" t="s">
        <v>390</v>
      </c>
      <c r="AD106" s="77" t="s">
        <v>13</v>
      </c>
      <c r="AE106" s="78" t="s">
        <v>390</v>
      </c>
      <c r="AF106" s="78" t="s">
        <v>390</v>
      </c>
      <c r="AG106" s="78" t="s">
        <v>390</v>
      </c>
      <c r="AH106" s="78" t="s">
        <v>390</v>
      </c>
      <c r="AI106" s="78" t="s">
        <v>390</v>
      </c>
      <c r="AJ106" s="78" t="s">
        <v>390</v>
      </c>
      <c r="AK106" s="78" t="s">
        <v>390</v>
      </c>
      <c r="AL106" s="106">
        <f t="shared" si="5"/>
        <v>22</v>
      </c>
      <c r="AM106" s="106">
        <f t="shared" si="6"/>
        <v>0</v>
      </c>
      <c r="AN106" s="106">
        <f t="shared" si="7"/>
        <v>0.5</v>
      </c>
      <c r="AO106" s="106">
        <f t="shared" si="8"/>
        <v>22.5</v>
      </c>
      <c r="AP106" s="106">
        <f t="shared" si="9"/>
        <v>2.5</v>
      </c>
      <c r="AQ106" s="134">
        <v>50</v>
      </c>
      <c r="AR106" s="134">
        <v>1450</v>
      </c>
      <c r="AS106" s="134">
        <v>8</v>
      </c>
      <c r="AT106" s="135">
        <v>0.55172413793103448</v>
      </c>
      <c r="AU106" s="106" t="s">
        <v>427</v>
      </c>
      <c r="AV106" s="100"/>
      <c r="AW106" s="100"/>
    </row>
    <row r="107" spans="1:49" x14ac:dyDescent="0.25">
      <c r="A107" s="96">
        <v>107</v>
      </c>
      <c r="B107" s="148">
        <v>1956</v>
      </c>
      <c r="C107" s="32" t="s">
        <v>155</v>
      </c>
      <c r="D107" s="32" t="s">
        <v>80</v>
      </c>
      <c r="E107" s="32" t="s">
        <v>20</v>
      </c>
      <c r="F107" s="32" t="s">
        <v>89</v>
      </c>
      <c r="G107" s="67">
        <v>44720</v>
      </c>
      <c r="H107" s="77" t="s">
        <v>389</v>
      </c>
      <c r="I107" s="77" t="s">
        <v>13</v>
      </c>
      <c r="J107" s="78" t="s">
        <v>390</v>
      </c>
      <c r="K107" s="78" t="s">
        <v>390</v>
      </c>
      <c r="L107" s="78" t="s">
        <v>390</v>
      </c>
      <c r="M107" s="78" t="s">
        <v>390</v>
      </c>
      <c r="N107" s="78" t="s">
        <v>390</v>
      </c>
      <c r="O107" s="85" t="s">
        <v>378</v>
      </c>
      <c r="P107" s="77" t="s">
        <v>13</v>
      </c>
      <c r="Q107" s="78" t="s">
        <v>390</v>
      </c>
      <c r="R107" s="78" t="s">
        <v>390</v>
      </c>
      <c r="S107" s="78" t="s">
        <v>390</v>
      </c>
      <c r="T107" s="78" t="s">
        <v>390</v>
      </c>
      <c r="U107" s="78" t="s">
        <v>390</v>
      </c>
      <c r="V107" s="78" t="s">
        <v>390</v>
      </c>
      <c r="W107" s="77" t="s">
        <v>13</v>
      </c>
      <c r="X107" s="85" t="s">
        <v>378</v>
      </c>
      <c r="Y107" s="85" t="s">
        <v>378</v>
      </c>
      <c r="Z107" s="85" t="s">
        <v>378</v>
      </c>
      <c r="AA107" s="85" t="s">
        <v>378</v>
      </c>
      <c r="AB107" s="85" t="s">
        <v>378</v>
      </c>
      <c r="AC107" s="85" t="s">
        <v>378</v>
      </c>
      <c r="AD107" s="77" t="s">
        <v>13</v>
      </c>
      <c r="AE107" s="79" t="s">
        <v>391</v>
      </c>
      <c r="AF107" s="80" t="s">
        <v>14</v>
      </c>
      <c r="AG107" s="80" t="s">
        <v>14</v>
      </c>
      <c r="AH107" s="80" t="s">
        <v>14</v>
      </c>
      <c r="AI107" s="80" t="s">
        <v>14</v>
      </c>
      <c r="AJ107" s="80" t="s">
        <v>14</v>
      </c>
      <c r="AK107" s="77" t="s">
        <v>13</v>
      </c>
      <c r="AL107" s="106">
        <f t="shared" si="5"/>
        <v>11</v>
      </c>
      <c r="AM107" s="106">
        <f t="shared" si="6"/>
        <v>7</v>
      </c>
      <c r="AN107" s="106">
        <f t="shared" si="7"/>
        <v>0</v>
      </c>
      <c r="AO107" s="106">
        <f t="shared" si="8"/>
        <v>18</v>
      </c>
      <c r="AP107" s="106">
        <f t="shared" si="9"/>
        <v>5</v>
      </c>
      <c r="AQ107" s="134">
        <v>50</v>
      </c>
      <c r="AR107" s="134">
        <v>1450</v>
      </c>
      <c r="AS107" s="134">
        <v>37</v>
      </c>
      <c r="AT107" s="135">
        <v>2.5517241379310347</v>
      </c>
      <c r="AU107" s="106" t="s">
        <v>427</v>
      </c>
      <c r="AV107" s="100"/>
      <c r="AW107" s="100"/>
    </row>
    <row r="108" spans="1:49" x14ac:dyDescent="0.25">
      <c r="A108" s="96">
        <v>108</v>
      </c>
      <c r="B108" s="148">
        <v>1965</v>
      </c>
      <c r="C108" s="32" t="s">
        <v>156</v>
      </c>
      <c r="D108" s="32" t="s">
        <v>19</v>
      </c>
      <c r="E108" s="32" t="s">
        <v>24</v>
      </c>
      <c r="F108" s="32" t="s">
        <v>89</v>
      </c>
      <c r="G108" s="67">
        <v>44744</v>
      </c>
      <c r="H108" s="77" t="s">
        <v>389</v>
      </c>
      <c r="I108" s="77" t="s">
        <v>13</v>
      </c>
      <c r="J108" s="78" t="s">
        <v>390</v>
      </c>
      <c r="K108" s="78" t="s">
        <v>390</v>
      </c>
      <c r="L108" s="78" t="s">
        <v>390</v>
      </c>
      <c r="M108" s="78" t="s">
        <v>390</v>
      </c>
      <c r="N108" s="78" t="s">
        <v>390</v>
      </c>
      <c r="O108" s="80" t="s">
        <v>391</v>
      </c>
      <c r="P108" s="77" t="s">
        <v>13</v>
      </c>
      <c r="Q108" s="78" t="s">
        <v>390</v>
      </c>
      <c r="R108" s="78" t="s">
        <v>390</v>
      </c>
      <c r="S108" s="78" t="s">
        <v>390</v>
      </c>
      <c r="T108" s="78" t="s">
        <v>390</v>
      </c>
      <c r="U108" s="78" t="s">
        <v>390</v>
      </c>
      <c r="V108" s="78" t="s">
        <v>390</v>
      </c>
      <c r="W108" s="77" t="s">
        <v>13</v>
      </c>
      <c r="X108" s="78" t="s">
        <v>390</v>
      </c>
      <c r="Y108" s="80" t="s">
        <v>14</v>
      </c>
      <c r="Z108" s="78" t="s">
        <v>390</v>
      </c>
      <c r="AA108" s="81" t="s">
        <v>392</v>
      </c>
      <c r="AB108" s="78" t="s">
        <v>390</v>
      </c>
      <c r="AC108" s="78" t="s">
        <v>390</v>
      </c>
      <c r="AD108" s="77" t="s">
        <v>13</v>
      </c>
      <c r="AE108" s="78" t="s">
        <v>390</v>
      </c>
      <c r="AF108" s="78" t="s">
        <v>390</v>
      </c>
      <c r="AG108" s="80" t="s">
        <v>14</v>
      </c>
      <c r="AH108" s="78" t="s">
        <v>390</v>
      </c>
      <c r="AI108" s="78" t="s">
        <v>390</v>
      </c>
      <c r="AJ108" s="78" t="s">
        <v>390</v>
      </c>
      <c r="AK108" s="77" t="s">
        <v>13</v>
      </c>
      <c r="AL108" s="106">
        <f t="shared" si="5"/>
        <v>20</v>
      </c>
      <c r="AM108" s="106">
        <f t="shared" si="6"/>
        <v>0</v>
      </c>
      <c r="AN108" s="106">
        <f t="shared" si="7"/>
        <v>0.5</v>
      </c>
      <c r="AO108" s="106">
        <f t="shared" si="8"/>
        <v>20.5</v>
      </c>
      <c r="AP108" s="106">
        <f t="shared" si="9"/>
        <v>2.5</v>
      </c>
      <c r="AQ108" s="134">
        <v>20</v>
      </c>
      <c r="AR108" s="134">
        <v>520</v>
      </c>
      <c r="AS108" s="134">
        <v>353</v>
      </c>
      <c r="AT108" s="135">
        <v>67.884615384615387</v>
      </c>
      <c r="AU108" s="106" t="s">
        <v>427</v>
      </c>
      <c r="AV108" s="100"/>
      <c r="AW108" s="100"/>
    </row>
    <row r="109" spans="1:49" x14ac:dyDescent="0.25">
      <c r="A109" s="96">
        <v>109</v>
      </c>
      <c r="B109" s="148">
        <v>1975</v>
      </c>
      <c r="C109" s="32" t="s">
        <v>157</v>
      </c>
      <c r="D109" s="32" t="s">
        <v>19</v>
      </c>
      <c r="E109" s="32" t="s">
        <v>45</v>
      </c>
      <c r="F109" s="32" t="s">
        <v>89</v>
      </c>
      <c r="G109" s="60">
        <v>44557</v>
      </c>
      <c r="H109" s="77" t="s">
        <v>389</v>
      </c>
      <c r="I109" s="77" t="s">
        <v>13</v>
      </c>
      <c r="J109" s="78" t="s">
        <v>390</v>
      </c>
      <c r="K109" s="78" t="s">
        <v>390</v>
      </c>
      <c r="L109" s="78" t="s">
        <v>390</v>
      </c>
      <c r="M109" s="78" t="s">
        <v>390</v>
      </c>
      <c r="N109" s="80" t="s">
        <v>14</v>
      </c>
      <c r="O109" s="79" t="s">
        <v>391</v>
      </c>
      <c r="P109" s="77" t="s">
        <v>13</v>
      </c>
      <c r="Q109" s="81" t="s">
        <v>390</v>
      </c>
      <c r="R109" s="78" t="s">
        <v>390</v>
      </c>
      <c r="S109" s="78" t="s">
        <v>390</v>
      </c>
      <c r="T109" s="78" t="s">
        <v>390</v>
      </c>
      <c r="U109" s="78" t="s">
        <v>390</v>
      </c>
      <c r="V109" s="81" t="s">
        <v>390</v>
      </c>
      <c r="W109" s="77" t="s">
        <v>13</v>
      </c>
      <c r="X109" s="78" t="s">
        <v>390</v>
      </c>
      <c r="Y109" s="80" t="s">
        <v>14</v>
      </c>
      <c r="Z109" s="78" t="s">
        <v>390</v>
      </c>
      <c r="AA109" s="78" t="s">
        <v>390</v>
      </c>
      <c r="AB109" s="78" t="s">
        <v>390</v>
      </c>
      <c r="AC109" s="147" t="s">
        <v>390</v>
      </c>
      <c r="AD109" s="77" t="s">
        <v>13</v>
      </c>
      <c r="AE109" s="80" t="s">
        <v>14</v>
      </c>
      <c r="AF109" s="85" t="s">
        <v>14</v>
      </c>
      <c r="AG109" s="85" t="s">
        <v>14</v>
      </c>
      <c r="AH109" s="85" t="s">
        <v>14</v>
      </c>
      <c r="AI109" s="85" t="s">
        <v>14</v>
      </c>
      <c r="AJ109" s="80" t="s">
        <v>395</v>
      </c>
      <c r="AK109" s="77" t="s">
        <v>13</v>
      </c>
      <c r="AL109" s="106">
        <f t="shared" si="5"/>
        <v>15</v>
      </c>
      <c r="AM109" s="106">
        <f t="shared" si="6"/>
        <v>0</v>
      </c>
      <c r="AN109" s="106">
        <f t="shared" si="7"/>
        <v>0</v>
      </c>
      <c r="AO109" s="106">
        <f t="shared" si="8"/>
        <v>15</v>
      </c>
      <c r="AP109" s="106">
        <f t="shared" si="9"/>
        <v>7</v>
      </c>
      <c r="AQ109" s="134">
        <v>18</v>
      </c>
      <c r="AR109" s="134">
        <v>468</v>
      </c>
      <c r="AS109" s="134">
        <v>160</v>
      </c>
      <c r="AT109" s="135">
        <v>34.188034188034187</v>
      </c>
      <c r="AU109" s="106" t="s">
        <v>427</v>
      </c>
      <c r="AV109" s="100"/>
      <c r="AW109" s="100"/>
    </row>
    <row r="110" spans="1:49" x14ac:dyDescent="0.25">
      <c r="A110" s="96">
        <v>110</v>
      </c>
      <c r="B110" s="148">
        <v>1980</v>
      </c>
      <c r="C110" s="32" t="s">
        <v>158</v>
      </c>
      <c r="D110" s="32" t="s">
        <v>19</v>
      </c>
      <c r="E110" s="32" t="s">
        <v>39</v>
      </c>
      <c r="F110" s="32" t="s">
        <v>107</v>
      </c>
      <c r="G110" s="67">
        <v>44750</v>
      </c>
      <c r="H110" s="77" t="s">
        <v>389</v>
      </c>
      <c r="I110" s="77" t="s">
        <v>13</v>
      </c>
      <c r="J110" s="78" t="s">
        <v>390</v>
      </c>
      <c r="K110" s="78" t="s">
        <v>390</v>
      </c>
      <c r="L110" s="78" t="s">
        <v>390</v>
      </c>
      <c r="M110" s="78" t="s">
        <v>390</v>
      </c>
      <c r="N110" s="78" t="s">
        <v>390</v>
      </c>
      <c r="O110" s="79" t="s">
        <v>391</v>
      </c>
      <c r="P110" s="77" t="s">
        <v>13</v>
      </c>
      <c r="Q110" s="78" t="s">
        <v>390</v>
      </c>
      <c r="R110" s="78" t="s">
        <v>390</v>
      </c>
      <c r="S110" s="78" t="s">
        <v>390</v>
      </c>
      <c r="T110" s="78" t="s">
        <v>390</v>
      </c>
      <c r="U110" s="78" t="s">
        <v>390</v>
      </c>
      <c r="V110" s="78" t="s">
        <v>390</v>
      </c>
      <c r="W110" s="77" t="s">
        <v>13</v>
      </c>
      <c r="X110" s="78" t="s">
        <v>390</v>
      </c>
      <c r="Y110" s="78" t="s">
        <v>390</v>
      </c>
      <c r="Z110" s="78" t="s">
        <v>390</v>
      </c>
      <c r="AA110" s="80" t="s">
        <v>14</v>
      </c>
      <c r="AB110" s="78" t="s">
        <v>390</v>
      </c>
      <c r="AC110" s="80" t="s">
        <v>14</v>
      </c>
      <c r="AD110" s="77" t="s">
        <v>13</v>
      </c>
      <c r="AE110" s="78" t="s">
        <v>390</v>
      </c>
      <c r="AF110" s="78" t="s">
        <v>390</v>
      </c>
      <c r="AG110" s="78" t="s">
        <v>390</v>
      </c>
      <c r="AH110" s="78" t="s">
        <v>390</v>
      </c>
      <c r="AI110" s="78" t="s">
        <v>390</v>
      </c>
      <c r="AJ110" s="78" t="s">
        <v>390</v>
      </c>
      <c r="AK110" s="77" t="s">
        <v>13</v>
      </c>
      <c r="AL110" s="106">
        <f t="shared" si="5"/>
        <v>21</v>
      </c>
      <c r="AM110" s="106">
        <f t="shared" si="6"/>
        <v>0</v>
      </c>
      <c r="AN110" s="106">
        <f t="shared" si="7"/>
        <v>0</v>
      </c>
      <c r="AO110" s="106">
        <f t="shared" si="8"/>
        <v>21</v>
      </c>
      <c r="AP110" s="106">
        <f t="shared" si="9"/>
        <v>2</v>
      </c>
      <c r="AQ110" s="134">
        <v>20</v>
      </c>
      <c r="AR110" s="134">
        <v>520</v>
      </c>
      <c r="AS110" s="134">
        <v>330</v>
      </c>
      <c r="AT110" s="135">
        <v>63.46153846153846</v>
      </c>
      <c r="AU110" s="106" t="s">
        <v>427</v>
      </c>
      <c r="AV110" s="100"/>
      <c r="AW110" s="100"/>
    </row>
    <row r="111" spans="1:49" x14ac:dyDescent="0.25">
      <c r="A111" s="96">
        <v>111</v>
      </c>
      <c r="B111" s="148">
        <v>1983</v>
      </c>
      <c r="C111" s="32" t="s">
        <v>159</v>
      </c>
      <c r="D111" s="32" t="s">
        <v>80</v>
      </c>
      <c r="E111" s="32" t="s">
        <v>24</v>
      </c>
      <c r="F111" s="32" t="s">
        <v>93</v>
      </c>
      <c r="G111" s="60">
        <v>44755</v>
      </c>
      <c r="H111" s="77" t="s">
        <v>389</v>
      </c>
      <c r="I111" s="77" t="s">
        <v>13</v>
      </c>
      <c r="J111" s="85" t="s">
        <v>378</v>
      </c>
      <c r="K111" s="76" t="s">
        <v>378</v>
      </c>
      <c r="L111" s="78" t="s">
        <v>390</v>
      </c>
      <c r="M111" s="78" t="s">
        <v>390</v>
      </c>
      <c r="N111" s="78" t="s">
        <v>390</v>
      </c>
      <c r="O111" s="80" t="s">
        <v>391</v>
      </c>
      <c r="P111" s="77" t="s">
        <v>13</v>
      </c>
      <c r="Q111" s="78" t="s">
        <v>390</v>
      </c>
      <c r="R111" s="78" t="s">
        <v>390</v>
      </c>
      <c r="S111" s="78" t="s">
        <v>390</v>
      </c>
      <c r="T111" s="78" t="s">
        <v>390</v>
      </c>
      <c r="U111" s="136" t="s">
        <v>390</v>
      </c>
      <c r="V111" s="78" t="s">
        <v>390</v>
      </c>
      <c r="W111" s="77" t="s">
        <v>13</v>
      </c>
      <c r="X111" s="80" t="s">
        <v>14</v>
      </c>
      <c r="Y111" s="78" t="s">
        <v>390</v>
      </c>
      <c r="Z111" s="78" t="s">
        <v>390</v>
      </c>
      <c r="AA111" s="78" t="s">
        <v>390</v>
      </c>
      <c r="AB111" s="78" t="s">
        <v>390</v>
      </c>
      <c r="AC111" s="78" t="s">
        <v>390</v>
      </c>
      <c r="AD111" s="77" t="s">
        <v>13</v>
      </c>
      <c r="AE111" s="78" t="s">
        <v>390</v>
      </c>
      <c r="AF111" s="78" t="s">
        <v>390</v>
      </c>
      <c r="AG111" s="78" t="s">
        <v>390</v>
      </c>
      <c r="AH111" s="78" t="s">
        <v>390</v>
      </c>
      <c r="AI111" s="78" t="s">
        <v>390</v>
      </c>
      <c r="AJ111" s="78" t="s">
        <v>390</v>
      </c>
      <c r="AK111" s="78" t="s">
        <v>390</v>
      </c>
      <c r="AL111" s="106">
        <f t="shared" si="5"/>
        <v>21</v>
      </c>
      <c r="AM111" s="106">
        <f t="shared" si="6"/>
        <v>2</v>
      </c>
      <c r="AN111" s="106">
        <f t="shared" si="7"/>
        <v>0</v>
      </c>
      <c r="AO111" s="106">
        <f t="shared" si="8"/>
        <v>23</v>
      </c>
      <c r="AP111" s="106">
        <f t="shared" si="9"/>
        <v>1</v>
      </c>
      <c r="AQ111" s="134">
        <v>50</v>
      </c>
      <c r="AR111" s="134">
        <v>1450</v>
      </c>
      <c r="AS111" s="134">
        <v>3</v>
      </c>
      <c r="AT111" s="135">
        <v>0.20689655172413793</v>
      </c>
      <c r="AU111" s="106" t="s">
        <v>427</v>
      </c>
      <c r="AV111" s="100"/>
      <c r="AW111" s="100"/>
    </row>
    <row r="112" spans="1:49" x14ac:dyDescent="0.25">
      <c r="A112" s="96">
        <v>112</v>
      </c>
      <c r="B112" s="148">
        <v>1988</v>
      </c>
      <c r="C112" s="32" t="s">
        <v>160</v>
      </c>
      <c r="D112" s="32" t="s">
        <v>92</v>
      </c>
      <c r="E112" s="32" t="s">
        <v>24</v>
      </c>
      <c r="F112" s="32" t="s">
        <v>89</v>
      </c>
      <c r="G112" s="67">
        <v>44777</v>
      </c>
      <c r="H112" s="77" t="s">
        <v>389</v>
      </c>
      <c r="I112" s="77" t="s">
        <v>13</v>
      </c>
      <c r="J112" s="78" t="s">
        <v>390</v>
      </c>
      <c r="K112" s="78" t="s">
        <v>390</v>
      </c>
      <c r="L112" s="78" t="s">
        <v>390</v>
      </c>
      <c r="M112" s="78" t="s">
        <v>390</v>
      </c>
      <c r="N112" s="78" t="s">
        <v>390</v>
      </c>
      <c r="O112" s="136" t="s">
        <v>390</v>
      </c>
      <c r="P112" s="77" t="s">
        <v>13</v>
      </c>
      <c r="Q112" s="78" t="s">
        <v>390</v>
      </c>
      <c r="R112" s="78" t="s">
        <v>390</v>
      </c>
      <c r="S112" s="78" t="s">
        <v>390</v>
      </c>
      <c r="T112" s="78" t="s">
        <v>390</v>
      </c>
      <c r="U112" s="78" t="s">
        <v>390</v>
      </c>
      <c r="V112" s="82" t="s">
        <v>391</v>
      </c>
      <c r="W112" s="77" t="s">
        <v>13</v>
      </c>
      <c r="X112" s="85" t="s">
        <v>378</v>
      </c>
      <c r="Y112" s="85" t="s">
        <v>378</v>
      </c>
      <c r="Z112" s="85" t="s">
        <v>378</v>
      </c>
      <c r="AA112" s="85" t="s">
        <v>378</v>
      </c>
      <c r="AB112" s="85" t="s">
        <v>378</v>
      </c>
      <c r="AC112" s="85" t="s">
        <v>378</v>
      </c>
      <c r="AD112" s="77" t="s">
        <v>13</v>
      </c>
      <c r="AE112" s="80" t="s">
        <v>14</v>
      </c>
      <c r="AF112" s="80" t="s">
        <v>14</v>
      </c>
      <c r="AG112" s="80" t="s">
        <v>14</v>
      </c>
      <c r="AH112" s="80" t="s">
        <v>14</v>
      </c>
      <c r="AI112" s="80" t="s">
        <v>14</v>
      </c>
      <c r="AJ112" s="80" t="s">
        <v>14</v>
      </c>
      <c r="AK112" s="77" t="s">
        <v>13</v>
      </c>
      <c r="AL112" s="106">
        <f t="shared" si="5"/>
        <v>11</v>
      </c>
      <c r="AM112" s="106">
        <f t="shared" si="6"/>
        <v>6</v>
      </c>
      <c r="AN112" s="106">
        <f t="shared" si="7"/>
        <v>0</v>
      </c>
      <c r="AO112" s="106">
        <f t="shared" si="8"/>
        <v>17</v>
      </c>
      <c r="AP112" s="106">
        <f t="shared" si="9"/>
        <v>6</v>
      </c>
      <c r="AQ112" s="134">
        <v>70</v>
      </c>
      <c r="AR112" s="134">
        <v>1890</v>
      </c>
      <c r="AS112" s="134">
        <v>879</v>
      </c>
      <c r="AT112" s="135">
        <v>46.507936507936506</v>
      </c>
      <c r="AU112" s="106" t="s">
        <v>427</v>
      </c>
      <c r="AV112" s="100"/>
      <c r="AW112" s="100"/>
    </row>
    <row r="113" spans="1:49" x14ac:dyDescent="0.25">
      <c r="A113" s="96">
        <v>113</v>
      </c>
      <c r="B113" s="148">
        <v>1990</v>
      </c>
      <c r="C113" s="32" t="s">
        <v>161</v>
      </c>
      <c r="D113" s="32" t="s">
        <v>8</v>
      </c>
      <c r="E113" s="32" t="s">
        <v>39</v>
      </c>
      <c r="F113" s="32" t="s">
        <v>89</v>
      </c>
      <c r="G113" s="67">
        <v>44777</v>
      </c>
      <c r="H113" s="77" t="s">
        <v>389</v>
      </c>
      <c r="I113" s="77" t="s">
        <v>13</v>
      </c>
      <c r="J113" s="78" t="s">
        <v>390</v>
      </c>
      <c r="K113" s="78" t="s">
        <v>390</v>
      </c>
      <c r="L113" s="78" t="s">
        <v>390</v>
      </c>
      <c r="M113" s="78" t="s">
        <v>390</v>
      </c>
      <c r="N113" s="80" t="s">
        <v>14</v>
      </c>
      <c r="O113" s="78" t="s">
        <v>390</v>
      </c>
      <c r="P113" s="77" t="s">
        <v>13</v>
      </c>
      <c r="Q113" s="78" t="s">
        <v>390</v>
      </c>
      <c r="R113" s="78" t="s">
        <v>390</v>
      </c>
      <c r="S113" s="78" t="s">
        <v>390</v>
      </c>
      <c r="T113" s="78" t="s">
        <v>390</v>
      </c>
      <c r="U113" s="79" t="s">
        <v>391</v>
      </c>
      <c r="V113" s="78" t="s">
        <v>390</v>
      </c>
      <c r="W113" s="77" t="s">
        <v>13</v>
      </c>
      <c r="X113" s="78" t="s">
        <v>390</v>
      </c>
      <c r="Y113" s="78" t="s">
        <v>390</v>
      </c>
      <c r="Z113" s="78" t="s">
        <v>390</v>
      </c>
      <c r="AA113" s="78" t="s">
        <v>390</v>
      </c>
      <c r="AB113" s="80" t="s">
        <v>14</v>
      </c>
      <c r="AC113" s="78" t="s">
        <v>390</v>
      </c>
      <c r="AD113" s="77" t="s">
        <v>13</v>
      </c>
      <c r="AE113" s="78" t="s">
        <v>390</v>
      </c>
      <c r="AF113" s="78" t="s">
        <v>390</v>
      </c>
      <c r="AG113" s="78" t="s">
        <v>390</v>
      </c>
      <c r="AH113" s="78" t="s">
        <v>390</v>
      </c>
      <c r="AI113" s="78" t="s">
        <v>390</v>
      </c>
      <c r="AJ113" s="78" t="s">
        <v>390</v>
      </c>
      <c r="AK113" s="77" t="s">
        <v>13</v>
      </c>
      <c r="AL113" s="106">
        <f t="shared" si="5"/>
        <v>21</v>
      </c>
      <c r="AM113" s="106">
        <f t="shared" si="6"/>
        <v>0</v>
      </c>
      <c r="AN113" s="106">
        <f t="shared" si="7"/>
        <v>0</v>
      </c>
      <c r="AO113" s="106">
        <f t="shared" si="8"/>
        <v>21</v>
      </c>
      <c r="AP113" s="106">
        <f t="shared" si="9"/>
        <v>2</v>
      </c>
      <c r="AQ113" s="134">
        <v>18</v>
      </c>
      <c r="AR113" s="134">
        <v>468</v>
      </c>
      <c r="AS113" s="134">
        <v>338</v>
      </c>
      <c r="AT113" s="135">
        <v>72.222222222222214</v>
      </c>
      <c r="AU113" s="106" t="s">
        <v>427</v>
      </c>
      <c r="AV113" s="100"/>
      <c r="AW113" s="100"/>
    </row>
    <row r="114" spans="1:49" x14ac:dyDescent="0.25">
      <c r="A114" s="96">
        <v>114</v>
      </c>
      <c r="B114" s="148">
        <v>1991</v>
      </c>
      <c r="C114" s="32" t="s">
        <v>162</v>
      </c>
      <c r="D114" s="32" t="s">
        <v>88</v>
      </c>
      <c r="E114" s="32" t="s">
        <v>24</v>
      </c>
      <c r="F114" s="32" t="s">
        <v>89</v>
      </c>
      <c r="G114" s="60">
        <v>44789</v>
      </c>
      <c r="H114" s="77" t="s">
        <v>389</v>
      </c>
      <c r="I114" s="77" t="s">
        <v>13</v>
      </c>
      <c r="J114" s="78" t="s">
        <v>390</v>
      </c>
      <c r="K114" s="78" t="s">
        <v>390</v>
      </c>
      <c r="L114" s="78" t="s">
        <v>390</v>
      </c>
      <c r="M114" s="78" t="s">
        <v>390</v>
      </c>
      <c r="N114" s="78" t="s">
        <v>390</v>
      </c>
      <c r="O114" s="78" t="s">
        <v>390</v>
      </c>
      <c r="P114" s="77" t="s">
        <v>13</v>
      </c>
      <c r="Q114" s="78" t="s">
        <v>390</v>
      </c>
      <c r="R114" s="78" t="s">
        <v>390</v>
      </c>
      <c r="S114" s="78" t="s">
        <v>390</v>
      </c>
      <c r="T114" s="78" t="s">
        <v>390</v>
      </c>
      <c r="U114" s="78" t="s">
        <v>390</v>
      </c>
      <c r="V114" s="82" t="s">
        <v>391</v>
      </c>
      <c r="W114" s="77" t="s">
        <v>13</v>
      </c>
      <c r="X114" s="78" t="s">
        <v>390</v>
      </c>
      <c r="Y114" s="78" t="s">
        <v>390</v>
      </c>
      <c r="Z114" s="78" t="s">
        <v>390</v>
      </c>
      <c r="AA114" s="78" t="s">
        <v>390</v>
      </c>
      <c r="AB114" s="78" t="s">
        <v>390</v>
      </c>
      <c r="AC114" s="78" t="s">
        <v>390</v>
      </c>
      <c r="AD114" s="77" t="s">
        <v>13</v>
      </c>
      <c r="AE114" s="78" t="s">
        <v>390</v>
      </c>
      <c r="AF114" s="78" t="s">
        <v>390</v>
      </c>
      <c r="AG114" s="78" t="s">
        <v>390</v>
      </c>
      <c r="AH114" s="81" t="s">
        <v>392</v>
      </c>
      <c r="AI114" s="85" t="s">
        <v>378</v>
      </c>
      <c r="AJ114" s="80" t="s">
        <v>14</v>
      </c>
      <c r="AK114" s="77" t="s">
        <v>13</v>
      </c>
      <c r="AL114" s="106">
        <f t="shared" si="5"/>
        <v>20</v>
      </c>
      <c r="AM114" s="106">
        <f t="shared" si="6"/>
        <v>1</v>
      </c>
      <c r="AN114" s="106">
        <f t="shared" si="7"/>
        <v>0.5</v>
      </c>
      <c r="AO114" s="106">
        <f t="shared" si="8"/>
        <v>21.5</v>
      </c>
      <c r="AP114" s="106">
        <f t="shared" si="9"/>
        <v>1.5</v>
      </c>
      <c r="AQ114" s="134"/>
      <c r="AR114" s="134"/>
      <c r="AS114" s="134"/>
      <c r="AT114" s="135"/>
      <c r="AU114" s="106" t="s">
        <v>427</v>
      </c>
      <c r="AV114" s="100"/>
      <c r="AW114" s="100"/>
    </row>
    <row r="115" spans="1:49" x14ac:dyDescent="0.25">
      <c r="A115" s="96">
        <v>115</v>
      </c>
      <c r="B115" s="148">
        <v>1992</v>
      </c>
      <c r="C115" s="32" t="s">
        <v>163</v>
      </c>
      <c r="D115" s="32" t="s">
        <v>23</v>
      </c>
      <c r="E115" s="32" t="s">
        <v>20</v>
      </c>
      <c r="F115" s="32" t="s">
        <v>89</v>
      </c>
      <c r="G115" s="60">
        <v>44789</v>
      </c>
      <c r="H115" s="77" t="s">
        <v>389</v>
      </c>
      <c r="I115" s="77" t="s">
        <v>13</v>
      </c>
      <c r="J115" s="80" t="s">
        <v>14</v>
      </c>
      <c r="K115" s="85" t="s">
        <v>378</v>
      </c>
      <c r="L115" s="78" t="s">
        <v>390</v>
      </c>
      <c r="M115" s="78" t="s">
        <v>390</v>
      </c>
      <c r="N115" s="78" t="s">
        <v>390</v>
      </c>
      <c r="O115" s="78" t="s">
        <v>390</v>
      </c>
      <c r="P115" s="77" t="s">
        <v>13</v>
      </c>
      <c r="Q115" s="78" t="s">
        <v>390</v>
      </c>
      <c r="R115" s="78" t="s">
        <v>390</v>
      </c>
      <c r="S115" s="78" t="s">
        <v>390</v>
      </c>
      <c r="T115" s="78" t="s">
        <v>390</v>
      </c>
      <c r="U115" s="78" t="s">
        <v>390</v>
      </c>
      <c r="V115" s="78" t="s">
        <v>390</v>
      </c>
      <c r="W115" s="77" t="s">
        <v>13</v>
      </c>
      <c r="X115" s="78" t="s">
        <v>390</v>
      </c>
      <c r="Y115" s="78" t="s">
        <v>390</v>
      </c>
      <c r="Z115" s="78" t="s">
        <v>390</v>
      </c>
      <c r="AA115" s="78" t="s">
        <v>390</v>
      </c>
      <c r="AB115" s="78" t="s">
        <v>390</v>
      </c>
      <c r="AC115" s="78" t="s">
        <v>390</v>
      </c>
      <c r="AD115" s="77" t="s">
        <v>13</v>
      </c>
      <c r="AE115" s="78" t="s">
        <v>390</v>
      </c>
      <c r="AF115" s="79" t="s">
        <v>391</v>
      </c>
      <c r="AG115" s="78" t="s">
        <v>390</v>
      </c>
      <c r="AH115" s="78" t="s">
        <v>390</v>
      </c>
      <c r="AI115" s="78" t="s">
        <v>390</v>
      </c>
      <c r="AJ115" s="78" t="s">
        <v>390</v>
      </c>
      <c r="AK115" s="77" t="s">
        <v>13</v>
      </c>
      <c r="AL115" s="106">
        <f t="shared" si="5"/>
        <v>21</v>
      </c>
      <c r="AM115" s="106">
        <f t="shared" si="6"/>
        <v>1</v>
      </c>
      <c r="AN115" s="106">
        <f t="shared" si="7"/>
        <v>0</v>
      </c>
      <c r="AO115" s="106">
        <f t="shared" si="8"/>
        <v>22</v>
      </c>
      <c r="AP115" s="106">
        <f t="shared" si="9"/>
        <v>1</v>
      </c>
      <c r="AQ115" s="134">
        <v>50</v>
      </c>
      <c r="AR115" s="134">
        <v>1450</v>
      </c>
      <c r="AS115" s="134">
        <v>89</v>
      </c>
      <c r="AT115" s="135">
        <v>6.1379310344827589</v>
      </c>
      <c r="AU115" s="106" t="s">
        <v>427</v>
      </c>
      <c r="AV115" s="100"/>
      <c r="AW115" s="100"/>
    </row>
    <row r="116" spans="1:49" x14ac:dyDescent="0.25">
      <c r="A116" s="96">
        <v>116</v>
      </c>
      <c r="B116" s="148">
        <v>1993</v>
      </c>
      <c r="C116" s="32" t="s">
        <v>164</v>
      </c>
      <c r="D116" s="32" t="s">
        <v>92</v>
      </c>
      <c r="E116" s="32" t="s">
        <v>39</v>
      </c>
      <c r="F116" s="32" t="s">
        <v>89</v>
      </c>
      <c r="G116" s="60">
        <v>44791</v>
      </c>
      <c r="H116" s="77" t="s">
        <v>389</v>
      </c>
      <c r="I116" s="77" t="s">
        <v>13</v>
      </c>
      <c r="J116" s="80" t="s">
        <v>14</v>
      </c>
      <c r="K116" s="78" t="s">
        <v>390</v>
      </c>
      <c r="L116" s="78" t="s">
        <v>390</v>
      </c>
      <c r="M116" s="78" t="s">
        <v>390</v>
      </c>
      <c r="N116" s="78" t="s">
        <v>390</v>
      </c>
      <c r="O116" s="79" t="s">
        <v>391</v>
      </c>
      <c r="P116" s="77" t="s">
        <v>13</v>
      </c>
      <c r="Q116" s="78" t="s">
        <v>390</v>
      </c>
      <c r="R116" s="78" t="s">
        <v>390</v>
      </c>
      <c r="S116" s="78" t="s">
        <v>390</v>
      </c>
      <c r="T116" s="78" t="s">
        <v>390</v>
      </c>
      <c r="U116" s="78" t="s">
        <v>390</v>
      </c>
      <c r="V116" s="78" t="s">
        <v>390</v>
      </c>
      <c r="W116" s="77" t="s">
        <v>13</v>
      </c>
      <c r="X116" s="78" t="s">
        <v>390</v>
      </c>
      <c r="Y116" s="78" t="s">
        <v>390</v>
      </c>
      <c r="Z116" s="85" t="s">
        <v>378</v>
      </c>
      <c r="AA116" s="85" t="s">
        <v>378</v>
      </c>
      <c r="AB116" s="85" t="s">
        <v>378</v>
      </c>
      <c r="AC116" s="85" t="s">
        <v>378</v>
      </c>
      <c r="AD116" s="77" t="s">
        <v>13</v>
      </c>
      <c r="AE116" s="85" t="s">
        <v>378</v>
      </c>
      <c r="AF116" s="85" t="s">
        <v>378</v>
      </c>
      <c r="AG116" s="85" t="s">
        <v>378</v>
      </c>
      <c r="AH116" s="85" t="s">
        <v>378</v>
      </c>
      <c r="AI116" s="85" t="s">
        <v>378</v>
      </c>
      <c r="AJ116" s="85" t="s">
        <v>378</v>
      </c>
      <c r="AK116" s="77" t="s">
        <v>13</v>
      </c>
      <c r="AL116" s="106">
        <f t="shared" si="5"/>
        <v>12</v>
      </c>
      <c r="AM116" s="106">
        <f t="shared" si="6"/>
        <v>10</v>
      </c>
      <c r="AN116" s="106">
        <f t="shared" si="7"/>
        <v>0</v>
      </c>
      <c r="AO116" s="106">
        <f t="shared" si="8"/>
        <v>22</v>
      </c>
      <c r="AP116" s="106">
        <f t="shared" si="9"/>
        <v>1</v>
      </c>
      <c r="AQ116" s="134">
        <v>50</v>
      </c>
      <c r="AR116" s="134">
        <v>1350</v>
      </c>
      <c r="AS116" s="134">
        <v>1512</v>
      </c>
      <c r="AT116" s="135">
        <v>112.00000000000001</v>
      </c>
      <c r="AU116" s="106" t="s">
        <v>427</v>
      </c>
      <c r="AV116" s="100"/>
      <c r="AW116" s="100"/>
    </row>
    <row r="117" spans="1:49" x14ac:dyDescent="0.25">
      <c r="A117" s="96">
        <v>117</v>
      </c>
      <c r="B117" s="148">
        <v>1995</v>
      </c>
      <c r="C117" s="32" t="s">
        <v>165</v>
      </c>
      <c r="D117" s="32" t="s">
        <v>19</v>
      </c>
      <c r="E117" s="32" t="s">
        <v>39</v>
      </c>
      <c r="F117" s="32" t="s">
        <v>89</v>
      </c>
      <c r="G117" s="60">
        <v>44726</v>
      </c>
      <c r="H117" s="77" t="s">
        <v>389</v>
      </c>
      <c r="I117" s="77" t="s">
        <v>13</v>
      </c>
      <c r="J117" s="78" t="s">
        <v>390</v>
      </c>
      <c r="K117" s="78" t="s">
        <v>390</v>
      </c>
      <c r="L117" s="78" t="s">
        <v>390</v>
      </c>
      <c r="M117" s="78" t="s">
        <v>390</v>
      </c>
      <c r="N117" s="78" t="s">
        <v>390</v>
      </c>
      <c r="O117" s="79" t="s">
        <v>391</v>
      </c>
      <c r="P117" s="77" t="s">
        <v>13</v>
      </c>
      <c r="Q117" s="78" t="s">
        <v>390</v>
      </c>
      <c r="R117" s="78" t="s">
        <v>390</v>
      </c>
      <c r="S117" s="78" t="s">
        <v>390</v>
      </c>
      <c r="T117" s="78" t="s">
        <v>390</v>
      </c>
      <c r="U117" s="78" t="s">
        <v>390</v>
      </c>
      <c r="V117" s="78" t="s">
        <v>390</v>
      </c>
      <c r="W117" s="77" t="s">
        <v>13</v>
      </c>
      <c r="X117" s="78" t="s">
        <v>390</v>
      </c>
      <c r="Y117" s="78" t="s">
        <v>390</v>
      </c>
      <c r="Z117" s="78" t="s">
        <v>390</v>
      </c>
      <c r="AA117" s="78" t="s">
        <v>390</v>
      </c>
      <c r="AB117" s="78" t="s">
        <v>390</v>
      </c>
      <c r="AC117" s="80" t="s">
        <v>14</v>
      </c>
      <c r="AD117" s="77" t="s">
        <v>13</v>
      </c>
      <c r="AE117" s="80" t="s">
        <v>14</v>
      </c>
      <c r="AF117" s="78" t="s">
        <v>390</v>
      </c>
      <c r="AG117" s="78" t="s">
        <v>390</v>
      </c>
      <c r="AH117" s="78" t="s">
        <v>390</v>
      </c>
      <c r="AI117" s="78" t="s">
        <v>390</v>
      </c>
      <c r="AJ117" s="78" t="s">
        <v>390</v>
      </c>
      <c r="AK117" s="77" t="s">
        <v>13</v>
      </c>
      <c r="AL117" s="106">
        <f t="shared" si="5"/>
        <v>21</v>
      </c>
      <c r="AM117" s="106">
        <f t="shared" si="6"/>
        <v>0</v>
      </c>
      <c r="AN117" s="106">
        <f t="shared" si="7"/>
        <v>0</v>
      </c>
      <c r="AO117" s="106">
        <f t="shared" si="8"/>
        <v>21</v>
      </c>
      <c r="AP117" s="106">
        <f t="shared" si="9"/>
        <v>2</v>
      </c>
      <c r="AQ117" s="134">
        <v>15</v>
      </c>
      <c r="AR117" s="134">
        <v>390</v>
      </c>
      <c r="AS117" s="134">
        <v>292</v>
      </c>
      <c r="AT117" s="135">
        <v>74.871794871794876</v>
      </c>
      <c r="AU117" s="106" t="s">
        <v>427</v>
      </c>
      <c r="AV117" s="100"/>
      <c r="AW117" s="100"/>
    </row>
    <row r="118" spans="1:49" x14ac:dyDescent="0.25">
      <c r="A118" s="96">
        <v>118</v>
      </c>
      <c r="B118" s="148">
        <v>2001</v>
      </c>
      <c r="C118" s="32" t="s">
        <v>115</v>
      </c>
      <c r="D118" s="32" t="s">
        <v>114</v>
      </c>
      <c r="E118" s="32" t="s">
        <v>99</v>
      </c>
      <c r="F118" s="32" t="s">
        <v>125</v>
      </c>
      <c r="G118" s="60">
        <v>44799</v>
      </c>
      <c r="H118" s="75" t="s">
        <v>12</v>
      </c>
      <c r="I118" s="75" t="s">
        <v>13</v>
      </c>
      <c r="J118" s="88" t="s">
        <v>392</v>
      </c>
      <c r="K118" s="84" t="s">
        <v>390</v>
      </c>
      <c r="L118" s="84" t="s">
        <v>390</v>
      </c>
      <c r="M118" s="84" t="s">
        <v>390</v>
      </c>
      <c r="N118" s="84" t="s">
        <v>390</v>
      </c>
      <c r="O118" s="84" t="s">
        <v>390</v>
      </c>
      <c r="P118" s="75" t="s">
        <v>13</v>
      </c>
      <c r="Q118" s="84" t="s">
        <v>390</v>
      </c>
      <c r="R118" s="84" t="s">
        <v>390</v>
      </c>
      <c r="S118" s="84" t="s">
        <v>390</v>
      </c>
      <c r="T118" s="84" t="s">
        <v>390</v>
      </c>
      <c r="U118" s="84" t="s">
        <v>390</v>
      </c>
      <c r="V118" s="82" t="s">
        <v>391</v>
      </c>
      <c r="W118" s="75" t="s">
        <v>13</v>
      </c>
      <c r="X118" s="84" t="s">
        <v>390</v>
      </c>
      <c r="Y118" s="84" t="s">
        <v>390</v>
      </c>
      <c r="Z118" s="84" t="s">
        <v>390</v>
      </c>
      <c r="AA118" s="84" t="s">
        <v>390</v>
      </c>
      <c r="AB118" s="84" t="s">
        <v>390</v>
      </c>
      <c r="AC118" s="84" t="s">
        <v>390</v>
      </c>
      <c r="AD118" s="75" t="s">
        <v>13</v>
      </c>
      <c r="AE118" s="84" t="s">
        <v>390</v>
      </c>
      <c r="AF118" s="84" t="s">
        <v>390</v>
      </c>
      <c r="AG118" s="84" t="s">
        <v>390</v>
      </c>
      <c r="AH118" s="84" t="s">
        <v>390</v>
      </c>
      <c r="AI118" s="84" t="s">
        <v>390</v>
      </c>
      <c r="AJ118" s="84" t="s">
        <v>390</v>
      </c>
      <c r="AK118" s="75" t="s">
        <v>13</v>
      </c>
      <c r="AL118" s="106">
        <f t="shared" si="5"/>
        <v>22</v>
      </c>
      <c r="AM118" s="106">
        <f t="shared" si="6"/>
        <v>0</v>
      </c>
      <c r="AN118" s="106">
        <f t="shared" si="7"/>
        <v>0.5</v>
      </c>
      <c r="AO118" s="106">
        <f t="shared" si="8"/>
        <v>22.5</v>
      </c>
      <c r="AP118" s="106">
        <f t="shared" si="9"/>
        <v>0.5</v>
      </c>
      <c r="AQ118" s="134"/>
      <c r="AR118" s="134"/>
      <c r="AS118" s="134"/>
      <c r="AT118" s="135"/>
      <c r="AU118" s="106" t="s">
        <v>427</v>
      </c>
      <c r="AV118" s="100"/>
      <c r="AW118" s="100"/>
    </row>
    <row r="119" spans="1:49" x14ac:dyDescent="0.25">
      <c r="A119" s="96">
        <v>119</v>
      </c>
      <c r="B119" s="148">
        <v>2012</v>
      </c>
      <c r="C119" s="32" t="s">
        <v>166</v>
      </c>
      <c r="D119" s="32" t="s">
        <v>44</v>
      </c>
      <c r="E119" s="30" t="s">
        <v>28</v>
      </c>
      <c r="F119" s="32" t="s">
        <v>89</v>
      </c>
      <c r="G119" s="60">
        <v>44767</v>
      </c>
      <c r="H119" s="77" t="s">
        <v>389</v>
      </c>
      <c r="I119" s="77" t="s">
        <v>13</v>
      </c>
      <c r="J119" s="89" t="s">
        <v>378</v>
      </c>
      <c r="K119" s="89" t="s">
        <v>378</v>
      </c>
      <c r="L119" s="89" t="s">
        <v>378</v>
      </c>
      <c r="M119" s="89" t="s">
        <v>378</v>
      </c>
      <c r="N119" s="89" t="s">
        <v>378</v>
      </c>
      <c r="O119" s="89" t="s">
        <v>378</v>
      </c>
      <c r="P119" s="77" t="s">
        <v>13</v>
      </c>
      <c r="Q119" s="89" t="s">
        <v>378</v>
      </c>
      <c r="R119" s="89" t="s">
        <v>378</v>
      </c>
      <c r="S119" s="89" t="s">
        <v>378</v>
      </c>
      <c r="T119" s="89" t="s">
        <v>378</v>
      </c>
      <c r="U119" s="89" t="s">
        <v>378</v>
      </c>
      <c r="V119" s="89" t="s">
        <v>378</v>
      </c>
      <c r="W119" s="77" t="s">
        <v>13</v>
      </c>
      <c r="X119" s="89" t="s">
        <v>378</v>
      </c>
      <c r="Y119" s="89" t="s">
        <v>378</v>
      </c>
      <c r="Z119" s="89" t="s">
        <v>378</v>
      </c>
      <c r="AA119" s="89" t="s">
        <v>378</v>
      </c>
      <c r="AB119" s="89" t="s">
        <v>378</v>
      </c>
      <c r="AC119" s="89" t="s">
        <v>378</v>
      </c>
      <c r="AD119" s="89" t="s">
        <v>378</v>
      </c>
      <c r="AE119" s="89" t="s">
        <v>378</v>
      </c>
      <c r="AF119" s="89" t="s">
        <v>378</v>
      </c>
      <c r="AG119" s="89" t="s">
        <v>378</v>
      </c>
      <c r="AH119" s="89" t="s">
        <v>378</v>
      </c>
      <c r="AI119" s="89" t="s">
        <v>378</v>
      </c>
      <c r="AJ119" s="79" t="s">
        <v>391</v>
      </c>
      <c r="AK119" s="77" t="s">
        <v>13</v>
      </c>
      <c r="AL119" s="106">
        <f t="shared" si="5"/>
        <v>0</v>
      </c>
      <c r="AM119" s="106">
        <f t="shared" si="6"/>
        <v>24</v>
      </c>
      <c r="AN119" s="106">
        <f t="shared" si="7"/>
        <v>0</v>
      </c>
      <c r="AO119" s="106">
        <f t="shared" si="8"/>
        <v>24</v>
      </c>
      <c r="AP119" s="106">
        <f t="shared" si="9"/>
        <v>0</v>
      </c>
      <c r="AQ119" s="134"/>
      <c r="AR119" s="134"/>
      <c r="AS119" s="134"/>
      <c r="AT119" s="135"/>
      <c r="AU119" s="106" t="s">
        <v>427</v>
      </c>
      <c r="AV119" s="100"/>
      <c r="AW119" s="100"/>
    </row>
    <row r="120" spans="1:49" x14ac:dyDescent="0.25">
      <c r="A120" s="96">
        <v>120</v>
      </c>
      <c r="B120" s="148">
        <v>2014</v>
      </c>
      <c r="C120" s="32" t="s">
        <v>167</v>
      </c>
      <c r="D120" s="32" t="s">
        <v>44</v>
      </c>
      <c r="E120" s="32" t="s">
        <v>39</v>
      </c>
      <c r="F120" s="32" t="s">
        <v>89</v>
      </c>
      <c r="G120" s="60">
        <v>44767</v>
      </c>
      <c r="H120" s="77" t="s">
        <v>389</v>
      </c>
      <c r="I120" s="77" t="s">
        <v>13</v>
      </c>
      <c r="J120" s="80" t="s">
        <v>14</v>
      </c>
      <c r="K120" s="80" t="s">
        <v>14</v>
      </c>
      <c r="L120" s="80" t="s">
        <v>14</v>
      </c>
      <c r="M120" s="80" t="s">
        <v>14</v>
      </c>
      <c r="N120" s="78" t="s">
        <v>390</v>
      </c>
      <c r="O120" s="78" t="s">
        <v>390</v>
      </c>
      <c r="P120" s="77" t="s">
        <v>13</v>
      </c>
      <c r="Q120" s="78" t="s">
        <v>390</v>
      </c>
      <c r="R120" s="78" t="s">
        <v>390</v>
      </c>
      <c r="S120" s="78" t="s">
        <v>390</v>
      </c>
      <c r="T120" s="78" t="s">
        <v>390</v>
      </c>
      <c r="U120" s="78" t="s">
        <v>390</v>
      </c>
      <c r="V120" s="136" t="s">
        <v>390</v>
      </c>
      <c r="W120" s="77" t="s">
        <v>13</v>
      </c>
      <c r="X120" s="78" t="s">
        <v>390</v>
      </c>
      <c r="Y120" s="78" t="s">
        <v>390</v>
      </c>
      <c r="Z120" s="78" t="s">
        <v>390</v>
      </c>
      <c r="AA120" s="78" t="s">
        <v>390</v>
      </c>
      <c r="AB120" s="78" t="s">
        <v>390</v>
      </c>
      <c r="AC120" s="78" t="s">
        <v>390</v>
      </c>
      <c r="AD120" s="77" t="s">
        <v>13</v>
      </c>
      <c r="AE120" s="78" t="s">
        <v>390</v>
      </c>
      <c r="AF120" s="78" t="s">
        <v>390</v>
      </c>
      <c r="AG120" s="78" t="s">
        <v>390</v>
      </c>
      <c r="AH120" s="78" t="s">
        <v>390</v>
      </c>
      <c r="AI120" s="78" t="s">
        <v>390</v>
      </c>
      <c r="AJ120" s="79" t="s">
        <v>391</v>
      </c>
      <c r="AK120" s="77" t="s">
        <v>13</v>
      </c>
      <c r="AL120" s="106">
        <f t="shared" si="5"/>
        <v>19</v>
      </c>
      <c r="AM120" s="106">
        <f t="shared" si="6"/>
        <v>0</v>
      </c>
      <c r="AN120" s="106">
        <f t="shared" si="7"/>
        <v>0</v>
      </c>
      <c r="AO120" s="106">
        <f t="shared" si="8"/>
        <v>19</v>
      </c>
      <c r="AP120" s="106">
        <f t="shared" si="9"/>
        <v>4</v>
      </c>
      <c r="AQ120" s="134">
        <v>110</v>
      </c>
      <c r="AR120" s="134">
        <v>3190</v>
      </c>
      <c r="AS120" s="134">
        <v>2016</v>
      </c>
      <c r="AT120" s="135">
        <v>63.197492163009407</v>
      </c>
      <c r="AU120" s="106" t="s">
        <v>427</v>
      </c>
      <c r="AV120" s="100"/>
      <c r="AW120" s="100"/>
    </row>
    <row r="121" spans="1:49" x14ac:dyDescent="0.25">
      <c r="A121" s="96">
        <v>121</v>
      </c>
      <c r="B121" s="148">
        <v>2025</v>
      </c>
      <c r="C121" s="32" t="s">
        <v>168</v>
      </c>
      <c r="D121" s="32" t="s">
        <v>8</v>
      </c>
      <c r="E121" s="30" t="s">
        <v>28</v>
      </c>
      <c r="F121" s="32" t="s">
        <v>107</v>
      </c>
      <c r="G121" s="67">
        <v>44810</v>
      </c>
      <c r="H121" s="77" t="s">
        <v>389</v>
      </c>
      <c r="I121" s="77" t="s">
        <v>13</v>
      </c>
      <c r="J121" s="85" t="s">
        <v>378</v>
      </c>
      <c r="K121" s="85" t="s">
        <v>378</v>
      </c>
      <c r="L121" s="85" t="s">
        <v>378</v>
      </c>
      <c r="M121" s="85" t="s">
        <v>378</v>
      </c>
      <c r="N121" s="85" t="s">
        <v>378</v>
      </c>
      <c r="O121" s="143" t="s">
        <v>378</v>
      </c>
      <c r="P121" s="77" t="s">
        <v>13</v>
      </c>
      <c r="Q121" s="85" t="s">
        <v>378</v>
      </c>
      <c r="R121" s="85" t="s">
        <v>378</v>
      </c>
      <c r="S121" s="85" t="s">
        <v>378</v>
      </c>
      <c r="T121" s="85" t="s">
        <v>378</v>
      </c>
      <c r="U121" s="81" t="s">
        <v>392</v>
      </c>
      <c r="V121" s="81" t="s">
        <v>392</v>
      </c>
      <c r="W121" s="77" t="s">
        <v>13</v>
      </c>
      <c r="X121" s="85" t="s">
        <v>378</v>
      </c>
      <c r="Y121" s="80" t="s">
        <v>14</v>
      </c>
      <c r="Z121" s="85" t="s">
        <v>378</v>
      </c>
      <c r="AA121" s="85" t="s">
        <v>378</v>
      </c>
      <c r="AB121" s="80" t="s">
        <v>14</v>
      </c>
      <c r="AC121" s="79" t="s">
        <v>391</v>
      </c>
      <c r="AD121" s="85" t="s">
        <v>378</v>
      </c>
      <c r="AE121" s="80" t="s">
        <v>14</v>
      </c>
      <c r="AF121" s="80" t="s">
        <v>14</v>
      </c>
      <c r="AG121" s="80" t="s">
        <v>14</v>
      </c>
      <c r="AH121" s="78" t="s">
        <v>390</v>
      </c>
      <c r="AI121" s="78" t="s">
        <v>390</v>
      </c>
      <c r="AJ121" s="78" t="s">
        <v>390</v>
      </c>
      <c r="AK121" s="77" t="s">
        <v>13</v>
      </c>
      <c r="AL121" s="106">
        <f t="shared" si="5"/>
        <v>3</v>
      </c>
      <c r="AM121" s="106">
        <f t="shared" si="6"/>
        <v>14</v>
      </c>
      <c r="AN121" s="106">
        <f t="shared" si="7"/>
        <v>1</v>
      </c>
      <c r="AO121" s="106">
        <f t="shared" si="8"/>
        <v>18</v>
      </c>
      <c r="AP121" s="106">
        <f t="shared" si="9"/>
        <v>6</v>
      </c>
      <c r="AQ121" s="134">
        <v>25</v>
      </c>
      <c r="AR121" s="134">
        <v>650</v>
      </c>
      <c r="AS121" s="134">
        <v>376</v>
      </c>
      <c r="AT121" s="135">
        <v>57.846153846153847</v>
      </c>
      <c r="AU121" s="106" t="s">
        <v>427</v>
      </c>
      <c r="AV121" s="100"/>
      <c r="AW121" s="100"/>
    </row>
    <row r="122" spans="1:49" x14ac:dyDescent="0.25">
      <c r="A122" s="96">
        <v>122</v>
      </c>
      <c r="B122" s="148">
        <v>2027</v>
      </c>
      <c r="C122" s="32" t="s">
        <v>169</v>
      </c>
      <c r="D122" s="32" t="s">
        <v>19</v>
      </c>
      <c r="E122" s="32" t="s">
        <v>39</v>
      </c>
      <c r="F122" s="32" t="s">
        <v>89</v>
      </c>
      <c r="G122" s="60">
        <v>44816</v>
      </c>
      <c r="H122" s="77" t="s">
        <v>389</v>
      </c>
      <c r="I122" s="77" t="s">
        <v>13</v>
      </c>
      <c r="J122" s="78" t="s">
        <v>390</v>
      </c>
      <c r="K122" s="78" t="s">
        <v>390</v>
      </c>
      <c r="L122" s="78" t="s">
        <v>390</v>
      </c>
      <c r="M122" s="78" t="s">
        <v>390</v>
      </c>
      <c r="N122" s="78" t="s">
        <v>390</v>
      </c>
      <c r="O122" s="78" t="s">
        <v>390</v>
      </c>
      <c r="P122" s="77" t="s">
        <v>13</v>
      </c>
      <c r="Q122" s="78" t="s">
        <v>390</v>
      </c>
      <c r="R122" s="78" t="s">
        <v>390</v>
      </c>
      <c r="S122" s="78" t="s">
        <v>390</v>
      </c>
      <c r="T122" s="78" t="s">
        <v>390</v>
      </c>
      <c r="U122" s="78" t="s">
        <v>390</v>
      </c>
      <c r="V122" s="79" t="s">
        <v>391</v>
      </c>
      <c r="W122" s="77" t="s">
        <v>13</v>
      </c>
      <c r="X122" s="78" t="s">
        <v>390</v>
      </c>
      <c r="Y122" s="78" t="s">
        <v>390</v>
      </c>
      <c r="Z122" s="78" t="s">
        <v>390</v>
      </c>
      <c r="AA122" s="80" t="s">
        <v>14</v>
      </c>
      <c r="AB122" s="78" t="s">
        <v>390</v>
      </c>
      <c r="AC122" s="78" t="s">
        <v>390</v>
      </c>
      <c r="AD122" s="77" t="s">
        <v>13</v>
      </c>
      <c r="AE122" s="78" t="s">
        <v>390</v>
      </c>
      <c r="AF122" s="81" t="s">
        <v>392</v>
      </c>
      <c r="AG122" s="78" t="s">
        <v>390</v>
      </c>
      <c r="AH122" s="78" t="s">
        <v>390</v>
      </c>
      <c r="AI122" s="78" t="s">
        <v>390</v>
      </c>
      <c r="AJ122" s="78" t="s">
        <v>390</v>
      </c>
      <c r="AK122" s="77" t="s">
        <v>13</v>
      </c>
      <c r="AL122" s="106">
        <f t="shared" si="5"/>
        <v>21</v>
      </c>
      <c r="AM122" s="106">
        <f t="shared" si="6"/>
        <v>0</v>
      </c>
      <c r="AN122" s="106">
        <f t="shared" si="7"/>
        <v>0.5</v>
      </c>
      <c r="AO122" s="106">
        <f t="shared" si="8"/>
        <v>21.5</v>
      </c>
      <c r="AP122" s="106">
        <f t="shared" si="9"/>
        <v>1.5</v>
      </c>
      <c r="AQ122" s="134">
        <v>15</v>
      </c>
      <c r="AR122" s="134">
        <v>390</v>
      </c>
      <c r="AS122" s="134">
        <v>287</v>
      </c>
      <c r="AT122" s="135">
        <v>73.589743589743591</v>
      </c>
      <c r="AU122" s="106" t="s">
        <v>427</v>
      </c>
      <c r="AV122" s="100"/>
      <c r="AW122" s="100"/>
    </row>
    <row r="123" spans="1:49" ht="15" x14ac:dyDescent="0.25">
      <c r="A123" s="96">
        <v>123</v>
      </c>
      <c r="B123" s="152">
        <v>2030</v>
      </c>
      <c r="C123" s="50" t="s">
        <v>170</v>
      </c>
      <c r="D123" s="50" t="s">
        <v>92</v>
      </c>
      <c r="E123" s="50" t="s">
        <v>20</v>
      </c>
      <c r="F123" s="50" t="s">
        <v>89</v>
      </c>
      <c r="G123" s="70">
        <v>44798</v>
      </c>
      <c r="H123" s="80" t="s">
        <v>14</v>
      </c>
      <c r="I123" s="80" t="s">
        <v>14</v>
      </c>
      <c r="J123" s="80" t="s">
        <v>14</v>
      </c>
      <c r="K123" s="80" t="s">
        <v>14</v>
      </c>
      <c r="L123" s="80" t="s">
        <v>14</v>
      </c>
      <c r="M123" s="80" t="s">
        <v>14</v>
      </c>
      <c r="N123" s="80" t="s">
        <v>14</v>
      </c>
      <c r="O123" s="80" t="s">
        <v>14</v>
      </c>
      <c r="P123" s="80" t="s">
        <v>14</v>
      </c>
      <c r="Q123" s="80" t="s">
        <v>14</v>
      </c>
      <c r="R123" s="80" t="s">
        <v>14</v>
      </c>
      <c r="S123" s="80" t="s">
        <v>14</v>
      </c>
      <c r="T123" s="80" t="s">
        <v>14</v>
      </c>
      <c r="U123" s="80" t="s">
        <v>14</v>
      </c>
      <c r="V123" s="80" t="s">
        <v>14</v>
      </c>
      <c r="W123" s="80" t="s">
        <v>14</v>
      </c>
      <c r="X123" s="80" t="s">
        <v>14</v>
      </c>
      <c r="Y123" s="80" t="s">
        <v>14</v>
      </c>
      <c r="Z123" s="80" t="s">
        <v>14</v>
      </c>
      <c r="AA123" s="80" t="s">
        <v>14</v>
      </c>
      <c r="AB123" s="80" t="s">
        <v>14</v>
      </c>
      <c r="AC123" s="80" t="s">
        <v>14</v>
      </c>
      <c r="AD123" s="80" t="s">
        <v>14</v>
      </c>
      <c r="AE123" s="80" t="s">
        <v>14</v>
      </c>
      <c r="AF123" s="80" t="s">
        <v>14</v>
      </c>
      <c r="AG123" s="80" t="s">
        <v>14</v>
      </c>
      <c r="AH123" s="80" t="s">
        <v>14</v>
      </c>
      <c r="AI123" s="80" t="s">
        <v>14</v>
      </c>
      <c r="AJ123" s="80" t="s">
        <v>14</v>
      </c>
      <c r="AK123" s="80" t="s">
        <v>14</v>
      </c>
      <c r="AL123" s="106">
        <f t="shared" si="5"/>
        <v>0</v>
      </c>
      <c r="AM123" s="106">
        <f t="shared" si="6"/>
        <v>0</v>
      </c>
      <c r="AN123" s="106">
        <f t="shared" si="7"/>
        <v>0</v>
      </c>
      <c r="AO123" s="106">
        <f t="shared" si="8"/>
        <v>0</v>
      </c>
      <c r="AP123" s="106">
        <f t="shared" si="9"/>
        <v>30</v>
      </c>
      <c r="AQ123" s="134"/>
      <c r="AR123" s="134"/>
      <c r="AS123" s="134"/>
      <c r="AT123" s="135"/>
      <c r="AU123" s="113" t="s">
        <v>393</v>
      </c>
      <c r="AV123" s="110" t="s">
        <v>396</v>
      </c>
      <c r="AW123" s="100"/>
    </row>
    <row r="124" spans="1:49" x14ac:dyDescent="0.25">
      <c r="A124" s="96">
        <v>124</v>
      </c>
      <c r="B124" s="148">
        <v>2036</v>
      </c>
      <c r="C124" s="32" t="s">
        <v>171</v>
      </c>
      <c r="D124" s="32" t="s">
        <v>83</v>
      </c>
      <c r="E124" s="32" t="s">
        <v>9</v>
      </c>
      <c r="F124" s="32" t="s">
        <v>107</v>
      </c>
      <c r="G124" s="67">
        <v>44412</v>
      </c>
      <c r="H124" s="77" t="s">
        <v>389</v>
      </c>
      <c r="I124" s="77" t="s">
        <v>13</v>
      </c>
      <c r="J124" s="80" t="s">
        <v>14</v>
      </c>
      <c r="K124" s="78" t="s">
        <v>390</v>
      </c>
      <c r="L124" s="78" t="s">
        <v>390</v>
      </c>
      <c r="M124" s="78" t="s">
        <v>390</v>
      </c>
      <c r="N124" s="78" t="s">
        <v>390</v>
      </c>
      <c r="O124" s="136" t="s">
        <v>390</v>
      </c>
      <c r="P124" s="77" t="s">
        <v>13</v>
      </c>
      <c r="Q124" s="78" t="s">
        <v>390</v>
      </c>
      <c r="R124" s="78" t="s">
        <v>390</v>
      </c>
      <c r="S124" s="80" t="s">
        <v>14</v>
      </c>
      <c r="T124" s="78" t="s">
        <v>390</v>
      </c>
      <c r="U124" s="78" t="s">
        <v>390</v>
      </c>
      <c r="V124" s="79" t="s">
        <v>391</v>
      </c>
      <c r="W124" s="77" t="s">
        <v>13</v>
      </c>
      <c r="X124" s="78" t="s">
        <v>390</v>
      </c>
      <c r="Y124" s="78" t="s">
        <v>390</v>
      </c>
      <c r="Z124" s="78" t="s">
        <v>390</v>
      </c>
      <c r="AA124" s="78" t="s">
        <v>390</v>
      </c>
      <c r="AB124" s="80" t="s">
        <v>14</v>
      </c>
      <c r="AC124" s="78" t="s">
        <v>390</v>
      </c>
      <c r="AD124" s="77" t="s">
        <v>13</v>
      </c>
      <c r="AE124" s="78" t="s">
        <v>390</v>
      </c>
      <c r="AF124" s="78" t="s">
        <v>390</v>
      </c>
      <c r="AG124" s="78" t="s">
        <v>390</v>
      </c>
      <c r="AH124" s="78" t="s">
        <v>390</v>
      </c>
      <c r="AI124" s="78" t="s">
        <v>390</v>
      </c>
      <c r="AJ124" s="78" t="s">
        <v>390</v>
      </c>
      <c r="AK124" s="77" t="s">
        <v>13</v>
      </c>
      <c r="AL124" s="106">
        <f t="shared" si="5"/>
        <v>20</v>
      </c>
      <c r="AM124" s="106">
        <f t="shared" si="6"/>
        <v>0</v>
      </c>
      <c r="AN124" s="106">
        <f t="shared" si="7"/>
        <v>0</v>
      </c>
      <c r="AO124" s="106">
        <f t="shared" si="8"/>
        <v>20</v>
      </c>
      <c r="AP124" s="106">
        <f t="shared" si="9"/>
        <v>3</v>
      </c>
      <c r="AQ124" s="134">
        <v>50</v>
      </c>
      <c r="AR124" s="134">
        <v>1450</v>
      </c>
      <c r="AS124" s="134">
        <v>9</v>
      </c>
      <c r="AT124" s="135">
        <v>0.62068965517241381</v>
      </c>
      <c r="AU124" s="106" t="s">
        <v>427</v>
      </c>
      <c r="AV124" s="100"/>
      <c r="AW124" s="100"/>
    </row>
    <row r="125" spans="1:49" x14ac:dyDescent="0.25">
      <c r="A125" s="96">
        <v>125</v>
      </c>
      <c r="B125" s="148">
        <v>2039</v>
      </c>
      <c r="C125" s="32" t="s">
        <v>39</v>
      </c>
      <c r="D125" s="32" t="s">
        <v>80</v>
      </c>
      <c r="E125" s="32" t="s">
        <v>85</v>
      </c>
      <c r="F125" s="32" t="s">
        <v>125</v>
      </c>
      <c r="G125" s="60">
        <v>44944</v>
      </c>
      <c r="H125" s="75" t="s">
        <v>12</v>
      </c>
      <c r="I125" s="75" t="s">
        <v>13</v>
      </c>
      <c r="J125" s="84" t="s">
        <v>390</v>
      </c>
      <c r="K125" s="84" t="s">
        <v>390</v>
      </c>
      <c r="L125" s="76" t="s">
        <v>378</v>
      </c>
      <c r="M125" s="84" t="s">
        <v>390</v>
      </c>
      <c r="N125" s="84" t="s">
        <v>390</v>
      </c>
      <c r="O125" s="82" t="s">
        <v>391</v>
      </c>
      <c r="P125" s="75" t="s">
        <v>13</v>
      </c>
      <c r="Q125" s="84" t="s">
        <v>390</v>
      </c>
      <c r="R125" s="84" t="s">
        <v>390</v>
      </c>
      <c r="S125" s="84" t="s">
        <v>390</v>
      </c>
      <c r="T125" s="84" t="s">
        <v>390</v>
      </c>
      <c r="U125" s="76" t="s">
        <v>378</v>
      </c>
      <c r="V125" s="84" t="s">
        <v>390</v>
      </c>
      <c r="W125" s="75" t="s">
        <v>13</v>
      </c>
      <c r="X125" s="84" t="s">
        <v>390</v>
      </c>
      <c r="Y125" s="76" t="s">
        <v>378</v>
      </c>
      <c r="Z125" s="84" t="s">
        <v>390</v>
      </c>
      <c r="AA125" s="84" t="s">
        <v>390</v>
      </c>
      <c r="AB125" s="84" t="s">
        <v>390</v>
      </c>
      <c r="AC125" s="84" t="s">
        <v>390</v>
      </c>
      <c r="AD125" s="75" t="s">
        <v>13</v>
      </c>
      <c r="AE125" s="84" t="s">
        <v>390</v>
      </c>
      <c r="AF125" s="84" t="s">
        <v>390</v>
      </c>
      <c r="AG125" s="84" t="s">
        <v>390</v>
      </c>
      <c r="AH125" s="84" t="s">
        <v>390</v>
      </c>
      <c r="AI125" s="84" t="s">
        <v>390</v>
      </c>
      <c r="AJ125" s="84" t="s">
        <v>390</v>
      </c>
      <c r="AK125" s="75" t="s">
        <v>13</v>
      </c>
      <c r="AL125" s="106">
        <f t="shared" si="5"/>
        <v>20</v>
      </c>
      <c r="AM125" s="106">
        <f t="shared" si="6"/>
        <v>3</v>
      </c>
      <c r="AN125" s="106">
        <f t="shared" si="7"/>
        <v>0</v>
      </c>
      <c r="AO125" s="106">
        <f t="shared" si="8"/>
        <v>23</v>
      </c>
      <c r="AP125" s="106">
        <f t="shared" si="9"/>
        <v>0</v>
      </c>
      <c r="AQ125" s="134"/>
      <c r="AR125" s="134"/>
      <c r="AS125" s="134"/>
      <c r="AT125" s="135"/>
      <c r="AU125" s="106" t="s">
        <v>427</v>
      </c>
      <c r="AV125" s="100"/>
      <c r="AW125" s="100"/>
    </row>
    <row r="126" spans="1:49" x14ac:dyDescent="0.25">
      <c r="A126" s="96">
        <v>126</v>
      </c>
      <c r="B126" s="148">
        <v>2042</v>
      </c>
      <c r="C126" s="32" t="s">
        <v>172</v>
      </c>
      <c r="D126" s="32" t="s">
        <v>23</v>
      </c>
      <c r="E126" s="32" t="s">
        <v>24</v>
      </c>
      <c r="F126" s="32" t="s">
        <v>89</v>
      </c>
      <c r="G126" s="60">
        <v>44756</v>
      </c>
      <c r="H126" s="77" t="s">
        <v>389</v>
      </c>
      <c r="I126" s="77" t="s">
        <v>13</v>
      </c>
      <c r="J126" s="84" t="s">
        <v>390</v>
      </c>
      <c r="K126" s="78" t="s">
        <v>390</v>
      </c>
      <c r="L126" s="84" t="s">
        <v>390</v>
      </c>
      <c r="M126" s="80" t="s">
        <v>14</v>
      </c>
      <c r="N126" s="78" t="s">
        <v>390</v>
      </c>
      <c r="O126" s="78" t="s">
        <v>390</v>
      </c>
      <c r="P126" s="77" t="s">
        <v>13</v>
      </c>
      <c r="Q126" s="78" t="s">
        <v>390</v>
      </c>
      <c r="R126" s="78" t="s">
        <v>390</v>
      </c>
      <c r="S126" s="78" t="s">
        <v>390</v>
      </c>
      <c r="T126" s="78" t="s">
        <v>390</v>
      </c>
      <c r="U126" s="78" t="s">
        <v>390</v>
      </c>
      <c r="V126" s="78" t="s">
        <v>390</v>
      </c>
      <c r="W126" s="77" t="s">
        <v>13</v>
      </c>
      <c r="X126" s="78" t="s">
        <v>390</v>
      </c>
      <c r="Y126" s="78" t="s">
        <v>390</v>
      </c>
      <c r="Z126" s="80" t="s">
        <v>14</v>
      </c>
      <c r="AA126" s="78" t="s">
        <v>390</v>
      </c>
      <c r="AB126" s="78" t="s">
        <v>390</v>
      </c>
      <c r="AC126" s="80" t="s">
        <v>391</v>
      </c>
      <c r="AD126" s="77" t="s">
        <v>13</v>
      </c>
      <c r="AE126" s="78" t="s">
        <v>390</v>
      </c>
      <c r="AF126" s="78" t="s">
        <v>390</v>
      </c>
      <c r="AG126" s="80" t="s">
        <v>14</v>
      </c>
      <c r="AH126" s="78" t="s">
        <v>390</v>
      </c>
      <c r="AI126" s="78" t="s">
        <v>390</v>
      </c>
      <c r="AJ126" s="78" t="s">
        <v>390</v>
      </c>
      <c r="AK126" s="77" t="s">
        <v>13</v>
      </c>
      <c r="AL126" s="106">
        <f t="shared" si="5"/>
        <v>20</v>
      </c>
      <c r="AM126" s="106">
        <f t="shared" si="6"/>
        <v>0</v>
      </c>
      <c r="AN126" s="106">
        <f t="shared" si="7"/>
        <v>0</v>
      </c>
      <c r="AO126" s="106">
        <f t="shared" si="8"/>
        <v>20</v>
      </c>
      <c r="AP126" s="106">
        <f t="shared" si="9"/>
        <v>3</v>
      </c>
      <c r="AQ126" s="134">
        <v>110</v>
      </c>
      <c r="AR126" s="134">
        <v>2970</v>
      </c>
      <c r="AS126" s="134">
        <v>1118</v>
      </c>
      <c r="AT126" s="135">
        <v>37.643097643097647</v>
      </c>
      <c r="AU126" s="106" t="s">
        <v>427</v>
      </c>
      <c r="AV126" s="100"/>
      <c r="AW126" s="100"/>
    </row>
    <row r="127" spans="1:49" x14ac:dyDescent="0.25">
      <c r="A127" s="96">
        <v>127</v>
      </c>
      <c r="B127" s="148">
        <v>2055</v>
      </c>
      <c r="C127" s="32" t="s">
        <v>173</v>
      </c>
      <c r="D127" s="32" t="s">
        <v>19</v>
      </c>
      <c r="E127" s="30" t="s">
        <v>28</v>
      </c>
      <c r="F127" s="32" t="s">
        <v>89</v>
      </c>
      <c r="G127" s="69">
        <v>45064</v>
      </c>
      <c r="H127" s="77" t="s">
        <v>389</v>
      </c>
      <c r="I127" s="77" t="s">
        <v>13</v>
      </c>
      <c r="J127" s="78" t="s">
        <v>390</v>
      </c>
      <c r="K127" s="78" t="s">
        <v>390</v>
      </c>
      <c r="L127" s="136" t="s">
        <v>390</v>
      </c>
      <c r="M127" s="78" t="s">
        <v>390</v>
      </c>
      <c r="N127" s="78" t="s">
        <v>390</v>
      </c>
      <c r="O127" s="78" t="s">
        <v>390</v>
      </c>
      <c r="P127" s="77" t="s">
        <v>13</v>
      </c>
      <c r="Q127" s="78" t="s">
        <v>390</v>
      </c>
      <c r="R127" s="78" t="s">
        <v>390</v>
      </c>
      <c r="S127" s="78" t="s">
        <v>390</v>
      </c>
      <c r="T127" s="78" t="s">
        <v>390</v>
      </c>
      <c r="U127" s="78" t="s">
        <v>390</v>
      </c>
      <c r="V127" s="78" t="s">
        <v>390</v>
      </c>
      <c r="W127" s="77" t="s">
        <v>13</v>
      </c>
      <c r="X127" s="78" t="s">
        <v>390</v>
      </c>
      <c r="Y127" s="78" t="s">
        <v>390</v>
      </c>
      <c r="Z127" s="78" t="s">
        <v>390</v>
      </c>
      <c r="AA127" s="78" t="s">
        <v>390</v>
      </c>
      <c r="AB127" s="78" t="s">
        <v>390</v>
      </c>
      <c r="AC127" s="78" t="s">
        <v>390</v>
      </c>
      <c r="AD127" s="77" t="s">
        <v>13</v>
      </c>
      <c r="AE127" s="78" t="s">
        <v>390</v>
      </c>
      <c r="AF127" s="78" t="s">
        <v>390</v>
      </c>
      <c r="AG127" s="78" t="s">
        <v>390</v>
      </c>
      <c r="AH127" s="78" t="s">
        <v>390</v>
      </c>
      <c r="AI127" s="78" t="s">
        <v>390</v>
      </c>
      <c r="AJ127" s="79" t="s">
        <v>391</v>
      </c>
      <c r="AK127" s="77" t="s">
        <v>13</v>
      </c>
      <c r="AL127" s="106">
        <f t="shared" si="5"/>
        <v>23</v>
      </c>
      <c r="AM127" s="106">
        <f t="shared" si="6"/>
        <v>0</v>
      </c>
      <c r="AN127" s="106">
        <f t="shared" si="7"/>
        <v>0</v>
      </c>
      <c r="AO127" s="106">
        <f t="shared" si="8"/>
        <v>23</v>
      </c>
      <c r="AP127" s="106">
        <f t="shared" si="9"/>
        <v>0</v>
      </c>
      <c r="AQ127" s="134">
        <v>20</v>
      </c>
      <c r="AR127" s="134">
        <v>520</v>
      </c>
      <c r="AS127" s="134">
        <v>89</v>
      </c>
      <c r="AT127" s="135">
        <v>17.115384615384617</v>
      </c>
      <c r="AU127" s="106" t="s">
        <v>427</v>
      </c>
      <c r="AV127" s="100"/>
      <c r="AW127" s="100"/>
    </row>
    <row r="128" spans="1:49" x14ac:dyDescent="0.25">
      <c r="A128" s="96">
        <v>128</v>
      </c>
      <c r="B128" s="148">
        <v>2059</v>
      </c>
      <c r="C128" s="32" t="s">
        <v>174</v>
      </c>
      <c r="D128" s="32" t="s">
        <v>83</v>
      </c>
      <c r="E128" s="32" t="s">
        <v>9</v>
      </c>
      <c r="F128" s="32" t="s">
        <v>89</v>
      </c>
      <c r="G128" s="60">
        <v>44763</v>
      </c>
      <c r="H128" s="77" t="s">
        <v>389</v>
      </c>
      <c r="I128" s="77" t="s">
        <v>13</v>
      </c>
      <c r="J128" s="78" t="s">
        <v>390</v>
      </c>
      <c r="K128" s="78" t="s">
        <v>390</v>
      </c>
      <c r="L128" s="78" t="s">
        <v>390</v>
      </c>
      <c r="M128" s="78" t="s">
        <v>390</v>
      </c>
      <c r="N128" s="86" t="s">
        <v>14</v>
      </c>
      <c r="O128" s="79" t="s">
        <v>391</v>
      </c>
      <c r="P128" s="77" t="s">
        <v>13</v>
      </c>
      <c r="Q128" s="78" t="s">
        <v>390</v>
      </c>
      <c r="R128" s="78" t="s">
        <v>390</v>
      </c>
      <c r="S128" s="78" t="s">
        <v>390</v>
      </c>
      <c r="T128" s="78" t="s">
        <v>390</v>
      </c>
      <c r="U128" s="78" t="s">
        <v>390</v>
      </c>
      <c r="V128" s="136" t="s">
        <v>390</v>
      </c>
      <c r="W128" s="77" t="s">
        <v>13</v>
      </c>
      <c r="X128" s="78" t="s">
        <v>390</v>
      </c>
      <c r="Y128" s="78" t="s">
        <v>390</v>
      </c>
      <c r="Z128" s="78" t="s">
        <v>390</v>
      </c>
      <c r="AA128" s="78" t="s">
        <v>390</v>
      </c>
      <c r="AB128" s="78" t="s">
        <v>390</v>
      </c>
      <c r="AC128" s="78" t="s">
        <v>390</v>
      </c>
      <c r="AD128" s="77" t="s">
        <v>13</v>
      </c>
      <c r="AE128" s="78" t="s">
        <v>390</v>
      </c>
      <c r="AF128" s="78" t="s">
        <v>390</v>
      </c>
      <c r="AG128" s="78" t="s">
        <v>390</v>
      </c>
      <c r="AH128" s="78" t="s">
        <v>390</v>
      </c>
      <c r="AI128" s="78" t="s">
        <v>390</v>
      </c>
      <c r="AJ128" s="78" t="s">
        <v>390</v>
      </c>
      <c r="AK128" s="77" t="s">
        <v>13</v>
      </c>
      <c r="AL128" s="106">
        <f t="shared" si="5"/>
        <v>22</v>
      </c>
      <c r="AM128" s="106">
        <f t="shared" si="6"/>
        <v>0</v>
      </c>
      <c r="AN128" s="106">
        <f t="shared" si="7"/>
        <v>0</v>
      </c>
      <c r="AO128" s="106">
        <f t="shared" si="8"/>
        <v>22</v>
      </c>
      <c r="AP128" s="106">
        <f t="shared" si="9"/>
        <v>1</v>
      </c>
      <c r="AQ128" s="134"/>
      <c r="AR128" s="134"/>
      <c r="AS128" s="134"/>
      <c r="AT128" s="135"/>
      <c r="AU128" s="106" t="s">
        <v>427</v>
      </c>
      <c r="AV128" s="100"/>
      <c r="AW128" s="100"/>
    </row>
    <row r="129" spans="1:49" x14ac:dyDescent="0.25">
      <c r="A129" s="96">
        <v>129</v>
      </c>
      <c r="B129" s="148">
        <v>2063</v>
      </c>
      <c r="C129" s="32" t="s">
        <v>175</v>
      </c>
      <c r="D129" s="32" t="s">
        <v>88</v>
      </c>
      <c r="E129" s="32" t="s">
        <v>39</v>
      </c>
      <c r="F129" s="32" t="s">
        <v>89</v>
      </c>
      <c r="G129" s="67">
        <v>45078</v>
      </c>
      <c r="H129" s="77" t="s">
        <v>389</v>
      </c>
      <c r="I129" s="77" t="s">
        <v>13</v>
      </c>
      <c r="J129" s="78" t="s">
        <v>390</v>
      </c>
      <c r="K129" s="78" t="s">
        <v>390</v>
      </c>
      <c r="L129" s="78" t="s">
        <v>390</v>
      </c>
      <c r="M129" s="78" t="s">
        <v>390</v>
      </c>
      <c r="N129" s="78" t="s">
        <v>390</v>
      </c>
      <c r="O129" s="78" t="s">
        <v>390</v>
      </c>
      <c r="P129" s="77" t="s">
        <v>13</v>
      </c>
      <c r="Q129" s="78" t="s">
        <v>390</v>
      </c>
      <c r="R129" s="78" t="s">
        <v>390</v>
      </c>
      <c r="S129" s="78" t="s">
        <v>390</v>
      </c>
      <c r="T129" s="78" t="s">
        <v>390</v>
      </c>
      <c r="U129" s="78" t="s">
        <v>390</v>
      </c>
      <c r="V129" s="79" t="s">
        <v>391</v>
      </c>
      <c r="W129" s="77" t="s">
        <v>13</v>
      </c>
      <c r="X129" s="78" t="s">
        <v>390</v>
      </c>
      <c r="Y129" s="78" t="s">
        <v>390</v>
      </c>
      <c r="Z129" s="78" t="s">
        <v>390</v>
      </c>
      <c r="AA129" s="78" t="s">
        <v>390</v>
      </c>
      <c r="AB129" s="78" t="s">
        <v>390</v>
      </c>
      <c r="AC129" s="80" t="s">
        <v>14</v>
      </c>
      <c r="AD129" s="77" t="s">
        <v>13</v>
      </c>
      <c r="AE129" s="78" t="s">
        <v>390</v>
      </c>
      <c r="AF129" s="78" t="s">
        <v>390</v>
      </c>
      <c r="AG129" s="78" t="s">
        <v>390</v>
      </c>
      <c r="AH129" s="78" t="s">
        <v>390</v>
      </c>
      <c r="AI129" s="78" t="s">
        <v>390</v>
      </c>
      <c r="AJ129" s="78" t="s">
        <v>390</v>
      </c>
      <c r="AK129" s="77" t="s">
        <v>13</v>
      </c>
      <c r="AL129" s="106">
        <f t="shared" ref="AL129:AL192" si="10">COUNTIF(H129:AK129,"P")</f>
        <v>22</v>
      </c>
      <c r="AM129" s="106">
        <f t="shared" ref="AM129:AM192" si="11">COUNTIF(H129:AK129,"WFH")</f>
        <v>0</v>
      </c>
      <c r="AN129" s="106">
        <f t="shared" ref="AN129:AN192" si="12">COUNTIF(H129:AK129,"HD")/2</f>
        <v>0</v>
      </c>
      <c r="AO129" s="106">
        <f t="shared" ref="AO129:AO192" si="13">AL129+AM129+AN129</f>
        <v>22</v>
      </c>
      <c r="AP129" s="106">
        <f t="shared" ref="AP129:AP192" si="14">COUNTIF(H129:AK129,"A")+AN129</f>
        <v>1</v>
      </c>
      <c r="AQ129" s="134"/>
      <c r="AR129" s="134"/>
      <c r="AS129" s="134"/>
      <c r="AT129" s="135"/>
      <c r="AU129" s="106" t="s">
        <v>427</v>
      </c>
      <c r="AV129" s="100"/>
      <c r="AW129" s="100"/>
    </row>
    <row r="130" spans="1:49" x14ac:dyDescent="0.25">
      <c r="A130" s="96">
        <v>130</v>
      </c>
      <c r="B130" s="148">
        <v>2067</v>
      </c>
      <c r="C130" s="32" t="s">
        <v>137</v>
      </c>
      <c r="D130" s="32" t="s">
        <v>176</v>
      </c>
      <c r="E130" s="32" t="s">
        <v>99</v>
      </c>
      <c r="F130" s="32" t="s">
        <v>177</v>
      </c>
      <c r="G130" s="67">
        <v>45082</v>
      </c>
      <c r="H130" s="75" t="s">
        <v>12</v>
      </c>
      <c r="I130" s="75" t="s">
        <v>13</v>
      </c>
      <c r="J130" s="84" t="s">
        <v>390</v>
      </c>
      <c r="K130" s="84" t="s">
        <v>390</v>
      </c>
      <c r="L130" s="84" t="s">
        <v>390</v>
      </c>
      <c r="M130" s="84" t="s">
        <v>390</v>
      </c>
      <c r="N130" s="84" t="s">
        <v>390</v>
      </c>
      <c r="O130" s="76" t="s">
        <v>378</v>
      </c>
      <c r="P130" s="75" t="s">
        <v>13</v>
      </c>
      <c r="Q130" s="76" t="s">
        <v>378</v>
      </c>
      <c r="R130" s="84" t="s">
        <v>390</v>
      </c>
      <c r="S130" s="84" t="s">
        <v>390</v>
      </c>
      <c r="T130" s="84" t="s">
        <v>390</v>
      </c>
      <c r="U130" s="84" t="s">
        <v>390</v>
      </c>
      <c r="V130" s="82" t="s">
        <v>391</v>
      </c>
      <c r="W130" s="75" t="s">
        <v>13</v>
      </c>
      <c r="X130" s="84" t="s">
        <v>390</v>
      </c>
      <c r="Y130" s="76" t="s">
        <v>378</v>
      </c>
      <c r="Z130" s="76" t="s">
        <v>378</v>
      </c>
      <c r="AA130" s="76" t="s">
        <v>378</v>
      </c>
      <c r="AB130" s="76" t="s">
        <v>378</v>
      </c>
      <c r="AC130" s="76" t="s">
        <v>378</v>
      </c>
      <c r="AD130" s="75" t="s">
        <v>13</v>
      </c>
      <c r="AE130" s="76" t="s">
        <v>378</v>
      </c>
      <c r="AF130" s="84" t="s">
        <v>390</v>
      </c>
      <c r="AG130" s="84" t="s">
        <v>390</v>
      </c>
      <c r="AH130" s="84" t="s">
        <v>390</v>
      </c>
      <c r="AI130" s="84" t="s">
        <v>390</v>
      </c>
      <c r="AJ130" s="76" t="s">
        <v>378</v>
      </c>
      <c r="AK130" s="75" t="s">
        <v>13</v>
      </c>
      <c r="AL130" s="106">
        <f t="shared" si="10"/>
        <v>14</v>
      </c>
      <c r="AM130" s="106">
        <f t="shared" si="11"/>
        <v>9</v>
      </c>
      <c r="AN130" s="106">
        <f t="shared" si="12"/>
        <v>0</v>
      </c>
      <c r="AO130" s="106">
        <f t="shared" si="13"/>
        <v>23</v>
      </c>
      <c r="AP130" s="106">
        <f t="shared" si="14"/>
        <v>0</v>
      </c>
      <c r="AQ130" s="134"/>
      <c r="AR130" s="134"/>
      <c r="AS130" s="134"/>
      <c r="AT130" s="135"/>
      <c r="AU130" s="106" t="s">
        <v>427</v>
      </c>
      <c r="AV130" s="100"/>
      <c r="AW130" s="100"/>
    </row>
    <row r="131" spans="1:49" x14ac:dyDescent="0.25">
      <c r="A131" s="96">
        <v>131</v>
      </c>
      <c r="B131" s="148">
        <v>2072</v>
      </c>
      <c r="C131" s="32" t="s">
        <v>178</v>
      </c>
      <c r="D131" s="32" t="s">
        <v>19</v>
      </c>
      <c r="E131" s="32" t="s">
        <v>39</v>
      </c>
      <c r="F131" s="32" t="s">
        <v>107</v>
      </c>
      <c r="G131" s="59" t="s">
        <v>179</v>
      </c>
      <c r="H131" s="77" t="s">
        <v>389</v>
      </c>
      <c r="I131" s="77" t="s">
        <v>13</v>
      </c>
      <c r="J131" s="80" t="s">
        <v>14</v>
      </c>
      <c r="K131" s="80" t="s">
        <v>14</v>
      </c>
      <c r="L131" s="80" t="s">
        <v>14</v>
      </c>
      <c r="M131" s="78" t="s">
        <v>390</v>
      </c>
      <c r="N131" s="78" t="s">
        <v>390</v>
      </c>
      <c r="O131" s="78" t="s">
        <v>390</v>
      </c>
      <c r="P131" s="77" t="s">
        <v>13</v>
      </c>
      <c r="Q131" s="78" t="s">
        <v>390</v>
      </c>
      <c r="R131" s="78" t="s">
        <v>390</v>
      </c>
      <c r="S131" s="78" t="s">
        <v>390</v>
      </c>
      <c r="T131" s="78" t="s">
        <v>390</v>
      </c>
      <c r="U131" s="78" t="s">
        <v>390</v>
      </c>
      <c r="V131" s="79" t="s">
        <v>391</v>
      </c>
      <c r="W131" s="77" t="s">
        <v>13</v>
      </c>
      <c r="X131" s="78" t="s">
        <v>390</v>
      </c>
      <c r="Y131" s="78" t="s">
        <v>390</v>
      </c>
      <c r="Z131" s="78" t="s">
        <v>390</v>
      </c>
      <c r="AA131" s="78" t="s">
        <v>390</v>
      </c>
      <c r="AB131" s="78" t="s">
        <v>390</v>
      </c>
      <c r="AC131" s="78" t="s">
        <v>390</v>
      </c>
      <c r="AD131" s="77" t="s">
        <v>13</v>
      </c>
      <c r="AE131" s="78" t="s">
        <v>390</v>
      </c>
      <c r="AF131" s="78" t="s">
        <v>390</v>
      </c>
      <c r="AG131" s="78" t="s">
        <v>390</v>
      </c>
      <c r="AH131" s="78" t="s">
        <v>390</v>
      </c>
      <c r="AI131" s="78" t="s">
        <v>390</v>
      </c>
      <c r="AJ131" s="78" t="s">
        <v>390</v>
      </c>
      <c r="AK131" s="77" t="s">
        <v>13</v>
      </c>
      <c r="AL131" s="106">
        <f t="shared" si="10"/>
        <v>20</v>
      </c>
      <c r="AM131" s="106">
        <f t="shared" si="11"/>
        <v>0</v>
      </c>
      <c r="AN131" s="106">
        <f t="shared" si="12"/>
        <v>0</v>
      </c>
      <c r="AO131" s="106">
        <f t="shared" si="13"/>
        <v>20</v>
      </c>
      <c r="AP131" s="106">
        <f t="shared" si="14"/>
        <v>3</v>
      </c>
      <c r="AQ131" s="134">
        <v>20</v>
      </c>
      <c r="AR131" s="134">
        <v>520</v>
      </c>
      <c r="AS131" s="134">
        <v>267</v>
      </c>
      <c r="AT131" s="135">
        <v>51.34615384615384</v>
      </c>
      <c r="AU131" s="106" t="s">
        <v>427</v>
      </c>
      <c r="AV131" s="100"/>
      <c r="AW131" s="100"/>
    </row>
    <row r="132" spans="1:49" x14ac:dyDescent="0.25">
      <c r="A132" s="96">
        <v>132</v>
      </c>
      <c r="B132" s="148">
        <v>2081</v>
      </c>
      <c r="C132" s="32" t="s">
        <v>180</v>
      </c>
      <c r="D132" s="32" t="s">
        <v>23</v>
      </c>
      <c r="E132" s="30" t="s">
        <v>28</v>
      </c>
      <c r="F132" s="32" t="s">
        <v>89</v>
      </c>
      <c r="G132" s="60">
        <v>45120</v>
      </c>
      <c r="H132" s="77" t="s">
        <v>389</v>
      </c>
      <c r="I132" s="77" t="s">
        <v>13</v>
      </c>
      <c r="J132" s="78" t="s">
        <v>390</v>
      </c>
      <c r="K132" s="85" t="s">
        <v>378</v>
      </c>
      <c r="L132" s="85" t="s">
        <v>378</v>
      </c>
      <c r="M132" s="85" t="s">
        <v>378</v>
      </c>
      <c r="N132" s="85" t="s">
        <v>378</v>
      </c>
      <c r="O132" s="85" t="s">
        <v>378</v>
      </c>
      <c r="P132" s="77" t="s">
        <v>13</v>
      </c>
      <c r="Q132" s="78" t="s">
        <v>390</v>
      </c>
      <c r="R132" s="78" t="s">
        <v>390</v>
      </c>
      <c r="S132" s="78" t="s">
        <v>390</v>
      </c>
      <c r="T132" s="78" t="s">
        <v>390</v>
      </c>
      <c r="U132" s="78" t="s">
        <v>390</v>
      </c>
      <c r="V132" s="79" t="s">
        <v>391</v>
      </c>
      <c r="W132" s="77" t="s">
        <v>13</v>
      </c>
      <c r="X132" s="80" t="s">
        <v>14</v>
      </c>
      <c r="Y132" s="80" t="s">
        <v>14</v>
      </c>
      <c r="Z132" s="80" t="s">
        <v>14</v>
      </c>
      <c r="AA132" s="80" t="s">
        <v>14</v>
      </c>
      <c r="AB132" s="80" t="s">
        <v>14</v>
      </c>
      <c r="AC132" s="80" t="s">
        <v>14</v>
      </c>
      <c r="AD132" s="77" t="s">
        <v>13</v>
      </c>
      <c r="AE132" s="80" t="s">
        <v>14</v>
      </c>
      <c r="AF132" s="80" t="s">
        <v>14</v>
      </c>
      <c r="AG132" s="80" t="s">
        <v>14</v>
      </c>
      <c r="AH132" s="80" t="s">
        <v>14</v>
      </c>
      <c r="AI132" s="80" t="s">
        <v>14</v>
      </c>
      <c r="AJ132" s="80" t="s">
        <v>14</v>
      </c>
      <c r="AK132" s="77" t="s">
        <v>13</v>
      </c>
      <c r="AL132" s="106">
        <f t="shared" si="10"/>
        <v>6</v>
      </c>
      <c r="AM132" s="106">
        <f t="shared" si="11"/>
        <v>5</v>
      </c>
      <c r="AN132" s="106">
        <f t="shared" si="12"/>
        <v>0</v>
      </c>
      <c r="AO132" s="106">
        <f t="shared" si="13"/>
        <v>11</v>
      </c>
      <c r="AP132" s="106">
        <f t="shared" si="14"/>
        <v>12</v>
      </c>
      <c r="AQ132" s="134">
        <v>70</v>
      </c>
      <c r="AR132" s="134">
        <v>1890</v>
      </c>
      <c r="AS132" s="134">
        <v>226</v>
      </c>
      <c r="AT132" s="135">
        <v>11.957671957671957</v>
      </c>
      <c r="AU132" s="106" t="s">
        <v>427</v>
      </c>
      <c r="AV132" s="109" t="s">
        <v>421</v>
      </c>
      <c r="AW132" s="100"/>
    </row>
    <row r="133" spans="1:49" x14ac:dyDescent="0.25">
      <c r="A133" s="96">
        <v>133</v>
      </c>
      <c r="B133" s="148">
        <v>2082</v>
      </c>
      <c r="C133" s="32" t="s">
        <v>181</v>
      </c>
      <c r="D133" s="32" t="s">
        <v>19</v>
      </c>
      <c r="E133" s="32" t="s">
        <v>20</v>
      </c>
      <c r="F133" s="32" t="s">
        <v>107</v>
      </c>
      <c r="G133" s="60">
        <v>45121</v>
      </c>
      <c r="H133" s="77" t="s">
        <v>389</v>
      </c>
      <c r="I133" s="77" t="s">
        <v>13</v>
      </c>
      <c r="J133" s="78" t="s">
        <v>390</v>
      </c>
      <c r="K133" s="78" t="s">
        <v>390</v>
      </c>
      <c r="L133" s="78" t="s">
        <v>390</v>
      </c>
      <c r="M133" s="78" t="s">
        <v>390</v>
      </c>
      <c r="N133" s="78" t="s">
        <v>390</v>
      </c>
      <c r="O133" s="80" t="s">
        <v>14</v>
      </c>
      <c r="P133" s="77" t="s">
        <v>13</v>
      </c>
      <c r="Q133" s="78" t="s">
        <v>390</v>
      </c>
      <c r="R133" s="78" t="s">
        <v>390</v>
      </c>
      <c r="S133" s="78" t="s">
        <v>390</v>
      </c>
      <c r="T133" s="78" t="s">
        <v>390</v>
      </c>
      <c r="U133" s="78" t="s">
        <v>390</v>
      </c>
      <c r="V133" s="80" t="s">
        <v>14</v>
      </c>
      <c r="W133" s="80" t="s">
        <v>14</v>
      </c>
      <c r="X133" s="80" t="s">
        <v>14</v>
      </c>
      <c r="Y133" s="80" t="s">
        <v>14</v>
      </c>
      <c r="Z133" s="80" t="s">
        <v>14</v>
      </c>
      <c r="AA133" s="80" t="s">
        <v>14</v>
      </c>
      <c r="AB133" s="80" t="s">
        <v>14</v>
      </c>
      <c r="AC133" s="80" t="s">
        <v>14</v>
      </c>
      <c r="AD133" s="80" t="s">
        <v>14</v>
      </c>
      <c r="AE133" s="80" t="s">
        <v>14</v>
      </c>
      <c r="AF133" s="80" t="s">
        <v>14</v>
      </c>
      <c r="AG133" s="80" t="s">
        <v>14</v>
      </c>
      <c r="AH133" s="80" t="s">
        <v>14</v>
      </c>
      <c r="AI133" s="80" t="s">
        <v>14</v>
      </c>
      <c r="AJ133" s="80" t="s">
        <v>14</v>
      </c>
      <c r="AK133" s="80" t="s">
        <v>14</v>
      </c>
      <c r="AL133" s="106">
        <f t="shared" si="10"/>
        <v>10</v>
      </c>
      <c r="AM133" s="106">
        <f t="shared" si="11"/>
        <v>0</v>
      </c>
      <c r="AN133" s="106">
        <f t="shared" si="12"/>
        <v>0</v>
      </c>
      <c r="AO133" s="106">
        <f t="shared" si="13"/>
        <v>10</v>
      </c>
      <c r="AP133" s="106">
        <f t="shared" si="14"/>
        <v>17</v>
      </c>
      <c r="AQ133" s="134"/>
      <c r="AR133" s="134"/>
      <c r="AS133" s="134"/>
      <c r="AT133" s="135"/>
      <c r="AU133" s="113" t="s">
        <v>393</v>
      </c>
      <c r="AV133" s="111" t="s">
        <v>397</v>
      </c>
      <c r="AW133" s="100"/>
    </row>
    <row r="134" spans="1:49" x14ac:dyDescent="0.25">
      <c r="A134" s="96">
        <v>134</v>
      </c>
      <c r="B134" s="148">
        <v>2083</v>
      </c>
      <c r="C134" s="32" t="s">
        <v>182</v>
      </c>
      <c r="D134" s="32" t="s">
        <v>8</v>
      </c>
      <c r="E134" s="32" t="s">
        <v>9</v>
      </c>
      <c r="F134" s="32" t="s">
        <v>107</v>
      </c>
      <c r="G134" s="60">
        <v>45124</v>
      </c>
      <c r="H134" s="77" t="s">
        <v>389</v>
      </c>
      <c r="I134" s="77" t="s">
        <v>13</v>
      </c>
      <c r="J134" s="78" t="s">
        <v>390</v>
      </c>
      <c r="K134" s="78" t="s">
        <v>390</v>
      </c>
      <c r="L134" s="78" t="s">
        <v>390</v>
      </c>
      <c r="M134" s="78" t="s">
        <v>390</v>
      </c>
      <c r="N134" s="78" t="s">
        <v>390</v>
      </c>
      <c r="O134" s="79" t="s">
        <v>391</v>
      </c>
      <c r="P134" s="77" t="s">
        <v>13</v>
      </c>
      <c r="Q134" s="78" t="s">
        <v>390</v>
      </c>
      <c r="R134" s="78" t="s">
        <v>390</v>
      </c>
      <c r="S134" s="86" t="s">
        <v>14</v>
      </c>
      <c r="T134" s="78" t="s">
        <v>390</v>
      </c>
      <c r="U134" s="78" t="s">
        <v>390</v>
      </c>
      <c r="V134" s="79" t="s">
        <v>391</v>
      </c>
      <c r="W134" s="77" t="s">
        <v>13</v>
      </c>
      <c r="X134" s="78" t="s">
        <v>390</v>
      </c>
      <c r="Y134" s="78" t="s">
        <v>390</v>
      </c>
      <c r="Z134" s="78" t="s">
        <v>390</v>
      </c>
      <c r="AA134" s="78" t="s">
        <v>390</v>
      </c>
      <c r="AB134" s="78" t="s">
        <v>390</v>
      </c>
      <c r="AC134" s="78" t="s">
        <v>390</v>
      </c>
      <c r="AD134" s="77" t="s">
        <v>13</v>
      </c>
      <c r="AE134" s="78" t="s">
        <v>390</v>
      </c>
      <c r="AF134" s="78" t="s">
        <v>390</v>
      </c>
      <c r="AG134" s="78" t="s">
        <v>390</v>
      </c>
      <c r="AH134" s="78" t="s">
        <v>390</v>
      </c>
      <c r="AI134" s="78" t="s">
        <v>390</v>
      </c>
      <c r="AJ134" s="78" t="s">
        <v>390</v>
      </c>
      <c r="AK134" s="77" t="s">
        <v>13</v>
      </c>
      <c r="AL134" s="106">
        <f t="shared" si="10"/>
        <v>21</v>
      </c>
      <c r="AM134" s="106">
        <f t="shared" si="11"/>
        <v>0</v>
      </c>
      <c r="AN134" s="106">
        <f t="shared" si="12"/>
        <v>0</v>
      </c>
      <c r="AO134" s="106">
        <f t="shared" si="13"/>
        <v>21</v>
      </c>
      <c r="AP134" s="106">
        <f t="shared" si="14"/>
        <v>1</v>
      </c>
      <c r="AQ134" s="134">
        <v>18</v>
      </c>
      <c r="AR134" s="134">
        <v>468</v>
      </c>
      <c r="AS134" s="134">
        <v>229</v>
      </c>
      <c r="AT134" s="135">
        <v>48.931623931623932</v>
      </c>
      <c r="AU134" s="106" t="s">
        <v>427</v>
      </c>
      <c r="AV134" s="100"/>
      <c r="AW134" s="100"/>
    </row>
    <row r="135" spans="1:49" x14ac:dyDescent="0.25">
      <c r="A135" s="96">
        <v>135</v>
      </c>
      <c r="B135" s="148">
        <v>2084</v>
      </c>
      <c r="C135" s="32" t="s">
        <v>183</v>
      </c>
      <c r="D135" s="32" t="s">
        <v>19</v>
      </c>
      <c r="E135" s="32" t="s">
        <v>24</v>
      </c>
      <c r="F135" s="32" t="s">
        <v>107</v>
      </c>
      <c r="G135" s="60">
        <v>45124</v>
      </c>
      <c r="H135" s="77" t="s">
        <v>389</v>
      </c>
      <c r="I135" s="77" t="s">
        <v>13</v>
      </c>
      <c r="J135" s="78" t="s">
        <v>390</v>
      </c>
      <c r="K135" s="78" t="s">
        <v>390</v>
      </c>
      <c r="L135" s="80" t="s">
        <v>14</v>
      </c>
      <c r="M135" s="78" t="s">
        <v>390</v>
      </c>
      <c r="N135" s="78" t="s">
        <v>390</v>
      </c>
      <c r="O135" s="78" t="s">
        <v>390</v>
      </c>
      <c r="P135" s="77" t="s">
        <v>13</v>
      </c>
      <c r="Q135" s="78" t="s">
        <v>390</v>
      </c>
      <c r="R135" s="78" t="s">
        <v>390</v>
      </c>
      <c r="S135" s="78" t="s">
        <v>390</v>
      </c>
      <c r="T135" s="78" t="s">
        <v>390</v>
      </c>
      <c r="U135" s="78" t="s">
        <v>390</v>
      </c>
      <c r="V135" s="82" t="s">
        <v>391</v>
      </c>
      <c r="W135" s="77" t="s">
        <v>13</v>
      </c>
      <c r="X135" s="81" t="s">
        <v>392</v>
      </c>
      <c r="Y135" s="78" t="s">
        <v>390</v>
      </c>
      <c r="Z135" s="78" t="s">
        <v>390</v>
      </c>
      <c r="AA135" s="78" t="s">
        <v>390</v>
      </c>
      <c r="AB135" s="78" t="s">
        <v>390</v>
      </c>
      <c r="AC135" s="78" t="s">
        <v>390</v>
      </c>
      <c r="AD135" s="77" t="s">
        <v>13</v>
      </c>
      <c r="AE135" s="80" t="s">
        <v>14</v>
      </c>
      <c r="AF135" s="78" t="s">
        <v>390</v>
      </c>
      <c r="AG135" s="78" t="s">
        <v>390</v>
      </c>
      <c r="AH135" s="78" t="s">
        <v>390</v>
      </c>
      <c r="AI135" s="78" t="s">
        <v>390</v>
      </c>
      <c r="AJ135" s="78" t="s">
        <v>390</v>
      </c>
      <c r="AK135" s="78" t="s">
        <v>390</v>
      </c>
      <c r="AL135" s="106">
        <f t="shared" si="10"/>
        <v>21</v>
      </c>
      <c r="AM135" s="106">
        <f t="shared" si="11"/>
        <v>0</v>
      </c>
      <c r="AN135" s="106">
        <f t="shared" si="12"/>
        <v>0.5</v>
      </c>
      <c r="AO135" s="106">
        <f t="shared" si="13"/>
        <v>21.5</v>
      </c>
      <c r="AP135" s="106">
        <f t="shared" si="14"/>
        <v>2.5</v>
      </c>
      <c r="AQ135" s="134">
        <v>20</v>
      </c>
      <c r="AR135" s="134">
        <v>520</v>
      </c>
      <c r="AS135" s="134">
        <v>341</v>
      </c>
      <c r="AT135" s="135">
        <v>65.57692307692308</v>
      </c>
      <c r="AU135" s="106" t="s">
        <v>427</v>
      </c>
      <c r="AV135" s="100"/>
      <c r="AW135" s="100"/>
    </row>
    <row r="136" spans="1:49" x14ac:dyDescent="0.25">
      <c r="A136" s="96">
        <v>136</v>
      </c>
      <c r="B136" s="148">
        <v>2086</v>
      </c>
      <c r="C136" s="32" t="s">
        <v>184</v>
      </c>
      <c r="D136" s="32" t="s">
        <v>88</v>
      </c>
      <c r="E136" s="32" t="s">
        <v>39</v>
      </c>
      <c r="F136" s="32" t="s">
        <v>89</v>
      </c>
      <c r="G136" s="60">
        <v>45126</v>
      </c>
      <c r="H136" s="77" t="s">
        <v>389</v>
      </c>
      <c r="I136" s="77" t="s">
        <v>13</v>
      </c>
      <c r="J136" s="78" t="s">
        <v>390</v>
      </c>
      <c r="K136" s="78" t="s">
        <v>390</v>
      </c>
      <c r="L136" s="78" t="s">
        <v>390</v>
      </c>
      <c r="M136" s="78" t="s">
        <v>390</v>
      </c>
      <c r="N136" s="80" t="s">
        <v>14</v>
      </c>
      <c r="O136" s="79" t="s">
        <v>391</v>
      </c>
      <c r="P136" s="77" t="s">
        <v>13</v>
      </c>
      <c r="Q136" s="78" t="s">
        <v>390</v>
      </c>
      <c r="R136" s="78" t="s">
        <v>390</v>
      </c>
      <c r="S136" s="78" t="s">
        <v>390</v>
      </c>
      <c r="T136" s="78" t="s">
        <v>390</v>
      </c>
      <c r="U136" s="78" t="s">
        <v>390</v>
      </c>
      <c r="V136" s="78" t="s">
        <v>390</v>
      </c>
      <c r="W136" s="77" t="s">
        <v>13</v>
      </c>
      <c r="X136" s="78" t="s">
        <v>390</v>
      </c>
      <c r="Y136" s="80" t="s">
        <v>14</v>
      </c>
      <c r="Z136" s="78" t="s">
        <v>390</v>
      </c>
      <c r="AA136" s="78" t="s">
        <v>390</v>
      </c>
      <c r="AB136" s="78" t="s">
        <v>390</v>
      </c>
      <c r="AC136" s="78" t="s">
        <v>390</v>
      </c>
      <c r="AD136" s="77" t="s">
        <v>13</v>
      </c>
      <c r="AE136" s="78" t="s">
        <v>390</v>
      </c>
      <c r="AF136" s="78" t="s">
        <v>390</v>
      </c>
      <c r="AG136" s="78" t="s">
        <v>390</v>
      </c>
      <c r="AH136" s="78" t="s">
        <v>390</v>
      </c>
      <c r="AI136" s="78" t="s">
        <v>390</v>
      </c>
      <c r="AJ136" s="78" t="s">
        <v>390</v>
      </c>
      <c r="AK136" s="77" t="s">
        <v>13</v>
      </c>
      <c r="AL136" s="106">
        <f t="shared" si="10"/>
        <v>21</v>
      </c>
      <c r="AM136" s="106">
        <f t="shared" si="11"/>
        <v>0</v>
      </c>
      <c r="AN136" s="106">
        <f t="shared" si="12"/>
        <v>0</v>
      </c>
      <c r="AO136" s="106">
        <f t="shared" si="13"/>
        <v>21</v>
      </c>
      <c r="AP136" s="106">
        <f t="shared" si="14"/>
        <v>2</v>
      </c>
      <c r="AQ136" s="134">
        <v>10</v>
      </c>
      <c r="AR136" s="134">
        <v>260</v>
      </c>
      <c r="AS136" s="134">
        <v>201</v>
      </c>
      <c r="AT136" s="135">
        <v>77.307692307692307</v>
      </c>
      <c r="AU136" s="106" t="s">
        <v>427</v>
      </c>
      <c r="AV136" s="100"/>
      <c r="AW136" s="100"/>
    </row>
    <row r="137" spans="1:49" x14ac:dyDescent="0.25">
      <c r="A137" s="96">
        <v>137</v>
      </c>
      <c r="B137" s="148">
        <v>2102</v>
      </c>
      <c r="C137" s="32" t="s">
        <v>185</v>
      </c>
      <c r="D137" s="32" t="s">
        <v>88</v>
      </c>
      <c r="E137" s="32" t="s">
        <v>109</v>
      </c>
      <c r="F137" s="32" t="s">
        <v>107</v>
      </c>
      <c r="G137" s="67">
        <v>45143</v>
      </c>
      <c r="H137" s="75" t="s">
        <v>12</v>
      </c>
      <c r="I137" s="75" t="s">
        <v>13</v>
      </c>
      <c r="J137" s="84" t="s">
        <v>390</v>
      </c>
      <c r="K137" s="84" t="s">
        <v>390</v>
      </c>
      <c r="L137" s="84" t="s">
        <v>390</v>
      </c>
      <c r="M137" s="84" t="s">
        <v>390</v>
      </c>
      <c r="N137" s="84" t="s">
        <v>390</v>
      </c>
      <c r="O137" s="84" t="s">
        <v>390</v>
      </c>
      <c r="P137" s="75" t="s">
        <v>13</v>
      </c>
      <c r="Q137" s="84" t="s">
        <v>390</v>
      </c>
      <c r="R137" s="84" t="s">
        <v>390</v>
      </c>
      <c r="S137" s="84" t="s">
        <v>390</v>
      </c>
      <c r="T137" s="84" t="s">
        <v>390</v>
      </c>
      <c r="U137" s="84" t="s">
        <v>390</v>
      </c>
      <c r="V137" s="88" t="s">
        <v>392</v>
      </c>
      <c r="W137" s="75" t="s">
        <v>13</v>
      </c>
      <c r="X137" s="84" t="s">
        <v>390</v>
      </c>
      <c r="Y137" s="84" t="s">
        <v>390</v>
      </c>
      <c r="Z137" s="84" t="s">
        <v>390</v>
      </c>
      <c r="AA137" s="76" t="s">
        <v>378</v>
      </c>
      <c r="AB137" s="83" t="s">
        <v>14</v>
      </c>
      <c r="AC137" s="82" t="s">
        <v>391</v>
      </c>
      <c r="AD137" s="75" t="s">
        <v>13</v>
      </c>
      <c r="AE137" s="83" t="s">
        <v>14</v>
      </c>
      <c r="AF137" s="83" t="s">
        <v>14</v>
      </c>
      <c r="AG137" s="76" t="s">
        <v>378</v>
      </c>
      <c r="AH137" s="84" t="s">
        <v>390</v>
      </c>
      <c r="AI137" s="84" t="s">
        <v>390</v>
      </c>
      <c r="AJ137" s="84" t="s">
        <v>390</v>
      </c>
      <c r="AK137" s="75" t="s">
        <v>13</v>
      </c>
      <c r="AL137" s="106">
        <f t="shared" si="10"/>
        <v>17</v>
      </c>
      <c r="AM137" s="106">
        <f t="shared" si="11"/>
        <v>2</v>
      </c>
      <c r="AN137" s="106">
        <f t="shared" si="12"/>
        <v>0.5</v>
      </c>
      <c r="AO137" s="106">
        <f t="shared" si="13"/>
        <v>19.5</v>
      </c>
      <c r="AP137" s="106">
        <f t="shared" si="14"/>
        <v>3.5</v>
      </c>
      <c r="AQ137" s="134">
        <v>50</v>
      </c>
      <c r="AR137" s="134">
        <v>1450</v>
      </c>
      <c r="AS137" s="134">
        <v>170</v>
      </c>
      <c r="AT137" s="135">
        <v>11.724137931034482</v>
      </c>
      <c r="AU137" s="106" t="s">
        <v>427</v>
      </c>
      <c r="AV137" s="100"/>
      <c r="AW137" s="100"/>
    </row>
    <row r="138" spans="1:49" x14ac:dyDescent="0.25">
      <c r="A138" s="96">
        <v>138</v>
      </c>
      <c r="B138" s="148">
        <v>2109</v>
      </c>
      <c r="C138" s="32" t="s">
        <v>186</v>
      </c>
      <c r="D138" s="32" t="s">
        <v>44</v>
      </c>
      <c r="E138" s="32" t="s">
        <v>45</v>
      </c>
      <c r="F138" s="32" t="s">
        <v>107</v>
      </c>
      <c r="G138" s="67">
        <v>45147</v>
      </c>
      <c r="H138" s="77" t="s">
        <v>389</v>
      </c>
      <c r="I138" s="77" t="s">
        <v>13</v>
      </c>
      <c r="J138" s="80" t="s">
        <v>14</v>
      </c>
      <c r="K138" s="80" t="s">
        <v>14</v>
      </c>
      <c r="L138" s="78" t="s">
        <v>390</v>
      </c>
      <c r="M138" s="78" t="s">
        <v>390</v>
      </c>
      <c r="N138" s="78" t="s">
        <v>390</v>
      </c>
      <c r="O138" s="78" t="s">
        <v>390</v>
      </c>
      <c r="P138" s="77" t="s">
        <v>13</v>
      </c>
      <c r="Q138" s="78" t="s">
        <v>390</v>
      </c>
      <c r="R138" s="78" t="s">
        <v>390</v>
      </c>
      <c r="S138" s="78" t="s">
        <v>390</v>
      </c>
      <c r="T138" s="78" t="s">
        <v>390</v>
      </c>
      <c r="U138" s="78" t="s">
        <v>390</v>
      </c>
      <c r="V138" s="78" t="s">
        <v>390</v>
      </c>
      <c r="W138" s="77" t="s">
        <v>13</v>
      </c>
      <c r="X138" s="78" t="s">
        <v>390</v>
      </c>
      <c r="Y138" s="78" t="s">
        <v>390</v>
      </c>
      <c r="Z138" s="78" t="s">
        <v>390</v>
      </c>
      <c r="AA138" s="78" t="s">
        <v>390</v>
      </c>
      <c r="AB138" s="78" t="s">
        <v>390</v>
      </c>
      <c r="AC138" s="87" t="s">
        <v>391</v>
      </c>
      <c r="AD138" s="77" t="s">
        <v>13</v>
      </c>
      <c r="AE138" s="78" t="s">
        <v>390</v>
      </c>
      <c r="AF138" s="81" t="s">
        <v>392</v>
      </c>
      <c r="AG138" s="80" t="s">
        <v>14</v>
      </c>
      <c r="AH138" s="78" t="s">
        <v>390</v>
      </c>
      <c r="AI138" s="78" t="s">
        <v>390</v>
      </c>
      <c r="AJ138" s="78" t="s">
        <v>390</v>
      </c>
      <c r="AK138" s="77" t="s">
        <v>13</v>
      </c>
      <c r="AL138" s="106">
        <f t="shared" si="10"/>
        <v>19</v>
      </c>
      <c r="AM138" s="106">
        <f t="shared" si="11"/>
        <v>0</v>
      </c>
      <c r="AN138" s="106">
        <f t="shared" si="12"/>
        <v>0.5</v>
      </c>
      <c r="AO138" s="106">
        <f t="shared" si="13"/>
        <v>19.5</v>
      </c>
      <c r="AP138" s="106">
        <f t="shared" si="14"/>
        <v>3.5</v>
      </c>
      <c r="AQ138" s="134">
        <v>80</v>
      </c>
      <c r="AR138" s="134">
        <v>2320</v>
      </c>
      <c r="AS138" s="134">
        <v>1385</v>
      </c>
      <c r="AT138" s="135">
        <v>59.698275862068961</v>
      </c>
      <c r="AU138" s="106" t="s">
        <v>427</v>
      </c>
      <c r="AV138" s="100"/>
      <c r="AW138" s="100"/>
    </row>
    <row r="139" spans="1:49" x14ac:dyDescent="0.25">
      <c r="A139" s="96">
        <v>139</v>
      </c>
      <c r="B139" s="148">
        <v>2115</v>
      </c>
      <c r="C139" s="32" t="s">
        <v>175</v>
      </c>
      <c r="D139" s="32" t="s">
        <v>92</v>
      </c>
      <c r="E139" s="32" t="s">
        <v>24</v>
      </c>
      <c r="F139" s="32" t="s">
        <v>107</v>
      </c>
      <c r="G139" s="60">
        <v>45163</v>
      </c>
      <c r="H139" s="77" t="s">
        <v>389</v>
      </c>
      <c r="I139" s="77" t="s">
        <v>13</v>
      </c>
      <c r="J139" s="80" t="s">
        <v>14</v>
      </c>
      <c r="K139" s="78" t="s">
        <v>390</v>
      </c>
      <c r="L139" s="78" t="s">
        <v>390</v>
      </c>
      <c r="M139" s="78" t="s">
        <v>390</v>
      </c>
      <c r="N139" s="80" t="s">
        <v>14</v>
      </c>
      <c r="O139" s="82" t="s">
        <v>391</v>
      </c>
      <c r="P139" s="77" t="s">
        <v>13</v>
      </c>
      <c r="Q139" s="78" t="s">
        <v>390</v>
      </c>
      <c r="R139" s="78" t="s">
        <v>390</v>
      </c>
      <c r="S139" s="78" t="s">
        <v>390</v>
      </c>
      <c r="T139" s="81" t="s">
        <v>392</v>
      </c>
      <c r="U139" s="80" t="s">
        <v>14</v>
      </c>
      <c r="V139" s="80" t="s">
        <v>14</v>
      </c>
      <c r="W139" s="77" t="s">
        <v>13</v>
      </c>
      <c r="X139" s="78" t="s">
        <v>390</v>
      </c>
      <c r="Y139" s="78" t="s">
        <v>390</v>
      </c>
      <c r="Z139" s="78" t="s">
        <v>390</v>
      </c>
      <c r="AA139" s="78" t="s">
        <v>390</v>
      </c>
      <c r="AB139" s="78" t="s">
        <v>390</v>
      </c>
      <c r="AC139" s="80" t="s">
        <v>14</v>
      </c>
      <c r="AD139" s="77" t="s">
        <v>13</v>
      </c>
      <c r="AE139" s="80" t="s">
        <v>14</v>
      </c>
      <c r="AF139" s="80" t="s">
        <v>14</v>
      </c>
      <c r="AG139" s="80" t="s">
        <v>14</v>
      </c>
      <c r="AH139" s="80" t="s">
        <v>14</v>
      </c>
      <c r="AI139" s="78" t="s">
        <v>390</v>
      </c>
      <c r="AJ139" s="80" t="s">
        <v>14</v>
      </c>
      <c r="AK139" s="77" t="s">
        <v>13</v>
      </c>
      <c r="AL139" s="106">
        <f t="shared" si="10"/>
        <v>12</v>
      </c>
      <c r="AM139" s="106">
        <f t="shared" si="11"/>
        <v>0</v>
      </c>
      <c r="AN139" s="106">
        <f t="shared" si="12"/>
        <v>0.5</v>
      </c>
      <c r="AO139" s="106">
        <f t="shared" si="13"/>
        <v>12.5</v>
      </c>
      <c r="AP139" s="106">
        <f t="shared" si="14"/>
        <v>10.5</v>
      </c>
      <c r="AQ139" s="134">
        <v>70</v>
      </c>
      <c r="AR139" s="134">
        <v>1890</v>
      </c>
      <c r="AS139" s="134">
        <v>714</v>
      </c>
      <c r="AT139" s="135">
        <v>37.777777777777779</v>
      </c>
      <c r="AU139" s="106" t="s">
        <v>427</v>
      </c>
      <c r="AV139" s="100"/>
      <c r="AW139" s="100"/>
    </row>
    <row r="140" spans="1:49" x14ac:dyDescent="0.25">
      <c r="A140" s="96">
        <v>140</v>
      </c>
      <c r="B140" s="148">
        <v>2118</v>
      </c>
      <c r="C140" s="32" t="s">
        <v>187</v>
      </c>
      <c r="D140" s="32" t="s">
        <v>23</v>
      </c>
      <c r="E140" s="32" t="s">
        <v>39</v>
      </c>
      <c r="F140" s="32" t="s">
        <v>89</v>
      </c>
      <c r="G140" s="60">
        <v>45037</v>
      </c>
      <c r="H140" s="77" t="s">
        <v>389</v>
      </c>
      <c r="I140" s="77" t="s">
        <v>13</v>
      </c>
      <c r="J140" s="78" t="s">
        <v>390</v>
      </c>
      <c r="K140" s="78" t="s">
        <v>390</v>
      </c>
      <c r="L140" s="78" t="s">
        <v>390</v>
      </c>
      <c r="M140" s="78" t="s">
        <v>390</v>
      </c>
      <c r="N140" s="78" t="s">
        <v>390</v>
      </c>
      <c r="O140" s="79" t="s">
        <v>391</v>
      </c>
      <c r="P140" s="77" t="s">
        <v>13</v>
      </c>
      <c r="Q140" s="78" t="s">
        <v>390</v>
      </c>
      <c r="R140" s="78" t="s">
        <v>390</v>
      </c>
      <c r="S140" s="78" t="s">
        <v>390</v>
      </c>
      <c r="T140" s="78" t="s">
        <v>390</v>
      </c>
      <c r="U140" s="78" t="s">
        <v>390</v>
      </c>
      <c r="V140" s="78" t="s">
        <v>390</v>
      </c>
      <c r="W140" s="77" t="s">
        <v>13</v>
      </c>
      <c r="X140" s="78" t="s">
        <v>390</v>
      </c>
      <c r="Y140" s="78" t="s">
        <v>390</v>
      </c>
      <c r="Z140" s="78" t="s">
        <v>390</v>
      </c>
      <c r="AA140" s="78" t="s">
        <v>390</v>
      </c>
      <c r="AB140" s="136" t="s">
        <v>390</v>
      </c>
      <c r="AC140" s="78" t="s">
        <v>390</v>
      </c>
      <c r="AD140" s="77" t="s">
        <v>13</v>
      </c>
      <c r="AE140" s="78" t="s">
        <v>390</v>
      </c>
      <c r="AF140" s="78" t="s">
        <v>390</v>
      </c>
      <c r="AG140" s="78" t="s">
        <v>390</v>
      </c>
      <c r="AH140" s="78" t="s">
        <v>390</v>
      </c>
      <c r="AI140" s="78" t="s">
        <v>390</v>
      </c>
      <c r="AJ140" s="78" t="s">
        <v>390</v>
      </c>
      <c r="AK140" s="77" t="s">
        <v>13</v>
      </c>
      <c r="AL140" s="106">
        <f t="shared" si="10"/>
        <v>23</v>
      </c>
      <c r="AM140" s="106">
        <f t="shared" si="11"/>
        <v>0</v>
      </c>
      <c r="AN140" s="106">
        <f t="shared" si="12"/>
        <v>0</v>
      </c>
      <c r="AO140" s="106">
        <f t="shared" si="13"/>
        <v>23</v>
      </c>
      <c r="AP140" s="106">
        <f t="shared" si="14"/>
        <v>0</v>
      </c>
      <c r="AQ140" s="134">
        <v>50</v>
      </c>
      <c r="AR140" s="134">
        <v>1350</v>
      </c>
      <c r="AS140" s="134">
        <v>988</v>
      </c>
      <c r="AT140" s="135">
        <v>73.18518518518519</v>
      </c>
      <c r="AU140" s="106" t="s">
        <v>427</v>
      </c>
      <c r="AV140" s="100"/>
      <c r="AW140" s="100"/>
    </row>
    <row r="141" spans="1:49" x14ac:dyDescent="0.25">
      <c r="A141" s="96">
        <v>141</v>
      </c>
      <c r="B141" s="148">
        <v>2134</v>
      </c>
      <c r="C141" s="32" t="s">
        <v>188</v>
      </c>
      <c r="D141" s="32" t="s">
        <v>80</v>
      </c>
      <c r="E141" s="32" t="s">
        <v>39</v>
      </c>
      <c r="F141" s="32" t="s">
        <v>89</v>
      </c>
      <c r="G141" s="67">
        <v>45203</v>
      </c>
      <c r="H141" s="77" t="s">
        <v>389</v>
      </c>
      <c r="I141" s="77" t="s">
        <v>13</v>
      </c>
      <c r="J141" s="85" t="s">
        <v>378</v>
      </c>
      <c r="K141" s="85" t="s">
        <v>378</v>
      </c>
      <c r="L141" s="85" t="s">
        <v>378</v>
      </c>
      <c r="M141" s="85" t="s">
        <v>378</v>
      </c>
      <c r="N141" s="85" t="s">
        <v>378</v>
      </c>
      <c r="O141" s="85" t="s">
        <v>378</v>
      </c>
      <c r="P141" s="77" t="s">
        <v>13</v>
      </c>
      <c r="Q141" s="80" t="s">
        <v>14</v>
      </c>
      <c r="R141" s="85" t="s">
        <v>378</v>
      </c>
      <c r="S141" s="80" t="s">
        <v>14</v>
      </c>
      <c r="T141" s="85" t="s">
        <v>378</v>
      </c>
      <c r="U141" s="85" t="s">
        <v>378</v>
      </c>
      <c r="V141" s="85" t="s">
        <v>378</v>
      </c>
      <c r="W141" s="77" t="s">
        <v>13</v>
      </c>
      <c r="X141" s="85" t="s">
        <v>378</v>
      </c>
      <c r="Y141" s="85" t="s">
        <v>378</v>
      </c>
      <c r="Z141" s="79" t="s">
        <v>391</v>
      </c>
      <c r="AA141" s="85" t="s">
        <v>378</v>
      </c>
      <c r="AB141" s="85" t="s">
        <v>378</v>
      </c>
      <c r="AC141" s="85" t="s">
        <v>378</v>
      </c>
      <c r="AD141" s="77" t="s">
        <v>13</v>
      </c>
      <c r="AE141" s="85" t="s">
        <v>378</v>
      </c>
      <c r="AF141" s="85" t="s">
        <v>378</v>
      </c>
      <c r="AG141" s="85" t="s">
        <v>378</v>
      </c>
      <c r="AH141" s="85" t="s">
        <v>378</v>
      </c>
      <c r="AI141" s="85" t="s">
        <v>378</v>
      </c>
      <c r="AJ141" s="85" t="s">
        <v>378</v>
      </c>
      <c r="AK141" s="77" t="s">
        <v>13</v>
      </c>
      <c r="AL141" s="106">
        <f t="shared" si="10"/>
        <v>0</v>
      </c>
      <c r="AM141" s="106">
        <f t="shared" si="11"/>
        <v>21</v>
      </c>
      <c r="AN141" s="106">
        <f t="shared" si="12"/>
        <v>0</v>
      </c>
      <c r="AO141" s="106">
        <f t="shared" si="13"/>
        <v>21</v>
      </c>
      <c r="AP141" s="106">
        <f t="shared" si="14"/>
        <v>2</v>
      </c>
      <c r="AQ141" s="134"/>
      <c r="AR141" s="134"/>
      <c r="AS141" s="134"/>
      <c r="AT141" s="135"/>
      <c r="AU141" s="106" t="s">
        <v>427</v>
      </c>
      <c r="AV141" s="100"/>
      <c r="AW141" s="100"/>
    </row>
    <row r="142" spans="1:49" x14ac:dyDescent="0.25">
      <c r="A142" s="96">
        <v>142</v>
      </c>
      <c r="B142" s="148">
        <v>2136</v>
      </c>
      <c r="C142" s="32" t="s">
        <v>189</v>
      </c>
      <c r="D142" s="32" t="s">
        <v>92</v>
      </c>
      <c r="E142" s="30" t="s">
        <v>28</v>
      </c>
      <c r="F142" s="32" t="s">
        <v>107</v>
      </c>
      <c r="G142" s="60">
        <v>45209</v>
      </c>
      <c r="H142" s="77" t="s">
        <v>389</v>
      </c>
      <c r="I142" s="77" t="s">
        <v>13</v>
      </c>
      <c r="J142" s="78" t="s">
        <v>390</v>
      </c>
      <c r="K142" s="78" t="s">
        <v>390</v>
      </c>
      <c r="L142" s="78" t="s">
        <v>390</v>
      </c>
      <c r="M142" s="78" t="s">
        <v>390</v>
      </c>
      <c r="N142" s="78" t="s">
        <v>390</v>
      </c>
      <c r="O142" s="78" t="s">
        <v>390</v>
      </c>
      <c r="P142" s="77" t="s">
        <v>13</v>
      </c>
      <c r="Q142" s="78" t="s">
        <v>390</v>
      </c>
      <c r="R142" s="78" t="s">
        <v>390</v>
      </c>
      <c r="S142" s="78" t="s">
        <v>390</v>
      </c>
      <c r="T142" s="78" t="s">
        <v>390</v>
      </c>
      <c r="U142" s="85" t="s">
        <v>378</v>
      </c>
      <c r="V142" s="79" t="s">
        <v>391</v>
      </c>
      <c r="W142" s="77" t="s">
        <v>13</v>
      </c>
      <c r="X142" s="85" t="s">
        <v>378</v>
      </c>
      <c r="Y142" s="85" t="s">
        <v>378</v>
      </c>
      <c r="Z142" s="85" t="s">
        <v>378</v>
      </c>
      <c r="AA142" s="85" t="s">
        <v>378</v>
      </c>
      <c r="AB142" s="85" t="s">
        <v>378</v>
      </c>
      <c r="AC142" s="79" t="s">
        <v>391</v>
      </c>
      <c r="AD142" s="77" t="s">
        <v>13</v>
      </c>
      <c r="AE142" s="80" t="s">
        <v>14</v>
      </c>
      <c r="AF142" s="80" t="s">
        <v>14</v>
      </c>
      <c r="AG142" s="80" t="s">
        <v>14</v>
      </c>
      <c r="AH142" s="80" t="s">
        <v>14</v>
      </c>
      <c r="AI142" s="80" t="s">
        <v>14</v>
      </c>
      <c r="AJ142" s="80" t="s">
        <v>14</v>
      </c>
      <c r="AK142" s="77" t="s">
        <v>13</v>
      </c>
      <c r="AL142" s="106">
        <f t="shared" si="10"/>
        <v>10</v>
      </c>
      <c r="AM142" s="106">
        <f t="shared" si="11"/>
        <v>6</v>
      </c>
      <c r="AN142" s="106">
        <f t="shared" si="12"/>
        <v>0</v>
      </c>
      <c r="AO142" s="106">
        <f t="shared" si="13"/>
        <v>16</v>
      </c>
      <c r="AP142" s="106">
        <f t="shared" si="14"/>
        <v>6</v>
      </c>
      <c r="AQ142" s="134">
        <v>70</v>
      </c>
      <c r="AR142" s="134">
        <v>1890</v>
      </c>
      <c r="AS142" s="134">
        <v>984</v>
      </c>
      <c r="AT142" s="135">
        <v>52.06349206349207</v>
      </c>
      <c r="AU142" s="106" t="s">
        <v>427</v>
      </c>
      <c r="AV142" s="100"/>
      <c r="AW142" s="100"/>
    </row>
    <row r="143" spans="1:49" x14ac:dyDescent="0.25">
      <c r="A143" s="96">
        <v>143</v>
      </c>
      <c r="B143" s="148">
        <v>2137</v>
      </c>
      <c r="C143" s="32" t="s">
        <v>190</v>
      </c>
      <c r="D143" s="32" t="s">
        <v>44</v>
      </c>
      <c r="E143" s="32" t="s">
        <v>24</v>
      </c>
      <c r="F143" s="32" t="s">
        <v>107</v>
      </c>
      <c r="G143" s="60">
        <v>45210</v>
      </c>
      <c r="H143" s="77" t="s">
        <v>389</v>
      </c>
      <c r="I143" s="77" t="s">
        <v>13</v>
      </c>
      <c r="J143" s="78" t="s">
        <v>390</v>
      </c>
      <c r="K143" s="78" t="s">
        <v>390</v>
      </c>
      <c r="L143" s="78" t="s">
        <v>390</v>
      </c>
      <c r="M143" s="78" t="s">
        <v>390</v>
      </c>
      <c r="N143" s="78" t="s">
        <v>390</v>
      </c>
      <c r="O143" s="82" t="s">
        <v>391</v>
      </c>
      <c r="P143" s="77" t="s">
        <v>13</v>
      </c>
      <c r="Q143" s="78" t="s">
        <v>390</v>
      </c>
      <c r="R143" s="78" t="s">
        <v>390</v>
      </c>
      <c r="S143" s="78" t="s">
        <v>390</v>
      </c>
      <c r="T143" s="78" t="s">
        <v>390</v>
      </c>
      <c r="U143" s="78" t="s">
        <v>390</v>
      </c>
      <c r="V143" s="78" t="s">
        <v>390</v>
      </c>
      <c r="W143" s="77" t="s">
        <v>13</v>
      </c>
      <c r="X143" s="78" t="s">
        <v>390</v>
      </c>
      <c r="Y143" s="78" t="s">
        <v>390</v>
      </c>
      <c r="Z143" s="78" t="s">
        <v>390</v>
      </c>
      <c r="AA143" s="78" t="s">
        <v>390</v>
      </c>
      <c r="AB143" s="78" t="s">
        <v>390</v>
      </c>
      <c r="AC143" s="78" t="s">
        <v>390</v>
      </c>
      <c r="AD143" s="77" t="s">
        <v>13</v>
      </c>
      <c r="AE143" s="78" t="s">
        <v>390</v>
      </c>
      <c r="AF143" s="78" t="s">
        <v>390</v>
      </c>
      <c r="AG143" s="78" t="s">
        <v>390</v>
      </c>
      <c r="AH143" s="78" t="s">
        <v>390</v>
      </c>
      <c r="AI143" s="78" t="s">
        <v>390</v>
      </c>
      <c r="AJ143" s="78" t="s">
        <v>390</v>
      </c>
      <c r="AK143" s="77" t="s">
        <v>13</v>
      </c>
      <c r="AL143" s="106">
        <f t="shared" si="10"/>
        <v>23</v>
      </c>
      <c r="AM143" s="106">
        <f t="shared" si="11"/>
        <v>0</v>
      </c>
      <c r="AN143" s="106">
        <f t="shared" si="12"/>
        <v>0</v>
      </c>
      <c r="AO143" s="106">
        <f t="shared" si="13"/>
        <v>23</v>
      </c>
      <c r="AP143" s="106">
        <f t="shared" si="14"/>
        <v>0</v>
      </c>
      <c r="AQ143" s="134">
        <v>120</v>
      </c>
      <c r="AR143" s="134">
        <v>3480</v>
      </c>
      <c r="AS143" s="134">
        <v>2277</v>
      </c>
      <c r="AT143" s="135">
        <v>65.431034482758619</v>
      </c>
      <c r="AU143" s="106" t="s">
        <v>427</v>
      </c>
      <c r="AV143" s="100"/>
      <c r="AW143" s="100"/>
    </row>
    <row r="144" spans="1:49" x14ac:dyDescent="0.25">
      <c r="A144" s="96">
        <v>144</v>
      </c>
      <c r="B144" s="148">
        <v>2138</v>
      </c>
      <c r="C144" s="32" t="s">
        <v>191</v>
      </c>
      <c r="D144" s="32" t="s">
        <v>44</v>
      </c>
      <c r="E144" s="32" t="s">
        <v>39</v>
      </c>
      <c r="F144" s="32" t="s">
        <v>107</v>
      </c>
      <c r="G144" s="60">
        <v>45210</v>
      </c>
      <c r="H144" s="77" t="s">
        <v>389</v>
      </c>
      <c r="I144" s="77" t="s">
        <v>13</v>
      </c>
      <c r="J144" s="78" t="s">
        <v>390</v>
      </c>
      <c r="K144" s="78" t="s">
        <v>390</v>
      </c>
      <c r="L144" s="78" t="s">
        <v>390</v>
      </c>
      <c r="M144" s="78" t="s">
        <v>390</v>
      </c>
      <c r="N144" s="78" t="s">
        <v>390</v>
      </c>
      <c r="O144" s="99" t="s">
        <v>391</v>
      </c>
      <c r="P144" s="77" t="s">
        <v>13</v>
      </c>
      <c r="Q144" s="78" t="s">
        <v>390</v>
      </c>
      <c r="R144" s="78" t="s">
        <v>390</v>
      </c>
      <c r="S144" s="78" t="s">
        <v>390</v>
      </c>
      <c r="T144" s="78" t="s">
        <v>390</v>
      </c>
      <c r="U144" s="78" t="s">
        <v>390</v>
      </c>
      <c r="V144" s="78" t="s">
        <v>390</v>
      </c>
      <c r="W144" s="77" t="s">
        <v>13</v>
      </c>
      <c r="X144" s="78" t="s">
        <v>390</v>
      </c>
      <c r="Y144" s="78" t="s">
        <v>390</v>
      </c>
      <c r="Z144" s="78" t="s">
        <v>390</v>
      </c>
      <c r="AA144" s="78" t="s">
        <v>390</v>
      </c>
      <c r="AB144" s="78" t="s">
        <v>390</v>
      </c>
      <c r="AC144" s="80" t="s">
        <v>14</v>
      </c>
      <c r="AD144" s="77" t="s">
        <v>13</v>
      </c>
      <c r="AE144" s="80" t="s">
        <v>14</v>
      </c>
      <c r="AF144" s="80" t="s">
        <v>14</v>
      </c>
      <c r="AG144" s="80" t="s">
        <v>14</v>
      </c>
      <c r="AH144" s="80" t="s">
        <v>14</v>
      </c>
      <c r="AI144" s="80" t="s">
        <v>14</v>
      </c>
      <c r="AJ144" s="80" t="s">
        <v>14</v>
      </c>
      <c r="AK144" s="77" t="s">
        <v>13</v>
      </c>
      <c r="AL144" s="106">
        <f t="shared" si="10"/>
        <v>16</v>
      </c>
      <c r="AM144" s="106">
        <f t="shared" si="11"/>
        <v>0</v>
      </c>
      <c r="AN144" s="106">
        <f t="shared" si="12"/>
        <v>0</v>
      </c>
      <c r="AO144" s="106">
        <f t="shared" si="13"/>
        <v>16</v>
      </c>
      <c r="AP144" s="106">
        <f t="shared" si="14"/>
        <v>7</v>
      </c>
      <c r="AQ144" s="134">
        <v>110</v>
      </c>
      <c r="AR144" s="134">
        <v>3190</v>
      </c>
      <c r="AS144" s="134">
        <v>1458</v>
      </c>
      <c r="AT144" s="135">
        <v>45.705329153605021</v>
      </c>
      <c r="AU144" s="106" t="s">
        <v>427</v>
      </c>
      <c r="AV144" s="100"/>
      <c r="AW144" s="100"/>
    </row>
    <row r="145" spans="1:49" x14ac:dyDescent="0.25">
      <c r="A145" s="96">
        <v>145</v>
      </c>
      <c r="B145" s="148">
        <v>2139</v>
      </c>
      <c r="C145" s="32" t="s">
        <v>192</v>
      </c>
      <c r="D145" s="32" t="s">
        <v>44</v>
      </c>
      <c r="E145" s="32" t="s">
        <v>20</v>
      </c>
      <c r="F145" s="32" t="s">
        <v>107</v>
      </c>
      <c r="G145" s="60">
        <v>45210</v>
      </c>
      <c r="H145" s="77" t="s">
        <v>389</v>
      </c>
      <c r="I145" s="77" t="s">
        <v>13</v>
      </c>
      <c r="J145" s="78" t="s">
        <v>390</v>
      </c>
      <c r="K145" s="78" t="s">
        <v>390</v>
      </c>
      <c r="L145" s="78" t="s">
        <v>390</v>
      </c>
      <c r="M145" s="78" t="s">
        <v>390</v>
      </c>
      <c r="N145" s="78" t="s">
        <v>390</v>
      </c>
      <c r="O145" s="78" t="s">
        <v>390</v>
      </c>
      <c r="P145" s="77" t="s">
        <v>13</v>
      </c>
      <c r="Q145" s="78" t="s">
        <v>390</v>
      </c>
      <c r="R145" s="78" t="s">
        <v>390</v>
      </c>
      <c r="S145" s="78" t="s">
        <v>390</v>
      </c>
      <c r="T145" s="78" t="s">
        <v>390</v>
      </c>
      <c r="U145" s="78" t="s">
        <v>390</v>
      </c>
      <c r="V145" s="79" t="s">
        <v>391</v>
      </c>
      <c r="W145" s="77" t="s">
        <v>13</v>
      </c>
      <c r="X145" s="78" t="s">
        <v>390</v>
      </c>
      <c r="Y145" s="78" t="s">
        <v>390</v>
      </c>
      <c r="Z145" s="78" t="s">
        <v>390</v>
      </c>
      <c r="AA145" s="78" t="s">
        <v>390</v>
      </c>
      <c r="AB145" s="78" t="s">
        <v>390</v>
      </c>
      <c r="AC145" s="78" t="s">
        <v>390</v>
      </c>
      <c r="AD145" s="77" t="s">
        <v>13</v>
      </c>
      <c r="AE145" s="78" t="s">
        <v>390</v>
      </c>
      <c r="AF145" s="78" t="s">
        <v>390</v>
      </c>
      <c r="AG145" s="78" t="s">
        <v>390</v>
      </c>
      <c r="AH145" s="78" t="s">
        <v>390</v>
      </c>
      <c r="AI145" s="78" t="s">
        <v>390</v>
      </c>
      <c r="AJ145" s="80" t="s">
        <v>14</v>
      </c>
      <c r="AK145" s="77" t="s">
        <v>13</v>
      </c>
      <c r="AL145" s="106">
        <f t="shared" si="10"/>
        <v>22</v>
      </c>
      <c r="AM145" s="106">
        <f t="shared" si="11"/>
        <v>0</v>
      </c>
      <c r="AN145" s="106">
        <f t="shared" si="12"/>
        <v>0</v>
      </c>
      <c r="AO145" s="106">
        <f t="shared" si="13"/>
        <v>22</v>
      </c>
      <c r="AP145" s="106">
        <f t="shared" si="14"/>
        <v>1</v>
      </c>
      <c r="AQ145" s="134">
        <v>100</v>
      </c>
      <c r="AR145" s="134">
        <v>2900</v>
      </c>
      <c r="AS145" s="134">
        <v>1838</v>
      </c>
      <c r="AT145" s="135">
        <v>63.379310344827587</v>
      </c>
      <c r="AU145" s="106" t="s">
        <v>427</v>
      </c>
      <c r="AV145" s="100"/>
      <c r="AW145" s="100"/>
    </row>
    <row r="146" spans="1:49" x14ac:dyDescent="0.25">
      <c r="A146" s="96">
        <v>146</v>
      </c>
      <c r="B146" s="152">
        <v>2146</v>
      </c>
      <c r="C146" s="50" t="s">
        <v>193</v>
      </c>
      <c r="D146" s="50" t="s">
        <v>92</v>
      </c>
      <c r="E146" s="50" t="s">
        <v>39</v>
      </c>
      <c r="F146" s="50" t="s">
        <v>107</v>
      </c>
      <c r="G146" s="70">
        <v>45215</v>
      </c>
      <c r="H146" s="77" t="s">
        <v>389</v>
      </c>
      <c r="I146" s="77" t="s">
        <v>13</v>
      </c>
      <c r="J146" s="80" t="s">
        <v>14</v>
      </c>
      <c r="K146" s="80" t="s">
        <v>14</v>
      </c>
      <c r="L146" s="80" t="s">
        <v>14</v>
      </c>
      <c r="M146" s="80" t="s">
        <v>14</v>
      </c>
      <c r="N146" s="80" t="s">
        <v>14</v>
      </c>
      <c r="O146" s="80" t="s">
        <v>14</v>
      </c>
      <c r="P146" s="77" t="s">
        <v>13</v>
      </c>
      <c r="Q146" s="80" t="s">
        <v>14</v>
      </c>
      <c r="R146" s="80" t="s">
        <v>14</v>
      </c>
      <c r="S146" s="80" t="s">
        <v>14</v>
      </c>
      <c r="T146" s="80" t="s">
        <v>14</v>
      </c>
      <c r="U146" s="80" t="s">
        <v>14</v>
      </c>
      <c r="V146" s="80" t="s">
        <v>14</v>
      </c>
      <c r="W146" s="77" t="s">
        <v>13</v>
      </c>
      <c r="X146" s="78" t="s">
        <v>390</v>
      </c>
      <c r="Y146" s="78" t="s">
        <v>390</v>
      </c>
      <c r="Z146" s="78" t="s">
        <v>390</v>
      </c>
      <c r="AA146" s="78" t="s">
        <v>390</v>
      </c>
      <c r="AB146" s="78" t="s">
        <v>390</v>
      </c>
      <c r="AC146" s="78" t="s">
        <v>390</v>
      </c>
      <c r="AD146" s="77" t="s">
        <v>13</v>
      </c>
      <c r="AE146" s="80" t="s">
        <v>14</v>
      </c>
      <c r="AF146" s="78" t="s">
        <v>390</v>
      </c>
      <c r="AG146" s="78" t="s">
        <v>390</v>
      </c>
      <c r="AH146" s="78" t="s">
        <v>390</v>
      </c>
      <c r="AI146" s="78" t="s">
        <v>390</v>
      </c>
      <c r="AJ146" s="78" t="s">
        <v>390</v>
      </c>
      <c r="AK146" s="77" t="s">
        <v>13</v>
      </c>
      <c r="AL146" s="106">
        <f t="shared" si="10"/>
        <v>11</v>
      </c>
      <c r="AM146" s="106">
        <f t="shared" si="11"/>
        <v>0</v>
      </c>
      <c r="AN146" s="106">
        <f t="shared" si="12"/>
        <v>0</v>
      </c>
      <c r="AO146" s="106">
        <f t="shared" si="13"/>
        <v>11</v>
      </c>
      <c r="AP146" s="106">
        <f t="shared" si="14"/>
        <v>13</v>
      </c>
      <c r="AQ146" s="134">
        <v>70</v>
      </c>
      <c r="AR146" s="134">
        <v>1890</v>
      </c>
      <c r="AS146" s="134">
        <v>241</v>
      </c>
      <c r="AT146" s="135">
        <v>12.751322751322752</v>
      </c>
      <c r="AU146" s="113" t="s">
        <v>393</v>
      </c>
      <c r="AV146" s="110" t="s">
        <v>398</v>
      </c>
      <c r="AW146" s="100"/>
    </row>
    <row r="147" spans="1:49" x14ac:dyDescent="0.25">
      <c r="A147" s="96">
        <v>147</v>
      </c>
      <c r="B147" s="148">
        <v>2147</v>
      </c>
      <c r="C147" s="32" t="s">
        <v>194</v>
      </c>
      <c r="D147" s="32" t="s">
        <v>88</v>
      </c>
      <c r="E147" s="32" t="s">
        <v>39</v>
      </c>
      <c r="F147" s="32" t="s">
        <v>107</v>
      </c>
      <c r="G147" s="60">
        <v>45215</v>
      </c>
      <c r="H147" s="77" t="s">
        <v>389</v>
      </c>
      <c r="I147" s="77" t="s">
        <v>13</v>
      </c>
      <c r="J147" s="85" t="s">
        <v>378</v>
      </c>
      <c r="K147" s="85" t="s">
        <v>378</v>
      </c>
      <c r="L147" s="85" t="s">
        <v>378</v>
      </c>
      <c r="M147" s="85" t="s">
        <v>378</v>
      </c>
      <c r="N147" s="85" t="s">
        <v>378</v>
      </c>
      <c r="O147" s="85" t="s">
        <v>378</v>
      </c>
      <c r="P147" s="77" t="s">
        <v>13</v>
      </c>
      <c r="Q147" s="78" t="s">
        <v>390</v>
      </c>
      <c r="R147" s="78" t="s">
        <v>390</v>
      </c>
      <c r="S147" s="78" t="s">
        <v>390</v>
      </c>
      <c r="T147" s="78" t="s">
        <v>390</v>
      </c>
      <c r="U147" s="81" t="s">
        <v>392</v>
      </c>
      <c r="V147" s="78" t="s">
        <v>390</v>
      </c>
      <c r="W147" s="77" t="s">
        <v>13</v>
      </c>
      <c r="X147" s="78" t="s">
        <v>390</v>
      </c>
      <c r="Y147" s="78" t="s">
        <v>390</v>
      </c>
      <c r="Z147" s="78" t="s">
        <v>390</v>
      </c>
      <c r="AA147" s="78" t="s">
        <v>390</v>
      </c>
      <c r="AB147" s="78" t="s">
        <v>390</v>
      </c>
      <c r="AC147" s="79" t="s">
        <v>391</v>
      </c>
      <c r="AD147" s="77" t="s">
        <v>13</v>
      </c>
      <c r="AE147" s="78" t="s">
        <v>390</v>
      </c>
      <c r="AF147" s="78" t="s">
        <v>390</v>
      </c>
      <c r="AG147" s="78" t="s">
        <v>390</v>
      </c>
      <c r="AH147" s="78" t="s">
        <v>390</v>
      </c>
      <c r="AI147" s="78" t="s">
        <v>390</v>
      </c>
      <c r="AJ147" s="85" t="s">
        <v>378</v>
      </c>
      <c r="AK147" s="77" t="s">
        <v>13</v>
      </c>
      <c r="AL147" s="106">
        <f t="shared" si="10"/>
        <v>15</v>
      </c>
      <c r="AM147" s="106">
        <f t="shared" si="11"/>
        <v>7</v>
      </c>
      <c r="AN147" s="106">
        <f t="shared" si="12"/>
        <v>0.5</v>
      </c>
      <c r="AO147" s="106">
        <f t="shared" si="13"/>
        <v>22.5</v>
      </c>
      <c r="AP147" s="106">
        <f t="shared" si="14"/>
        <v>0.5</v>
      </c>
      <c r="AQ147" s="134">
        <v>50</v>
      </c>
      <c r="AR147" s="134">
        <v>1450</v>
      </c>
      <c r="AS147" s="134">
        <v>13</v>
      </c>
      <c r="AT147" s="135">
        <v>0.89655172413793094</v>
      </c>
      <c r="AU147" s="106" t="s">
        <v>427</v>
      </c>
      <c r="AV147" s="100"/>
      <c r="AW147" s="100"/>
    </row>
    <row r="148" spans="1:49" x14ac:dyDescent="0.25">
      <c r="A148" s="96">
        <v>148</v>
      </c>
      <c r="B148" s="148">
        <v>2148</v>
      </c>
      <c r="C148" s="32" t="s">
        <v>376</v>
      </c>
      <c r="D148" s="32" t="s">
        <v>88</v>
      </c>
      <c r="E148" s="32" t="s">
        <v>20</v>
      </c>
      <c r="F148" s="32" t="s">
        <v>107</v>
      </c>
      <c r="G148" s="60">
        <v>45215</v>
      </c>
      <c r="H148" s="77" t="s">
        <v>389</v>
      </c>
      <c r="I148" s="77" t="s">
        <v>13</v>
      </c>
      <c r="J148" s="78" t="s">
        <v>390</v>
      </c>
      <c r="K148" s="78" t="s">
        <v>390</v>
      </c>
      <c r="L148" s="78" t="s">
        <v>390</v>
      </c>
      <c r="M148" s="78" t="s">
        <v>390</v>
      </c>
      <c r="N148" s="78" t="s">
        <v>390</v>
      </c>
      <c r="O148" s="78" t="s">
        <v>390</v>
      </c>
      <c r="P148" s="77" t="s">
        <v>13</v>
      </c>
      <c r="Q148" s="78" t="s">
        <v>390</v>
      </c>
      <c r="R148" s="78" t="s">
        <v>390</v>
      </c>
      <c r="S148" s="78" t="s">
        <v>390</v>
      </c>
      <c r="T148" s="80" t="s">
        <v>14</v>
      </c>
      <c r="U148" s="79" t="s">
        <v>391</v>
      </c>
      <c r="V148" s="78" t="s">
        <v>390</v>
      </c>
      <c r="W148" s="77" t="s">
        <v>13</v>
      </c>
      <c r="X148" s="78" t="s">
        <v>390</v>
      </c>
      <c r="Y148" s="78" t="s">
        <v>390</v>
      </c>
      <c r="Z148" s="81" t="s">
        <v>392</v>
      </c>
      <c r="AA148" s="78" t="s">
        <v>390</v>
      </c>
      <c r="AB148" s="78" t="s">
        <v>390</v>
      </c>
      <c r="AC148" s="78" t="s">
        <v>390</v>
      </c>
      <c r="AD148" s="77" t="s">
        <v>13</v>
      </c>
      <c r="AE148" s="136" t="s">
        <v>390</v>
      </c>
      <c r="AF148" s="78" t="s">
        <v>390</v>
      </c>
      <c r="AG148" s="78" t="s">
        <v>390</v>
      </c>
      <c r="AH148" s="78" t="s">
        <v>390</v>
      </c>
      <c r="AI148" s="78" t="s">
        <v>390</v>
      </c>
      <c r="AJ148" s="78" t="s">
        <v>390</v>
      </c>
      <c r="AK148" s="77" t="s">
        <v>13</v>
      </c>
      <c r="AL148" s="106">
        <f t="shared" si="10"/>
        <v>21</v>
      </c>
      <c r="AM148" s="106">
        <f t="shared" si="11"/>
        <v>0</v>
      </c>
      <c r="AN148" s="106">
        <f t="shared" si="12"/>
        <v>0.5</v>
      </c>
      <c r="AO148" s="106">
        <f t="shared" si="13"/>
        <v>21.5</v>
      </c>
      <c r="AP148" s="106">
        <f t="shared" si="14"/>
        <v>1.5</v>
      </c>
      <c r="AQ148" s="134">
        <v>50</v>
      </c>
      <c r="AR148" s="134">
        <v>1450</v>
      </c>
      <c r="AS148" s="134">
        <v>204</v>
      </c>
      <c r="AT148" s="135">
        <v>14.068965517241381</v>
      </c>
      <c r="AU148" s="106" t="s">
        <v>427</v>
      </c>
      <c r="AV148" s="100"/>
      <c r="AW148" s="100"/>
    </row>
    <row r="149" spans="1:49" x14ac:dyDescent="0.25">
      <c r="A149" s="96">
        <v>149</v>
      </c>
      <c r="B149" s="148">
        <v>2151</v>
      </c>
      <c r="C149" s="32" t="s">
        <v>195</v>
      </c>
      <c r="D149" s="32" t="s">
        <v>77</v>
      </c>
      <c r="E149" s="32" t="s">
        <v>130</v>
      </c>
      <c r="F149" s="32" t="s">
        <v>196</v>
      </c>
      <c r="G149" s="59" t="s">
        <v>197</v>
      </c>
      <c r="H149" s="75" t="s">
        <v>12</v>
      </c>
      <c r="I149" s="75" t="s">
        <v>13</v>
      </c>
      <c r="J149" s="84" t="s">
        <v>390</v>
      </c>
      <c r="K149" s="84" t="s">
        <v>390</v>
      </c>
      <c r="L149" s="84" t="s">
        <v>390</v>
      </c>
      <c r="M149" s="84" t="s">
        <v>390</v>
      </c>
      <c r="N149" s="84" t="s">
        <v>390</v>
      </c>
      <c r="O149" s="83" t="s">
        <v>14</v>
      </c>
      <c r="P149" s="75" t="s">
        <v>13</v>
      </c>
      <c r="Q149" s="84" t="s">
        <v>390</v>
      </c>
      <c r="R149" s="84" t="s">
        <v>390</v>
      </c>
      <c r="S149" s="84" t="s">
        <v>390</v>
      </c>
      <c r="T149" s="84" t="s">
        <v>390</v>
      </c>
      <c r="U149" s="84" t="s">
        <v>390</v>
      </c>
      <c r="V149" s="82" t="s">
        <v>391</v>
      </c>
      <c r="W149" s="75" t="s">
        <v>13</v>
      </c>
      <c r="X149" s="84" t="s">
        <v>390</v>
      </c>
      <c r="Y149" s="84" t="s">
        <v>390</v>
      </c>
      <c r="Z149" s="84" t="s">
        <v>390</v>
      </c>
      <c r="AA149" s="84" t="s">
        <v>390</v>
      </c>
      <c r="AB149" s="84" t="s">
        <v>390</v>
      </c>
      <c r="AC149" s="76" t="s">
        <v>378</v>
      </c>
      <c r="AD149" s="75" t="s">
        <v>13</v>
      </c>
      <c r="AE149" s="84" t="s">
        <v>390</v>
      </c>
      <c r="AF149" s="84" t="s">
        <v>390</v>
      </c>
      <c r="AG149" s="84" t="s">
        <v>390</v>
      </c>
      <c r="AH149" s="84" t="s">
        <v>390</v>
      </c>
      <c r="AI149" s="84" t="s">
        <v>390</v>
      </c>
      <c r="AJ149" s="84" t="s">
        <v>390</v>
      </c>
      <c r="AK149" s="75" t="s">
        <v>13</v>
      </c>
      <c r="AL149" s="106">
        <f t="shared" si="10"/>
        <v>21</v>
      </c>
      <c r="AM149" s="106">
        <f t="shared" si="11"/>
        <v>1</v>
      </c>
      <c r="AN149" s="106">
        <f t="shared" si="12"/>
        <v>0</v>
      </c>
      <c r="AO149" s="106">
        <f t="shared" si="13"/>
        <v>22</v>
      </c>
      <c r="AP149" s="106">
        <f t="shared" si="14"/>
        <v>1</v>
      </c>
      <c r="AQ149" s="134"/>
      <c r="AR149" s="134"/>
      <c r="AS149" s="134"/>
      <c r="AT149" s="135"/>
      <c r="AU149" s="106" t="s">
        <v>427</v>
      </c>
      <c r="AV149" s="100"/>
      <c r="AW149" s="100"/>
    </row>
    <row r="150" spans="1:49" x14ac:dyDescent="0.25">
      <c r="A150" s="96">
        <v>150</v>
      </c>
      <c r="B150" s="148">
        <v>2154</v>
      </c>
      <c r="C150" s="32" t="s">
        <v>198</v>
      </c>
      <c r="D150" s="32" t="s">
        <v>8</v>
      </c>
      <c r="E150" s="32" t="s">
        <v>9</v>
      </c>
      <c r="F150" s="32" t="s">
        <v>107</v>
      </c>
      <c r="G150" s="69">
        <v>45065</v>
      </c>
      <c r="H150" s="77" t="s">
        <v>389</v>
      </c>
      <c r="I150" s="77" t="s">
        <v>13</v>
      </c>
      <c r="J150" s="78" t="s">
        <v>390</v>
      </c>
      <c r="K150" s="86" t="s">
        <v>14</v>
      </c>
      <c r="L150" s="78" t="s">
        <v>390</v>
      </c>
      <c r="M150" s="78" t="s">
        <v>390</v>
      </c>
      <c r="N150" s="78" t="s">
        <v>390</v>
      </c>
      <c r="O150" s="78" t="s">
        <v>390</v>
      </c>
      <c r="P150" s="77" t="s">
        <v>13</v>
      </c>
      <c r="Q150" s="81" t="s">
        <v>392</v>
      </c>
      <c r="R150" s="78" t="s">
        <v>390</v>
      </c>
      <c r="S150" s="78" t="s">
        <v>390</v>
      </c>
      <c r="T150" s="78" t="s">
        <v>390</v>
      </c>
      <c r="U150" s="78" t="s">
        <v>390</v>
      </c>
      <c r="V150" s="79" t="s">
        <v>391</v>
      </c>
      <c r="W150" s="77" t="s">
        <v>13</v>
      </c>
      <c r="X150" s="86" t="s">
        <v>14</v>
      </c>
      <c r="Y150" s="86" t="s">
        <v>14</v>
      </c>
      <c r="Z150" s="86" t="s">
        <v>14</v>
      </c>
      <c r="AA150" s="86" t="s">
        <v>14</v>
      </c>
      <c r="AB150" s="86" t="s">
        <v>14</v>
      </c>
      <c r="AC150" s="79" t="s">
        <v>391</v>
      </c>
      <c r="AD150" s="77" t="s">
        <v>13</v>
      </c>
      <c r="AE150" s="86" t="s">
        <v>14</v>
      </c>
      <c r="AF150" s="85" t="s">
        <v>378</v>
      </c>
      <c r="AG150" s="86" t="s">
        <v>14</v>
      </c>
      <c r="AH150" s="85" t="s">
        <v>378</v>
      </c>
      <c r="AI150" s="85" t="s">
        <v>378</v>
      </c>
      <c r="AJ150" s="86" t="s">
        <v>14</v>
      </c>
      <c r="AK150" s="77" t="s">
        <v>13</v>
      </c>
      <c r="AL150" s="106">
        <f t="shared" si="10"/>
        <v>9</v>
      </c>
      <c r="AM150" s="106">
        <f t="shared" si="11"/>
        <v>3</v>
      </c>
      <c r="AN150" s="106">
        <f t="shared" si="12"/>
        <v>0.5</v>
      </c>
      <c r="AO150" s="106">
        <f t="shared" si="13"/>
        <v>12.5</v>
      </c>
      <c r="AP150" s="106">
        <f t="shared" si="14"/>
        <v>9.5</v>
      </c>
      <c r="AQ150" s="134">
        <v>18</v>
      </c>
      <c r="AR150" s="134">
        <v>468</v>
      </c>
      <c r="AS150" s="134">
        <v>174</v>
      </c>
      <c r="AT150" s="135">
        <v>37.179487179487182</v>
      </c>
      <c r="AU150" s="106" t="s">
        <v>427</v>
      </c>
      <c r="AV150" s="100"/>
      <c r="AW150" s="100"/>
    </row>
    <row r="151" spans="1:49" x14ac:dyDescent="0.25">
      <c r="A151" s="96">
        <v>151</v>
      </c>
      <c r="B151" s="148">
        <v>2155</v>
      </c>
      <c r="C151" s="32" t="s">
        <v>199</v>
      </c>
      <c r="D151" s="32" t="s">
        <v>19</v>
      </c>
      <c r="E151" s="32" t="s">
        <v>20</v>
      </c>
      <c r="F151" s="32" t="s">
        <v>107</v>
      </c>
      <c r="G151" s="60">
        <v>45124</v>
      </c>
      <c r="H151" s="77" t="s">
        <v>389</v>
      </c>
      <c r="I151" s="77" t="s">
        <v>13</v>
      </c>
      <c r="J151" s="85" t="s">
        <v>378</v>
      </c>
      <c r="K151" s="85" t="s">
        <v>378</v>
      </c>
      <c r="L151" s="85" t="s">
        <v>378</v>
      </c>
      <c r="M151" s="85" t="s">
        <v>378</v>
      </c>
      <c r="N151" s="85" t="s">
        <v>378</v>
      </c>
      <c r="O151" s="85" t="s">
        <v>378</v>
      </c>
      <c r="P151" s="77" t="s">
        <v>13</v>
      </c>
      <c r="Q151" s="85" t="s">
        <v>378</v>
      </c>
      <c r="R151" s="85" t="s">
        <v>378</v>
      </c>
      <c r="S151" s="85" t="s">
        <v>378</v>
      </c>
      <c r="T151" s="85" t="s">
        <v>378</v>
      </c>
      <c r="U151" s="85" t="s">
        <v>378</v>
      </c>
      <c r="V151" s="85" t="s">
        <v>378</v>
      </c>
      <c r="W151" s="77" t="s">
        <v>13</v>
      </c>
      <c r="X151" s="80" t="s">
        <v>14</v>
      </c>
      <c r="Y151" s="85" t="s">
        <v>378</v>
      </c>
      <c r="Z151" s="85" t="s">
        <v>378</v>
      </c>
      <c r="AA151" s="85" t="s">
        <v>378</v>
      </c>
      <c r="AB151" s="85" t="s">
        <v>378</v>
      </c>
      <c r="AC151" s="79" t="s">
        <v>391</v>
      </c>
      <c r="AD151" s="77" t="s">
        <v>13</v>
      </c>
      <c r="AE151" s="90" t="s">
        <v>392</v>
      </c>
      <c r="AF151" s="85" t="s">
        <v>378</v>
      </c>
      <c r="AG151" s="85" t="s">
        <v>378</v>
      </c>
      <c r="AH151" s="85" t="s">
        <v>378</v>
      </c>
      <c r="AI151" s="85" t="s">
        <v>378</v>
      </c>
      <c r="AJ151" s="80" t="s">
        <v>14</v>
      </c>
      <c r="AK151" s="77" t="s">
        <v>13</v>
      </c>
      <c r="AL151" s="106">
        <f t="shared" si="10"/>
        <v>0</v>
      </c>
      <c r="AM151" s="106">
        <f t="shared" si="11"/>
        <v>20</v>
      </c>
      <c r="AN151" s="106">
        <f t="shared" si="12"/>
        <v>0.5</v>
      </c>
      <c r="AO151" s="106">
        <f t="shared" si="13"/>
        <v>20.5</v>
      </c>
      <c r="AP151" s="106">
        <f t="shared" si="14"/>
        <v>2.5</v>
      </c>
      <c r="AQ151" s="134">
        <v>20</v>
      </c>
      <c r="AR151" s="134">
        <v>520</v>
      </c>
      <c r="AS151" s="134">
        <v>291</v>
      </c>
      <c r="AT151" s="135">
        <v>55.96153846153846</v>
      </c>
      <c r="AU151" s="106" t="s">
        <v>427</v>
      </c>
      <c r="AV151" s="100"/>
      <c r="AW151" s="100"/>
    </row>
    <row r="152" spans="1:49" x14ac:dyDescent="0.25">
      <c r="A152" s="96">
        <v>152</v>
      </c>
      <c r="B152" s="148">
        <v>2156</v>
      </c>
      <c r="C152" s="32" t="s">
        <v>200</v>
      </c>
      <c r="D152" s="32" t="s">
        <v>8</v>
      </c>
      <c r="E152" s="32" t="s">
        <v>9</v>
      </c>
      <c r="F152" s="32" t="s">
        <v>107</v>
      </c>
      <c r="G152" s="67">
        <v>45140</v>
      </c>
      <c r="H152" s="77" t="s">
        <v>389</v>
      </c>
      <c r="I152" s="77" t="s">
        <v>13</v>
      </c>
      <c r="J152" s="78" t="s">
        <v>390</v>
      </c>
      <c r="K152" s="78" t="s">
        <v>390</v>
      </c>
      <c r="L152" s="78" t="s">
        <v>390</v>
      </c>
      <c r="M152" s="78" t="s">
        <v>390</v>
      </c>
      <c r="N152" s="78" t="s">
        <v>390</v>
      </c>
      <c r="O152" s="137" t="s">
        <v>391</v>
      </c>
      <c r="P152" s="77" t="s">
        <v>13</v>
      </c>
      <c r="Q152" s="78" t="s">
        <v>390</v>
      </c>
      <c r="R152" s="78" t="s">
        <v>390</v>
      </c>
      <c r="S152" s="78" t="s">
        <v>390</v>
      </c>
      <c r="T152" s="78" t="s">
        <v>390</v>
      </c>
      <c r="U152" s="78" t="s">
        <v>390</v>
      </c>
      <c r="V152" s="78" t="s">
        <v>390</v>
      </c>
      <c r="W152" s="77" t="s">
        <v>13</v>
      </c>
      <c r="X152" s="78" t="s">
        <v>390</v>
      </c>
      <c r="Y152" s="78" t="s">
        <v>390</v>
      </c>
      <c r="Z152" s="78" t="s">
        <v>390</v>
      </c>
      <c r="AA152" s="78" t="s">
        <v>390</v>
      </c>
      <c r="AB152" s="78" t="s">
        <v>390</v>
      </c>
      <c r="AC152" s="78" t="s">
        <v>390</v>
      </c>
      <c r="AD152" s="77" t="s">
        <v>13</v>
      </c>
      <c r="AE152" s="78" t="s">
        <v>390</v>
      </c>
      <c r="AF152" s="78" t="s">
        <v>390</v>
      </c>
      <c r="AG152" s="78" t="s">
        <v>390</v>
      </c>
      <c r="AH152" s="78" t="s">
        <v>390</v>
      </c>
      <c r="AI152" s="78" t="s">
        <v>390</v>
      </c>
      <c r="AJ152" s="78" t="s">
        <v>390</v>
      </c>
      <c r="AK152" s="77" t="s">
        <v>13</v>
      </c>
      <c r="AL152" s="106">
        <f t="shared" si="10"/>
        <v>23</v>
      </c>
      <c r="AM152" s="106">
        <f t="shared" si="11"/>
        <v>0</v>
      </c>
      <c r="AN152" s="106">
        <f t="shared" si="12"/>
        <v>0</v>
      </c>
      <c r="AO152" s="106">
        <f t="shared" si="13"/>
        <v>23</v>
      </c>
      <c r="AP152" s="106">
        <f t="shared" si="14"/>
        <v>0</v>
      </c>
      <c r="AQ152" s="134">
        <v>18</v>
      </c>
      <c r="AR152" s="134">
        <v>468</v>
      </c>
      <c r="AS152" s="134">
        <v>5</v>
      </c>
      <c r="AT152" s="135">
        <v>1.0683760683760684</v>
      </c>
      <c r="AU152" s="106" t="s">
        <v>427</v>
      </c>
      <c r="AV152" s="100"/>
      <c r="AW152" s="100"/>
    </row>
    <row r="153" spans="1:49" x14ac:dyDescent="0.25">
      <c r="A153" s="96">
        <v>153</v>
      </c>
      <c r="B153" s="148">
        <v>2157</v>
      </c>
      <c r="C153" s="32" t="s">
        <v>201</v>
      </c>
      <c r="D153" s="32" t="s">
        <v>8</v>
      </c>
      <c r="E153" s="32" t="s">
        <v>9</v>
      </c>
      <c r="F153" s="32" t="s">
        <v>107</v>
      </c>
      <c r="G153" s="67">
        <v>45145</v>
      </c>
      <c r="H153" s="77" t="s">
        <v>389</v>
      </c>
      <c r="I153" s="77" t="s">
        <v>13</v>
      </c>
      <c r="J153" s="80" t="s">
        <v>14</v>
      </c>
      <c r="K153" s="86" t="s">
        <v>14</v>
      </c>
      <c r="L153" s="86" t="s">
        <v>14</v>
      </c>
      <c r="M153" s="78" t="s">
        <v>390</v>
      </c>
      <c r="N153" s="78" t="s">
        <v>390</v>
      </c>
      <c r="O153" s="78" t="s">
        <v>390</v>
      </c>
      <c r="P153" s="77" t="s">
        <v>13</v>
      </c>
      <c r="Q153" s="78" t="s">
        <v>390</v>
      </c>
      <c r="R153" s="78" t="s">
        <v>390</v>
      </c>
      <c r="S153" s="78" t="s">
        <v>390</v>
      </c>
      <c r="T153" s="78" t="s">
        <v>390</v>
      </c>
      <c r="U153" s="78" t="s">
        <v>390</v>
      </c>
      <c r="V153" s="79" t="s">
        <v>391</v>
      </c>
      <c r="W153" s="77" t="s">
        <v>13</v>
      </c>
      <c r="X153" s="78" t="s">
        <v>390</v>
      </c>
      <c r="Y153" s="78" t="s">
        <v>390</v>
      </c>
      <c r="Z153" s="78" t="s">
        <v>390</v>
      </c>
      <c r="AA153" s="78" t="s">
        <v>390</v>
      </c>
      <c r="AB153" s="78" t="s">
        <v>390</v>
      </c>
      <c r="AC153" s="78" t="s">
        <v>390</v>
      </c>
      <c r="AD153" s="77" t="s">
        <v>13</v>
      </c>
      <c r="AE153" s="78" t="s">
        <v>390</v>
      </c>
      <c r="AF153" s="78" t="s">
        <v>390</v>
      </c>
      <c r="AG153" s="78" t="s">
        <v>390</v>
      </c>
      <c r="AH153" s="78" t="s">
        <v>390</v>
      </c>
      <c r="AI153" s="78" t="s">
        <v>390</v>
      </c>
      <c r="AJ153" s="78" t="s">
        <v>390</v>
      </c>
      <c r="AK153" s="77" t="s">
        <v>13</v>
      </c>
      <c r="AL153" s="106">
        <f t="shared" si="10"/>
        <v>20</v>
      </c>
      <c r="AM153" s="106">
        <f t="shared" si="11"/>
        <v>0</v>
      </c>
      <c r="AN153" s="106">
        <f t="shared" si="12"/>
        <v>0</v>
      </c>
      <c r="AO153" s="106">
        <f t="shared" si="13"/>
        <v>20</v>
      </c>
      <c r="AP153" s="106">
        <f t="shared" si="14"/>
        <v>3</v>
      </c>
      <c r="AQ153" s="134"/>
      <c r="AR153" s="134"/>
      <c r="AS153" s="134"/>
      <c r="AT153" s="135"/>
      <c r="AU153" s="106" t="s">
        <v>427</v>
      </c>
      <c r="AV153" s="100"/>
      <c r="AW153" s="100"/>
    </row>
    <row r="154" spans="1:49" x14ac:dyDescent="0.25">
      <c r="A154" s="96">
        <v>154</v>
      </c>
      <c r="B154" s="148">
        <v>2159</v>
      </c>
      <c r="C154" s="32" t="s">
        <v>202</v>
      </c>
      <c r="D154" s="32" t="s">
        <v>23</v>
      </c>
      <c r="E154" s="32" t="s">
        <v>24</v>
      </c>
      <c r="F154" s="32" t="s">
        <v>107</v>
      </c>
      <c r="G154" s="60">
        <v>45154</v>
      </c>
      <c r="H154" s="77" t="s">
        <v>389</v>
      </c>
      <c r="I154" s="77" t="s">
        <v>13</v>
      </c>
      <c r="J154" s="80" t="s">
        <v>14</v>
      </c>
      <c r="K154" s="80" t="s">
        <v>14</v>
      </c>
      <c r="L154" s="80" t="s">
        <v>14</v>
      </c>
      <c r="M154" s="80" t="s">
        <v>14</v>
      </c>
      <c r="N154" s="78" t="s">
        <v>390</v>
      </c>
      <c r="O154" s="78" t="s">
        <v>390</v>
      </c>
      <c r="P154" s="77" t="s">
        <v>13</v>
      </c>
      <c r="Q154" s="78" t="s">
        <v>390</v>
      </c>
      <c r="R154" s="78" t="s">
        <v>390</v>
      </c>
      <c r="S154" s="78" t="s">
        <v>390</v>
      </c>
      <c r="T154" s="78" t="s">
        <v>390</v>
      </c>
      <c r="U154" s="78" t="s">
        <v>390</v>
      </c>
      <c r="V154" s="78" t="s">
        <v>390</v>
      </c>
      <c r="W154" s="77" t="s">
        <v>13</v>
      </c>
      <c r="X154" s="78" t="s">
        <v>390</v>
      </c>
      <c r="Y154" s="78" t="s">
        <v>390</v>
      </c>
      <c r="Z154" s="78" t="s">
        <v>390</v>
      </c>
      <c r="AA154" s="78" t="s">
        <v>390</v>
      </c>
      <c r="AB154" s="78" t="s">
        <v>390</v>
      </c>
      <c r="AC154" s="80" t="s">
        <v>391</v>
      </c>
      <c r="AD154" s="77" t="s">
        <v>13</v>
      </c>
      <c r="AE154" s="78" t="s">
        <v>390</v>
      </c>
      <c r="AF154" s="78" t="s">
        <v>390</v>
      </c>
      <c r="AG154" s="78" t="s">
        <v>390</v>
      </c>
      <c r="AH154" s="78" t="s">
        <v>390</v>
      </c>
      <c r="AI154" s="78" t="s">
        <v>390</v>
      </c>
      <c r="AJ154" s="78" t="s">
        <v>390</v>
      </c>
      <c r="AK154" s="77" t="s">
        <v>13</v>
      </c>
      <c r="AL154" s="106">
        <f t="shared" si="10"/>
        <v>19</v>
      </c>
      <c r="AM154" s="106">
        <f t="shared" si="11"/>
        <v>0</v>
      </c>
      <c r="AN154" s="106">
        <f t="shared" si="12"/>
        <v>0</v>
      </c>
      <c r="AO154" s="106">
        <f t="shared" si="13"/>
        <v>19</v>
      </c>
      <c r="AP154" s="106">
        <f t="shared" si="14"/>
        <v>4</v>
      </c>
      <c r="AQ154" s="134">
        <v>110</v>
      </c>
      <c r="AR154" s="134">
        <v>2970</v>
      </c>
      <c r="AS154" s="134">
        <v>966</v>
      </c>
      <c r="AT154" s="135">
        <v>32.525252525252526</v>
      </c>
      <c r="AU154" s="106" t="s">
        <v>427</v>
      </c>
      <c r="AV154" s="100"/>
      <c r="AW154" s="100"/>
    </row>
    <row r="155" spans="1:49" x14ac:dyDescent="0.25">
      <c r="A155" s="96">
        <v>155</v>
      </c>
      <c r="B155" s="148">
        <v>2163</v>
      </c>
      <c r="C155" s="32" t="s">
        <v>203</v>
      </c>
      <c r="D155" s="32" t="s">
        <v>88</v>
      </c>
      <c r="E155" s="32" t="s">
        <v>20</v>
      </c>
      <c r="F155" s="32" t="s">
        <v>107</v>
      </c>
      <c r="G155" s="60">
        <v>45251</v>
      </c>
      <c r="H155" s="77" t="s">
        <v>389</v>
      </c>
      <c r="I155" s="77" t="s">
        <v>13</v>
      </c>
      <c r="J155" s="80" t="s">
        <v>14</v>
      </c>
      <c r="K155" s="80" t="s">
        <v>14</v>
      </c>
      <c r="L155" s="78" t="s">
        <v>390</v>
      </c>
      <c r="M155" s="80" t="s">
        <v>14</v>
      </c>
      <c r="N155" s="81" t="s">
        <v>392</v>
      </c>
      <c r="O155" s="137" t="s">
        <v>391</v>
      </c>
      <c r="P155" s="77" t="s">
        <v>13</v>
      </c>
      <c r="Q155" s="80" t="s">
        <v>14</v>
      </c>
      <c r="R155" s="80" t="s">
        <v>14</v>
      </c>
      <c r="S155" s="78" t="s">
        <v>390</v>
      </c>
      <c r="T155" s="80" t="s">
        <v>14</v>
      </c>
      <c r="U155" s="78" t="s">
        <v>390</v>
      </c>
      <c r="V155" s="78" t="s">
        <v>390</v>
      </c>
      <c r="W155" s="77" t="s">
        <v>13</v>
      </c>
      <c r="X155" s="78" t="s">
        <v>390</v>
      </c>
      <c r="Y155" s="78" t="s">
        <v>390</v>
      </c>
      <c r="Z155" s="78" t="s">
        <v>390</v>
      </c>
      <c r="AA155" s="78" t="s">
        <v>390</v>
      </c>
      <c r="AB155" s="78" t="s">
        <v>390</v>
      </c>
      <c r="AC155" s="78" t="s">
        <v>390</v>
      </c>
      <c r="AD155" s="77" t="s">
        <v>13</v>
      </c>
      <c r="AE155" s="78" t="s">
        <v>390</v>
      </c>
      <c r="AF155" s="78" t="s">
        <v>390</v>
      </c>
      <c r="AG155" s="78" t="s">
        <v>390</v>
      </c>
      <c r="AH155" s="78" t="s">
        <v>390</v>
      </c>
      <c r="AI155" s="78" t="s">
        <v>390</v>
      </c>
      <c r="AJ155" s="78" t="s">
        <v>390</v>
      </c>
      <c r="AK155" s="77" t="s">
        <v>13</v>
      </c>
      <c r="AL155" s="106">
        <f t="shared" si="10"/>
        <v>16</v>
      </c>
      <c r="AM155" s="106">
        <f t="shared" si="11"/>
        <v>0</v>
      </c>
      <c r="AN155" s="106">
        <f t="shared" si="12"/>
        <v>0.5</v>
      </c>
      <c r="AO155" s="106">
        <f t="shared" si="13"/>
        <v>16.5</v>
      </c>
      <c r="AP155" s="106">
        <f t="shared" si="14"/>
        <v>6.5</v>
      </c>
      <c r="AQ155" s="134"/>
      <c r="AR155" s="134"/>
      <c r="AS155" s="134"/>
      <c r="AT155" s="135"/>
      <c r="AU155" s="106" t="s">
        <v>427</v>
      </c>
      <c r="AV155" s="100"/>
      <c r="AW155" s="100"/>
    </row>
    <row r="156" spans="1:49" x14ac:dyDescent="0.25">
      <c r="A156" s="96">
        <v>156</v>
      </c>
      <c r="B156" s="148">
        <v>2164</v>
      </c>
      <c r="C156" s="32" t="s">
        <v>204</v>
      </c>
      <c r="D156" s="32" t="s">
        <v>92</v>
      </c>
      <c r="E156" s="32" t="s">
        <v>109</v>
      </c>
      <c r="F156" s="32" t="s">
        <v>107</v>
      </c>
      <c r="G156" s="60">
        <v>45251</v>
      </c>
      <c r="H156" s="75" t="s">
        <v>12</v>
      </c>
      <c r="I156" s="75" t="s">
        <v>13</v>
      </c>
      <c r="J156" s="88" t="s">
        <v>392</v>
      </c>
      <c r="K156" s="84" t="s">
        <v>390</v>
      </c>
      <c r="L156" s="83" t="s">
        <v>14</v>
      </c>
      <c r="M156" s="84" t="s">
        <v>390</v>
      </c>
      <c r="N156" s="83" t="s">
        <v>14</v>
      </c>
      <c r="O156" s="83" t="s">
        <v>14</v>
      </c>
      <c r="P156" s="83" t="s">
        <v>14</v>
      </c>
      <c r="Q156" s="83" t="s">
        <v>14</v>
      </c>
      <c r="R156" s="83" t="s">
        <v>14</v>
      </c>
      <c r="S156" s="83" t="s">
        <v>14</v>
      </c>
      <c r="T156" s="83" t="s">
        <v>14</v>
      </c>
      <c r="U156" s="83" t="s">
        <v>14</v>
      </c>
      <c r="V156" s="83" t="s">
        <v>14</v>
      </c>
      <c r="W156" s="83" t="s">
        <v>14</v>
      </c>
      <c r="X156" s="83" t="s">
        <v>14</v>
      </c>
      <c r="Y156" s="83" t="s">
        <v>14</v>
      </c>
      <c r="Z156" s="83" t="s">
        <v>14</v>
      </c>
      <c r="AA156" s="83" t="s">
        <v>14</v>
      </c>
      <c r="AB156" s="83" t="s">
        <v>14</v>
      </c>
      <c r="AC156" s="83" t="s">
        <v>14</v>
      </c>
      <c r="AD156" s="83" t="s">
        <v>14</v>
      </c>
      <c r="AE156" s="83" t="s">
        <v>14</v>
      </c>
      <c r="AF156" s="83" t="s">
        <v>14</v>
      </c>
      <c r="AG156" s="83" t="s">
        <v>14</v>
      </c>
      <c r="AH156" s="83" t="s">
        <v>14</v>
      </c>
      <c r="AI156" s="83" t="s">
        <v>14</v>
      </c>
      <c r="AJ156" s="83" t="s">
        <v>14</v>
      </c>
      <c r="AK156" s="83" t="s">
        <v>14</v>
      </c>
      <c r="AL156" s="106">
        <f t="shared" si="10"/>
        <v>2</v>
      </c>
      <c r="AM156" s="106">
        <f t="shared" si="11"/>
        <v>0</v>
      </c>
      <c r="AN156" s="106">
        <f t="shared" si="12"/>
        <v>0.5</v>
      </c>
      <c r="AO156" s="106">
        <f t="shared" si="13"/>
        <v>2.5</v>
      </c>
      <c r="AP156" s="106">
        <f t="shared" si="14"/>
        <v>25.5</v>
      </c>
      <c r="AQ156" s="134"/>
      <c r="AR156" s="134"/>
      <c r="AS156" s="134"/>
      <c r="AT156" s="135"/>
      <c r="AU156" s="113" t="s">
        <v>393</v>
      </c>
      <c r="AV156" s="111" t="s">
        <v>397</v>
      </c>
      <c r="AW156" s="100"/>
    </row>
    <row r="157" spans="1:49" x14ac:dyDescent="0.25">
      <c r="A157" s="96">
        <v>157</v>
      </c>
      <c r="B157" s="148">
        <v>2165</v>
      </c>
      <c r="C157" s="32" t="s">
        <v>205</v>
      </c>
      <c r="D157" s="32" t="s">
        <v>77</v>
      </c>
      <c r="E157" s="32" t="s">
        <v>130</v>
      </c>
      <c r="F157" s="32" t="s">
        <v>107</v>
      </c>
      <c r="G157" s="60">
        <v>45251</v>
      </c>
      <c r="H157" s="75" t="s">
        <v>12</v>
      </c>
      <c r="I157" s="75" t="s">
        <v>13</v>
      </c>
      <c r="J157" s="84" t="s">
        <v>390</v>
      </c>
      <c r="K157" s="84" t="s">
        <v>390</v>
      </c>
      <c r="L157" s="83" t="s">
        <v>14</v>
      </c>
      <c r="M157" s="83" t="s">
        <v>14</v>
      </c>
      <c r="N157" s="84" t="s">
        <v>390</v>
      </c>
      <c r="O157" s="84" t="s">
        <v>390</v>
      </c>
      <c r="P157" s="75" t="s">
        <v>13</v>
      </c>
      <c r="Q157" s="84" t="s">
        <v>390</v>
      </c>
      <c r="R157" s="84" t="s">
        <v>390</v>
      </c>
      <c r="S157" s="84" t="s">
        <v>390</v>
      </c>
      <c r="T157" s="84" t="s">
        <v>390</v>
      </c>
      <c r="U157" s="84" t="s">
        <v>390</v>
      </c>
      <c r="V157" s="82" t="s">
        <v>391</v>
      </c>
      <c r="W157" s="75" t="s">
        <v>13</v>
      </c>
      <c r="X157" s="84" t="s">
        <v>390</v>
      </c>
      <c r="Y157" s="84" t="s">
        <v>390</v>
      </c>
      <c r="Z157" s="84" t="s">
        <v>390</v>
      </c>
      <c r="AA157" s="84" t="s">
        <v>390</v>
      </c>
      <c r="AB157" s="84" t="s">
        <v>390</v>
      </c>
      <c r="AC157" s="83" t="s">
        <v>14</v>
      </c>
      <c r="AD157" s="75" t="s">
        <v>13</v>
      </c>
      <c r="AE157" s="84" t="s">
        <v>390</v>
      </c>
      <c r="AF157" s="84" t="s">
        <v>390</v>
      </c>
      <c r="AG157" s="84" t="s">
        <v>390</v>
      </c>
      <c r="AH157" s="84" t="s">
        <v>390</v>
      </c>
      <c r="AI157" s="84" t="s">
        <v>390</v>
      </c>
      <c r="AJ157" s="84" t="s">
        <v>390</v>
      </c>
      <c r="AK157" s="75" t="s">
        <v>13</v>
      </c>
      <c r="AL157" s="106">
        <f t="shared" si="10"/>
        <v>20</v>
      </c>
      <c r="AM157" s="106">
        <f t="shared" si="11"/>
        <v>0</v>
      </c>
      <c r="AN157" s="106">
        <f t="shared" si="12"/>
        <v>0</v>
      </c>
      <c r="AO157" s="106">
        <f t="shared" si="13"/>
        <v>20</v>
      </c>
      <c r="AP157" s="106">
        <f t="shared" si="14"/>
        <v>3</v>
      </c>
      <c r="AQ157" s="134"/>
      <c r="AR157" s="134"/>
      <c r="AS157" s="134"/>
      <c r="AT157" s="135"/>
      <c r="AU157" s="106" t="s">
        <v>427</v>
      </c>
      <c r="AV157" s="100"/>
      <c r="AW157" s="100"/>
    </row>
    <row r="158" spans="1:49" x14ac:dyDescent="0.25">
      <c r="A158" s="96">
        <v>158</v>
      </c>
      <c r="B158" s="148">
        <v>2174</v>
      </c>
      <c r="C158" s="32" t="s">
        <v>206</v>
      </c>
      <c r="D158" s="32" t="s">
        <v>92</v>
      </c>
      <c r="E158" s="32" t="s">
        <v>109</v>
      </c>
      <c r="F158" s="32" t="s">
        <v>107</v>
      </c>
      <c r="G158" s="60">
        <v>45267</v>
      </c>
      <c r="H158" s="75" t="s">
        <v>12</v>
      </c>
      <c r="I158" s="75" t="s">
        <v>13</v>
      </c>
      <c r="J158" s="84" t="s">
        <v>390</v>
      </c>
      <c r="K158" s="84" t="s">
        <v>390</v>
      </c>
      <c r="L158" s="84" t="s">
        <v>390</v>
      </c>
      <c r="M158" s="84" t="s">
        <v>390</v>
      </c>
      <c r="N158" s="84" t="s">
        <v>390</v>
      </c>
      <c r="O158" s="82" t="s">
        <v>391</v>
      </c>
      <c r="P158" s="75" t="s">
        <v>13</v>
      </c>
      <c r="Q158" s="76" t="s">
        <v>378</v>
      </c>
      <c r="R158" s="76" t="s">
        <v>378</v>
      </c>
      <c r="S158" s="76" t="s">
        <v>378</v>
      </c>
      <c r="T158" s="76" t="s">
        <v>378</v>
      </c>
      <c r="U158" s="76" t="s">
        <v>378</v>
      </c>
      <c r="V158" s="144" t="s">
        <v>378</v>
      </c>
      <c r="W158" s="75" t="s">
        <v>13</v>
      </c>
      <c r="X158" s="76" t="s">
        <v>378</v>
      </c>
      <c r="Y158" s="76" t="s">
        <v>378</v>
      </c>
      <c r="Z158" s="83" t="s">
        <v>14</v>
      </c>
      <c r="AA158" s="83" t="s">
        <v>14</v>
      </c>
      <c r="AB158" s="84" t="s">
        <v>390</v>
      </c>
      <c r="AC158" s="82" t="s">
        <v>391</v>
      </c>
      <c r="AD158" s="75" t="s">
        <v>13</v>
      </c>
      <c r="AE158" s="76" t="s">
        <v>378</v>
      </c>
      <c r="AF158" s="76" t="s">
        <v>378</v>
      </c>
      <c r="AG158" s="76" t="s">
        <v>378</v>
      </c>
      <c r="AH158" s="76" t="s">
        <v>378</v>
      </c>
      <c r="AI158" s="76" t="s">
        <v>378</v>
      </c>
      <c r="AJ158" s="76" t="s">
        <v>378</v>
      </c>
      <c r="AK158" s="75" t="s">
        <v>13</v>
      </c>
      <c r="AL158" s="106">
        <f t="shared" si="10"/>
        <v>6</v>
      </c>
      <c r="AM158" s="106">
        <f t="shared" si="11"/>
        <v>14</v>
      </c>
      <c r="AN158" s="106">
        <f t="shared" si="12"/>
        <v>0</v>
      </c>
      <c r="AO158" s="106">
        <f t="shared" si="13"/>
        <v>20</v>
      </c>
      <c r="AP158" s="106">
        <f t="shared" si="14"/>
        <v>2</v>
      </c>
      <c r="AQ158" s="134"/>
      <c r="AR158" s="134"/>
      <c r="AS158" s="134"/>
      <c r="AT158" s="135"/>
      <c r="AU158" s="106" t="s">
        <v>427</v>
      </c>
      <c r="AV158" s="100"/>
      <c r="AW158" s="100"/>
    </row>
    <row r="159" spans="1:49" x14ac:dyDescent="0.25">
      <c r="A159" s="96">
        <v>159</v>
      </c>
      <c r="B159" s="148">
        <v>2175</v>
      </c>
      <c r="C159" s="32" t="s">
        <v>207</v>
      </c>
      <c r="D159" s="32" t="s">
        <v>23</v>
      </c>
      <c r="E159" s="32" t="s">
        <v>45</v>
      </c>
      <c r="F159" s="32" t="s">
        <v>107</v>
      </c>
      <c r="G159" s="60">
        <v>45272</v>
      </c>
      <c r="H159" s="77" t="s">
        <v>389</v>
      </c>
      <c r="I159" s="77" t="s">
        <v>13</v>
      </c>
      <c r="J159" s="78" t="s">
        <v>390</v>
      </c>
      <c r="K159" s="78" t="s">
        <v>390</v>
      </c>
      <c r="L159" s="78" t="s">
        <v>390</v>
      </c>
      <c r="M159" s="78" t="s">
        <v>390</v>
      </c>
      <c r="N159" s="78" t="s">
        <v>390</v>
      </c>
      <c r="O159" s="78" t="s">
        <v>390</v>
      </c>
      <c r="P159" s="77" t="s">
        <v>13</v>
      </c>
      <c r="Q159" s="78" t="s">
        <v>390</v>
      </c>
      <c r="R159" s="78" t="s">
        <v>390</v>
      </c>
      <c r="S159" s="80" t="s">
        <v>14</v>
      </c>
      <c r="T159" s="80" t="s">
        <v>14</v>
      </c>
      <c r="U159" s="80" t="s">
        <v>14</v>
      </c>
      <c r="V159" s="87" t="s">
        <v>391</v>
      </c>
      <c r="W159" s="77" t="s">
        <v>13</v>
      </c>
      <c r="X159" s="80" t="s">
        <v>14</v>
      </c>
      <c r="Y159" s="80" t="s">
        <v>14</v>
      </c>
      <c r="Z159" s="80" t="s">
        <v>14</v>
      </c>
      <c r="AA159" s="80" t="s">
        <v>14</v>
      </c>
      <c r="AB159" s="78" t="s">
        <v>390</v>
      </c>
      <c r="AC159" s="78" t="s">
        <v>390</v>
      </c>
      <c r="AD159" s="77" t="s">
        <v>13</v>
      </c>
      <c r="AE159" s="78" t="s">
        <v>390</v>
      </c>
      <c r="AF159" s="78" t="s">
        <v>390</v>
      </c>
      <c r="AG159" s="78" t="s">
        <v>390</v>
      </c>
      <c r="AH159" s="78" t="s">
        <v>390</v>
      </c>
      <c r="AI159" s="78" t="s">
        <v>390</v>
      </c>
      <c r="AJ159" s="78" t="s">
        <v>390</v>
      </c>
      <c r="AK159" s="77" t="s">
        <v>13</v>
      </c>
      <c r="AL159" s="106">
        <f t="shared" si="10"/>
        <v>16</v>
      </c>
      <c r="AM159" s="106">
        <f t="shared" si="11"/>
        <v>0</v>
      </c>
      <c r="AN159" s="106">
        <f t="shared" si="12"/>
        <v>0</v>
      </c>
      <c r="AO159" s="106">
        <f t="shared" si="13"/>
        <v>16</v>
      </c>
      <c r="AP159" s="106">
        <f t="shared" si="14"/>
        <v>7</v>
      </c>
      <c r="AQ159" s="134">
        <v>50</v>
      </c>
      <c r="AR159" s="134">
        <v>1350</v>
      </c>
      <c r="AS159" s="134">
        <v>514</v>
      </c>
      <c r="AT159" s="135">
        <v>38.074074074074076</v>
      </c>
      <c r="AU159" s="106" t="s">
        <v>427</v>
      </c>
      <c r="AV159" s="100"/>
      <c r="AW159" s="100"/>
    </row>
    <row r="160" spans="1:49" x14ac:dyDescent="0.25">
      <c r="A160" s="96">
        <v>160</v>
      </c>
      <c r="B160" s="148">
        <v>2184</v>
      </c>
      <c r="C160" s="32" t="s">
        <v>208</v>
      </c>
      <c r="D160" s="32" t="s">
        <v>19</v>
      </c>
      <c r="E160" s="32" t="s">
        <v>39</v>
      </c>
      <c r="F160" s="32" t="s">
        <v>89</v>
      </c>
      <c r="G160" s="60">
        <v>45293</v>
      </c>
      <c r="H160" s="77" t="s">
        <v>389</v>
      </c>
      <c r="I160" s="77" t="s">
        <v>13</v>
      </c>
      <c r="J160" s="78" t="s">
        <v>390</v>
      </c>
      <c r="K160" s="78" t="s">
        <v>390</v>
      </c>
      <c r="L160" s="78" t="s">
        <v>390</v>
      </c>
      <c r="M160" s="78" t="s">
        <v>390</v>
      </c>
      <c r="N160" s="78" t="s">
        <v>390</v>
      </c>
      <c r="O160" s="78" t="s">
        <v>390</v>
      </c>
      <c r="P160" s="77" t="s">
        <v>13</v>
      </c>
      <c r="Q160" s="78" t="s">
        <v>390</v>
      </c>
      <c r="R160" s="78" t="s">
        <v>390</v>
      </c>
      <c r="S160" s="78" t="s">
        <v>390</v>
      </c>
      <c r="T160" s="78" t="s">
        <v>390</v>
      </c>
      <c r="U160" s="78" t="s">
        <v>390</v>
      </c>
      <c r="V160" s="78" t="s">
        <v>390</v>
      </c>
      <c r="W160" s="77" t="s">
        <v>13</v>
      </c>
      <c r="X160" s="78" t="s">
        <v>390</v>
      </c>
      <c r="Y160" s="78" t="s">
        <v>390</v>
      </c>
      <c r="Z160" s="78" t="s">
        <v>390</v>
      </c>
      <c r="AA160" s="78" t="s">
        <v>390</v>
      </c>
      <c r="AB160" s="78" t="s">
        <v>390</v>
      </c>
      <c r="AC160" s="78" t="s">
        <v>390</v>
      </c>
      <c r="AD160" s="77" t="s">
        <v>13</v>
      </c>
      <c r="AE160" s="78" t="s">
        <v>390</v>
      </c>
      <c r="AF160" s="78" t="s">
        <v>390</v>
      </c>
      <c r="AG160" s="78" t="s">
        <v>390</v>
      </c>
      <c r="AH160" s="78" t="s">
        <v>390</v>
      </c>
      <c r="AI160" s="78" t="s">
        <v>390</v>
      </c>
      <c r="AJ160" s="85" t="s">
        <v>378</v>
      </c>
      <c r="AK160" s="77" t="s">
        <v>13</v>
      </c>
      <c r="AL160" s="106">
        <f t="shared" si="10"/>
        <v>23</v>
      </c>
      <c r="AM160" s="106">
        <f t="shared" si="11"/>
        <v>1</v>
      </c>
      <c r="AN160" s="106">
        <f t="shared" si="12"/>
        <v>0</v>
      </c>
      <c r="AO160" s="106">
        <f t="shared" si="13"/>
        <v>24</v>
      </c>
      <c r="AP160" s="106">
        <f t="shared" si="14"/>
        <v>0</v>
      </c>
      <c r="AQ160" s="134">
        <v>50</v>
      </c>
      <c r="AR160" s="134">
        <v>1450</v>
      </c>
      <c r="AS160" s="134">
        <v>3</v>
      </c>
      <c r="AT160" s="135">
        <v>0.20689655172413793</v>
      </c>
      <c r="AU160" s="106" t="s">
        <v>427</v>
      </c>
      <c r="AV160" s="100"/>
      <c r="AW160" s="100"/>
    </row>
    <row r="161" spans="1:49" x14ac:dyDescent="0.25">
      <c r="A161" s="96">
        <v>161</v>
      </c>
      <c r="B161" s="148">
        <v>2186</v>
      </c>
      <c r="C161" s="32" t="s">
        <v>209</v>
      </c>
      <c r="D161" s="32" t="s">
        <v>80</v>
      </c>
      <c r="E161" s="32" t="s">
        <v>109</v>
      </c>
      <c r="F161" s="32" t="s">
        <v>125</v>
      </c>
      <c r="G161" s="60">
        <v>45293</v>
      </c>
      <c r="H161" s="75" t="s">
        <v>12</v>
      </c>
      <c r="I161" s="75" t="s">
        <v>13</v>
      </c>
      <c r="J161" s="76" t="s">
        <v>378</v>
      </c>
      <c r="K161" s="76" t="s">
        <v>378</v>
      </c>
      <c r="L161" s="76" t="s">
        <v>378</v>
      </c>
      <c r="M161" s="83" t="s">
        <v>14</v>
      </c>
      <c r="N161" s="83" t="s">
        <v>14</v>
      </c>
      <c r="O161" s="83" t="s">
        <v>14</v>
      </c>
      <c r="P161" s="75" t="s">
        <v>13</v>
      </c>
      <c r="Q161" s="76" t="s">
        <v>378</v>
      </c>
      <c r="R161" s="76" t="s">
        <v>378</v>
      </c>
      <c r="S161" s="76" t="s">
        <v>378</v>
      </c>
      <c r="T161" s="76" t="s">
        <v>378</v>
      </c>
      <c r="U161" s="83" t="s">
        <v>14</v>
      </c>
      <c r="V161" s="76" t="s">
        <v>378</v>
      </c>
      <c r="W161" s="75" t="s">
        <v>13</v>
      </c>
      <c r="X161" s="76" t="s">
        <v>378</v>
      </c>
      <c r="Y161" s="76" t="s">
        <v>378</v>
      </c>
      <c r="Z161" s="76" t="s">
        <v>378</v>
      </c>
      <c r="AA161" s="76" t="s">
        <v>378</v>
      </c>
      <c r="AB161" s="76" t="s">
        <v>378</v>
      </c>
      <c r="AC161" s="82" t="s">
        <v>391</v>
      </c>
      <c r="AD161" s="75" t="s">
        <v>13</v>
      </c>
      <c r="AE161" s="76" t="s">
        <v>378</v>
      </c>
      <c r="AF161" s="76" t="s">
        <v>378</v>
      </c>
      <c r="AG161" s="76" t="s">
        <v>378</v>
      </c>
      <c r="AH161" s="76" t="s">
        <v>378</v>
      </c>
      <c r="AI161" s="76" t="s">
        <v>378</v>
      </c>
      <c r="AJ161" s="76" t="s">
        <v>378</v>
      </c>
      <c r="AK161" s="75" t="s">
        <v>13</v>
      </c>
      <c r="AL161" s="106">
        <f t="shared" si="10"/>
        <v>0</v>
      </c>
      <c r="AM161" s="106">
        <f t="shared" si="11"/>
        <v>19</v>
      </c>
      <c r="AN161" s="106">
        <f t="shared" si="12"/>
        <v>0</v>
      </c>
      <c r="AO161" s="106">
        <f t="shared" si="13"/>
        <v>19</v>
      </c>
      <c r="AP161" s="106">
        <f t="shared" si="14"/>
        <v>4</v>
      </c>
      <c r="AQ161" s="134"/>
      <c r="AR161" s="134"/>
      <c r="AS161" s="134"/>
      <c r="AT161" s="135"/>
      <c r="AU161" s="106" t="s">
        <v>427</v>
      </c>
      <c r="AV161" s="100"/>
      <c r="AW161" s="100"/>
    </row>
    <row r="162" spans="1:49" x14ac:dyDescent="0.25">
      <c r="A162" s="96">
        <v>162</v>
      </c>
      <c r="B162" s="148">
        <v>2198</v>
      </c>
      <c r="C162" s="32" t="s">
        <v>40</v>
      </c>
      <c r="D162" s="32" t="s">
        <v>136</v>
      </c>
      <c r="E162" s="32" t="s">
        <v>137</v>
      </c>
      <c r="F162" s="32" t="s">
        <v>107</v>
      </c>
      <c r="G162" s="60">
        <v>45369</v>
      </c>
      <c r="H162" s="87" t="s">
        <v>391</v>
      </c>
      <c r="I162" s="77" t="s">
        <v>13</v>
      </c>
      <c r="J162" s="80" t="s">
        <v>14</v>
      </c>
      <c r="K162" s="78" t="s">
        <v>390</v>
      </c>
      <c r="L162" s="78" t="s">
        <v>390</v>
      </c>
      <c r="M162" s="78" t="s">
        <v>390</v>
      </c>
      <c r="N162" s="78" t="s">
        <v>390</v>
      </c>
      <c r="O162" s="78" t="s">
        <v>390</v>
      </c>
      <c r="P162" s="77" t="s">
        <v>13</v>
      </c>
      <c r="Q162" s="78" t="s">
        <v>390</v>
      </c>
      <c r="R162" s="78" t="s">
        <v>390</v>
      </c>
      <c r="S162" s="85" t="s">
        <v>378</v>
      </c>
      <c r="T162" s="78" t="s">
        <v>390</v>
      </c>
      <c r="U162" s="78" t="s">
        <v>390</v>
      </c>
      <c r="V162" s="91" t="s">
        <v>390</v>
      </c>
      <c r="W162" s="77" t="s">
        <v>13</v>
      </c>
      <c r="X162" s="91" t="s">
        <v>390</v>
      </c>
      <c r="Y162" s="78" t="s">
        <v>390</v>
      </c>
      <c r="Z162" s="85" t="s">
        <v>378</v>
      </c>
      <c r="AA162" s="78" t="s">
        <v>390</v>
      </c>
      <c r="AB162" s="78" t="s">
        <v>390</v>
      </c>
      <c r="AC162" s="78" t="s">
        <v>390</v>
      </c>
      <c r="AD162" s="77" t="s">
        <v>13</v>
      </c>
      <c r="AE162" s="78" t="s">
        <v>390</v>
      </c>
      <c r="AF162" s="78" t="s">
        <v>390</v>
      </c>
      <c r="AG162" s="85" t="s">
        <v>378</v>
      </c>
      <c r="AH162" s="78" t="s">
        <v>390</v>
      </c>
      <c r="AI162" s="78" t="s">
        <v>390</v>
      </c>
      <c r="AJ162" s="78" t="s">
        <v>390</v>
      </c>
      <c r="AK162" s="77" t="s">
        <v>13</v>
      </c>
      <c r="AL162" s="106">
        <f t="shared" si="10"/>
        <v>20</v>
      </c>
      <c r="AM162" s="106">
        <f t="shared" si="11"/>
        <v>3</v>
      </c>
      <c r="AN162" s="106">
        <f t="shared" si="12"/>
        <v>0</v>
      </c>
      <c r="AO162" s="106">
        <f t="shared" si="13"/>
        <v>23</v>
      </c>
      <c r="AP162" s="106">
        <f t="shared" si="14"/>
        <v>1</v>
      </c>
      <c r="AQ162" s="134"/>
      <c r="AR162" s="134"/>
      <c r="AS162" s="134"/>
      <c r="AT162" s="135"/>
      <c r="AU162" s="106" t="s">
        <v>427</v>
      </c>
      <c r="AV162" s="100"/>
      <c r="AW162" s="100"/>
    </row>
    <row r="163" spans="1:49" x14ac:dyDescent="0.25">
      <c r="A163" s="96">
        <v>163</v>
      </c>
      <c r="B163" s="148">
        <v>2203</v>
      </c>
      <c r="C163" s="32" t="s">
        <v>210</v>
      </c>
      <c r="D163" s="32" t="s">
        <v>83</v>
      </c>
      <c r="E163" s="32" t="s">
        <v>109</v>
      </c>
      <c r="F163" s="32" t="s">
        <v>107</v>
      </c>
      <c r="G163" s="60">
        <v>45127</v>
      </c>
      <c r="H163" s="75" t="s">
        <v>12</v>
      </c>
      <c r="I163" s="75" t="s">
        <v>13</v>
      </c>
      <c r="J163" s="84" t="s">
        <v>390</v>
      </c>
      <c r="K163" s="84" t="s">
        <v>390</v>
      </c>
      <c r="L163" s="84" t="s">
        <v>390</v>
      </c>
      <c r="M163" s="84" t="s">
        <v>390</v>
      </c>
      <c r="N163" s="84" t="s">
        <v>390</v>
      </c>
      <c r="O163" s="82" t="s">
        <v>391</v>
      </c>
      <c r="P163" s="75" t="s">
        <v>13</v>
      </c>
      <c r="Q163" s="84" t="s">
        <v>390</v>
      </c>
      <c r="R163" s="84" t="s">
        <v>390</v>
      </c>
      <c r="S163" s="84" t="s">
        <v>390</v>
      </c>
      <c r="T163" s="84" t="s">
        <v>390</v>
      </c>
      <c r="U163" s="84" t="s">
        <v>390</v>
      </c>
      <c r="V163" s="83" t="s">
        <v>14</v>
      </c>
      <c r="W163" s="75" t="s">
        <v>13</v>
      </c>
      <c r="X163" s="84" t="s">
        <v>390</v>
      </c>
      <c r="Y163" s="84" t="s">
        <v>390</v>
      </c>
      <c r="Z163" s="84" t="s">
        <v>390</v>
      </c>
      <c r="AA163" s="84" t="s">
        <v>390</v>
      </c>
      <c r="AB163" s="88" t="s">
        <v>392</v>
      </c>
      <c r="AC163" s="82" t="s">
        <v>391</v>
      </c>
      <c r="AD163" s="75" t="s">
        <v>13</v>
      </c>
      <c r="AE163" s="84" t="s">
        <v>390</v>
      </c>
      <c r="AF163" s="76" t="s">
        <v>378</v>
      </c>
      <c r="AG163" s="83" t="s">
        <v>14</v>
      </c>
      <c r="AH163" s="76" t="s">
        <v>378</v>
      </c>
      <c r="AI163" s="83" t="s">
        <v>14</v>
      </c>
      <c r="AJ163" s="76" t="s">
        <v>378</v>
      </c>
      <c r="AK163" s="75" t="s">
        <v>13</v>
      </c>
      <c r="AL163" s="106">
        <f t="shared" si="10"/>
        <v>15</v>
      </c>
      <c r="AM163" s="106">
        <f t="shared" si="11"/>
        <v>3</v>
      </c>
      <c r="AN163" s="106">
        <f t="shared" si="12"/>
        <v>0.5</v>
      </c>
      <c r="AO163" s="106">
        <f t="shared" si="13"/>
        <v>18.5</v>
      </c>
      <c r="AP163" s="106">
        <f t="shared" si="14"/>
        <v>3.5</v>
      </c>
      <c r="AQ163" s="134"/>
      <c r="AR163" s="134"/>
      <c r="AS163" s="134"/>
      <c r="AT163" s="135"/>
      <c r="AU163" s="106" t="s">
        <v>427</v>
      </c>
      <c r="AV163" s="100"/>
      <c r="AW163" s="100"/>
    </row>
    <row r="164" spans="1:49" x14ac:dyDescent="0.25">
      <c r="A164" s="96">
        <v>164</v>
      </c>
      <c r="B164" s="148">
        <v>2205</v>
      </c>
      <c r="C164" s="32" t="s">
        <v>211</v>
      </c>
      <c r="D164" s="32" t="s">
        <v>92</v>
      </c>
      <c r="E164" s="32" t="s">
        <v>20</v>
      </c>
      <c r="F164" s="32" t="s">
        <v>89</v>
      </c>
      <c r="G164" s="60">
        <v>45390</v>
      </c>
      <c r="H164" s="77" t="s">
        <v>389</v>
      </c>
      <c r="I164" s="77" t="s">
        <v>13</v>
      </c>
      <c r="J164" s="85" t="s">
        <v>378</v>
      </c>
      <c r="K164" s="85" t="s">
        <v>378</v>
      </c>
      <c r="L164" s="85" t="s">
        <v>378</v>
      </c>
      <c r="M164" s="85" t="s">
        <v>378</v>
      </c>
      <c r="N164" s="85" t="s">
        <v>378</v>
      </c>
      <c r="O164" s="85" t="s">
        <v>378</v>
      </c>
      <c r="P164" s="77" t="s">
        <v>13</v>
      </c>
      <c r="Q164" s="85" t="s">
        <v>378</v>
      </c>
      <c r="R164" s="85" t="s">
        <v>378</v>
      </c>
      <c r="S164" s="85" t="s">
        <v>378</v>
      </c>
      <c r="T164" s="85" t="s">
        <v>378</v>
      </c>
      <c r="U164" s="85" t="s">
        <v>378</v>
      </c>
      <c r="V164" s="79" t="s">
        <v>391</v>
      </c>
      <c r="W164" s="77" t="s">
        <v>13</v>
      </c>
      <c r="X164" s="85" t="s">
        <v>378</v>
      </c>
      <c r="Y164" s="85" t="s">
        <v>378</v>
      </c>
      <c r="Z164" s="85" t="s">
        <v>378</v>
      </c>
      <c r="AA164" s="85" t="s">
        <v>378</v>
      </c>
      <c r="AB164" s="85" t="s">
        <v>378</v>
      </c>
      <c r="AC164" s="85" t="s">
        <v>378</v>
      </c>
      <c r="AD164" s="77" t="s">
        <v>13</v>
      </c>
      <c r="AE164" s="85" t="s">
        <v>378</v>
      </c>
      <c r="AF164" s="85" t="s">
        <v>378</v>
      </c>
      <c r="AG164" s="143" t="s">
        <v>378</v>
      </c>
      <c r="AH164" s="85" t="s">
        <v>378</v>
      </c>
      <c r="AI164" s="85" t="s">
        <v>378</v>
      </c>
      <c r="AJ164" s="85" t="s">
        <v>378</v>
      </c>
      <c r="AK164" s="77" t="s">
        <v>13</v>
      </c>
      <c r="AL164" s="106">
        <f t="shared" si="10"/>
        <v>0</v>
      </c>
      <c r="AM164" s="106">
        <f t="shared" si="11"/>
        <v>23</v>
      </c>
      <c r="AN164" s="106">
        <f t="shared" si="12"/>
        <v>0</v>
      </c>
      <c r="AO164" s="106">
        <f t="shared" si="13"/>
        <v>23</v>
      </c>
      <c r="AP164" s="106">
        <f t="shared" si="14"/>
        <v>0</v>
      </c>
      <c r="AQ164" s="134">
        <v>60</v>
      </c>
      <c r="AR164" s="134">
        <v>1620</v>
      </c>
      <c r="AS164" s="134">
        <v>2154</v>
      </c>
      <c r="AT164" s="135">
        <v>132.96296296296296</v>
      </c>
      <c r="AU164" s="106" t="s">
        <v>427</v>
      </c>
      <c r="AV164" s="100"/>
      <c r="AW164" s="100"/>
    </row>
    <row r="165" spans="1:49" x14ac:dyDescent="0.25">
      <c r="A165" s="96">
        <v>165</v>
      </c>
      <c r="B165" s="148">
        <v>2206</v>
      </c>
      <c r="C165" s="32" t="s">
        <v>212</v>
      </c>
      <c r="D165" s="32" t="s">
        <v>23</v>
      </c>
      <c r="E165" s="30" t="s">
        <v>28</v>
      </c>
      <c r="F165" s="32" t="s">
        <v>107</v>
      </c>
      <c r="G165" s="60">
        <v>45391</v>
      </c>
      <c r="H165" s="77" t="s">
        <v>389</v>
      </c>
      <c r="I165" s="77" t="s">
        <v>13</v>
      </c>
      <c r="J165" s="79" t="s">
        <v>391</v>
      </c>
      <c r="K165" s="85" t="s">
        <v>378</v>
      </c>
      <c r="L165" s="85" t="s">
        <v>378</v>
      </c>
      <c r="M165" s="85" t="s">
        <v>378</v>
      </c>
      <c r="N165" s="85" t="s">
        <v>378</v>
      </c>
      <c r="O165" s="85" t="s">
        <v>378</v>
      </c>
      <c r="P165" s="77" t="s">
        <v>13</v>
      </c>
      <c r="Q165" s="85" t="s">
        <v>378</v>
      </c>
      <c r="R165" s="85" t="s">
        <v>378</v>
      </c>
      <c r="S165" s="85" t="s">
        <v>378</v>
      </c>
      <c r="T165" s="85" t="s">
        <v>378</v>
      </c>
      <c r="U165" s="85" t="s">
        <v>378</v>
      </c>
      <c r="V165" s="85" t="s">
        <v>378</v>
      </c>
      <c r="W165" s="77" t="s">
        <v>13</v>
      </c>
      <c r="X165" s="85" t="s">
        <v>378</v>
      </c>
      <c r="Y165" s="85" t="s">
        <v>378</v>
      </c>
      <c r="Z165" s="85" t="s">
        <v>378</v>
      </c>
      <c r="AA165" s="85" t="s">
        <v>378</v>
      </c>
      <c r="AB165" s="85" t="s">
        <v>378</v>
      </c>
      <c r="AC165" s="85" t="s">
        <v>378</v>
      </c>
      <c r="AD165" s="77" t="s">
        <v>13</v>
      </c>
      <c r="AE165" s="85" t="s">
        <v>378</v>
      </c>
      <c r="AF165" s="85" t="s">
        <v>378</v>
      </c>
      <c r="AG165" s="85" t="s">
        <v>378</v>
      </c>
      <c r="AH165" s="85" t="s">
        <v>378</v>
      </c>
      <c r="AI165" s="85" t="s">
        <v>378</v>
      </c>
      <c r="AJ165" s="85" t="s">
        <v>378</v>
      </c>
      <c r="AK165" s="85" t="s">
        <v>378</v>
      </c>
      <c r="AL165" s="106">
        <f t="shared" si="10"/>
        <v>0</v>
      </c>
      <c r="AM165" s="106">
        <f t="shared" si="11"/>
        <v>24</v>
      </c>
      <c r="AN165" s="106">
        <f t="shared" si="12"/>
        <v>0</v>
      </c>
      <c r="AO165" s="106">
        <f t="shared" si="13"/>
        <v>24</v>
      </c>
      <c r="AP165" s="106">
        <f t="shared" si="14"/>
        <v>0</v>
      </c>
      <c r="AQ165" s="134">
        <v>70</v>
      </c>
      <c r="AR165" s="134">
        <v>1890</v>
      </c>
      <c r="AS165" s="134">
        <v>1634</v>
      </c>
      <c r="AT165" s="135">
        <v>86.455026455026456</v>
      </c>
      <c r="AU165" s="106" t="s">
        <v>427</v>
      </c>
      <c r="AV165" s="112" t="s">
        <v>423</v>
      </c>
      <c r="AW165" s="100"/>
    </row>
    <row r="166" spans="1:49" x14ac:dyDescent="0.25">
      <c r="A166" s="96">
        <v>166</v>
      </c>
      <c r="B166" s="148">
        <v>2210</v>
      </c>
      <c r="C166" s="32" t="s">
        <v>213</v>
      </c>
      <c r="D166" s="32" t="s">
        <v>92</v>
      </c>
      <c r="E166" s="32" t="s">
        <v>109</v>
      </c>
      <c r="F166" s="32" t="s">
        <v>107</v>
      </c>
      <c r="G166" s="60">
        <v>45398</v>
      </c>
      <c r="H166" s="75" t="s">
        <v>12</v>
      </c>
      <c r="I166" s="75" t="s">
        <v>13</v>
      </c>
      <c r="J166" s="84" t="s">
        <v>390</v>
      </c>
      <c r="K166" s="88" t="s">
        <v>392</v>
      </c>
      <c r="L166" s="84" t="s">
        <v>390</v>
      </c>
      <c r="M166" s="84" t="s">
        <v>390</v>
      </c>
      <c r="N166" s="84" t="s">
        <v>390</v>
      </c>
      <c r="O166" s="138" t="s">
        <v>390</v>
      </c>
      <c r="P166" s="75" t="s">
        <v>13</v>
      </c>
      <c r="Q166" s="84" t="s">
        <v>390</v>
      </c>
      <c r="R166" s="84" t="s">
        <v>390</v>
      </c>
      <c r="S166" s="84" t="s">
        <v>390</v>
      </c>
      <c r="T166" s="84" t="s">
        <v>390</v>
      </c>
      <c r="U166" s="84" t="s">
        <v>390</v>
      </c>
      <c r="V166" s="82" t="s">
        <v>391</v>
      </c>
      <c r="W166" s="75" t="s">
        <v>13</v>
      </c>
      <c r="X166" s="84" t="s">
        <v>390</v>
      </c>
      <c r="Y166" s="84" t="s">
        <v>390</v>
      </c>
      <c r="Z166" s="84" t="s">
        <v>390</v>
      </c>
      <c r="AA166" s="84" t="s">
        <v>390</v>
      </c>
      <c r="AB166" s="88" t="s">
        <v>392</v>
      </c>
      <c r="AC166" s="82" t="s">
        <v>391</v>
      </c>
      <c r="AD166" s="75" t="s">
        <v>13</v>
      </c>
      <c r="AE166" s="84" t="s">
        <v>390</v>
      </c>
      <c r="AF166" s="84" t="s">
        <v>390</v>
      </c>
      <c r="AG166" s="84" t="s">
        <v>390</v>
      </c>
      <c r="AH166" s="84" t="s">
        <v>390</v>
      </c>
      <c r="AI166" s="84" t="s">
        <v>390</v>
      </c>
      <c r="AJ166" s="84" t="s">
        <v>390</v>
      </c>
      <c r="AK166" s="75" t="s">
        <v>13</v>
      </c>
      <c r="AL166" s="106">
        <f t="shared" si="10"/>
        <v>20</v>
      </c>
      <c r="AM166" s="106">
        <f t="shared" si="11"/>
        <v>0</v>
      </c>
      <c r="AN166" s="106">
        <f t="shared" si="12"/>
        <v>1</v>
      </c>
      <c r="AO166" s="106">
        <f t="shared" si="13"/>
        <v>21</v>
      </c>
      <c r="AP166" s="106">
        <f t="shared" si="14"/>
        <v>1</v>
      </c>
      <c r="AQ166" s="134"/>
      <c r="AR166" s="134"/>
      <c r="AS166" s="134"/>
      <c r="AT166" s="135"/>
      <c r="AU166" s="106" t="s">
        <v>427</v>
      </c>
      <c r="AV166" s="100"/>
      <c r="AW166" s="100"/>
    </row>
    <row r="167" spans="1:49" x14ac:dyDescent="0.25">
      <c r="A167" s="96">
        <v>167</v>
      </c>
      <c r="B167" s="148">
        <v>2213</v>
      </c>
      <c r="C167" s="32" t="s">
        <v>214</v>
      </c>
      <c r="D167" s="32" t="s">
        <v>19</v>
      </c>
      <c r="E167" s="32" t="s">
        <v>20</v>
      </c>
      <c r="F167" s="32" t="s">
        <v>107</v>
      </c>
      <c r="G167" s="60">
        <v>45183</v>
      </c>
      <c r="H167" s="77" t="s">
        <v>389</v>
      </c>
      <c r="I167" s="77" t="s">
        <v>13</v>
      </c>
      <c r="J167" s="78" t="s">
        <v>390</v>
      </c>
      <c r="K167" s="78" t="s">
        <v>390</v>
      </c>
      <c r="L167" s="78" t="s">
        <v>390</v>
      </c>
      <c r="M167" s="78" t="s">
        <v>390</v>
      </c>
      <c r="N167" s="80" t="s">
        <v>14</v>
      </c>
      <c r="O167" s="80" t="s">
        <v>14</v>
      </c>
      <c r="P167" s="77" t="s">
        <v>13</v>
      </c>
      <c r="Q167" s="81" t="s">
        <v>392</v>
      </c>
      <c r="R167" s="78" t="s">
        <v>390</v>
      </c>
      <c r="S167" s="78" t="s">
        <v>390</v>
      </c>
      <c r="T167" s="78" t="s">
        <v>390</v>
      </c>
      <c r="U167" s="78" t="s">
        <v>390</v>
      </c>
      <c r="V167" s="78" t="s">
        <v>390</v>
      </c>
      <c r="W167" s="77" t="s">
        <v>13</v>
      </c>
      <c r="X167" s="78" t="s">
        <v>390</v>
      </c>
      <c r="Y167" s="78" t="s">
        <v>390</v>
      </c>
      <c r="Z167" s="78" t="s">
        <v>390</v>
      </c>
      <c r="AA167" s="78" t="s">
        <v>390</v>
      </c>
      <c r="AB167" s="78" t="s">
        <v>390</v>
      </c>
      <c r="AC167" s="80" t="s">
        <v>14</v>
      </c>
      <c r="AD167" s="80" t="s">
        <v>14</v>
      </c>
      <c r="AE167" s="80" t="s">
        <v>14</v>
      </c>
      <c r="AF167" s="80" t="s">
        <v>14</v>
      </c>
      <c r="AG167" s="80" t="s">
        <v>14</v>
      </c>
      <c r="AH167" s="80" t="s">
        <v>14</v>
      </c>
      <c r="AI167" s="80" t="s">
        <v>14</v>
      </c>
      <c r="AJ167" s="80" t="s">
        <v>14</v>
      </c>
      <c r="AK167" s="80" t="s">
        <v>14</v>
      </c>
      <c r="AL167" s="106">
        <f t="shared" si="10"/>
        <v>14</v>
      </c>
      <c r="AM167" s="106">
        <f t="shared" si="11"/>
        <v>0</v>
      </c>
      <c r="AN167" s="106">
        <f t="shared" si="12"/>
        <v>0.5</v>
      </c>
      <c r="AO167" s="106">
        <f t="shared" si="13"/>
        <v>14.5</v>
      </c>
      <c r="AP167" s="106">
        <f t="shared" si="14"/>
        <v>11.5</v>
      </c>
      <c r="AQ167" s="134"/>
      <c r="AR167" s="134"/>
      <c r="AS167" s="134"/>
      <c r="AT167" s="135"/>
      <c r="AU167" s="113" t="s">
        <v>393</v>
      </c>
      <c r="AV167" s="111" t="s">
        <v>397</v>
      </c>
      <c r="AW167" s="100"/>
    </row>
    <row r="168" spans="1:49" x14ac:dyDescent="0.25">
      <c r="A168" s="96">
        <v>168</v>
      </c>
      <c r="B168" s="148">
        <v>2219</v>
      </c>
      <c r="C168" s="32" t="s">
        <v>215</v>
      </c>
      <c r="D168" s="32" t="s">
        <v>92</v>
      </c>
      <c r="E168" s="32" t="s">
        <v>39</v>
      </c>
      <c r="F168" s="32" t="s">
        <v>107</v>
      </c>
      <c r="G168" s="60">
        <v>45378</v>
      </c>
      <c r="H168" s="77" t="s">
        <v>389</v>
      </c>
      <c r="I168" s="77" t="s">
        <v>13</v>
      </c>
      <c r="J168" s="78" t="s">
        <v>390</v>
      </c>
      <c r="K168" s="78" t="s">
        <v>390</v>
      </c>
      <c r="L168" s="78" t="s">
        <v>390</v>
      </c>
      <c r="M168" s="80" t="s">
        <v>14</v>
      </c>
      <c r="N168" s="78" t="s">
        <v>390</v>
      </c>
      <c r="O168" s="79" t="s">
        <v>391</v>
      </c>
      <c r="P168" s="77" t="s">
        <v>13</v>
      </c>
      <c r="Q168" s="78" t="s">
        <v>390</v>
      </c>
      <c r="R168" s="78" t="s">
        <v>390</v>
      </c>
      <c r="S168" s="78" t="s">
        <v>390</v>
      </c>
      <c r="T168" s="78" t="s">
        <v>390</v>
      </c>
      <c r="U168" s="78" t="s">
        <v>390</v>
      </c>
      <c r="V168" s="78" t="s">
        <v>390</v>
      </c>
      <c r="W168" s="77" t="s">
        <v>13</v>
      </c>
      <c r="X168" s="78" t="s">
        <v>390</v>
      </c>
      <c r="Y168" s="78" t="s">
        <v>390</v>
      </c>
      <c r="Z168" s="78" t="s">
        <v>390</v>
      </c>
      <c r="AA168" s="78" t="s">
        <v>390</v>
      </c>
      <c r="AB168" s="78" t="s">
        <v>390</v>
      </c>
      <c r="AC168" s="78" t="s">
        <v>390</v>
      </c>
      <c r="AD168" s="77" t="s">
        <v>13</v>
      </c>
      <c r="AE168" s="78" t="s">
        <v>390</v>
      </c>
      <c r="AF168" s="78" t="s">
        <v>390</v>
      </c>
      <c r="AG168" s="78" t="s">
        <v>390</v>
      </c>
      <c r="AH168" s="81" t="s">
        <v>392</v>
      </c>
      <c r="AI168" s="78" t="s">
        <v>390</v>
      </c>
      <c r="AJ168" s="78" t="s">
        <v>390</v>
      </c>
      <c r="AK168" s="77" t="s">
        <v>13</v>
      </c>
      <c r="AL168" s="106">
        <f t="shared" si="10"/>
        <v>21</v>
      </c>
      <c r="AM168" s="106">
        <f t="shared" si="11"/>
        <v>0</v>
      </c>
      <c r="AN168" s="106">
        <f t="shared" si="12"/>
        <v>0.5</v>
      </c>
      <c r="AO168" s="106">
        <f t="shared" si="13"/>
        <v>21.5</v>
      </c>
      <c r="AP168" s="106">
        <f t="shared" si="14"/>
        <v>1.5</v>
      </c>
      <c r="AQ168" s="134">
        <v>50</v>
      </c>
      <c r="AR168" s="134">
        <v>1350</v>
      </c>
      <c r="AS168" s="134">
        <v>1173</v>
      </c>
      <c r="AT168" s="135">
        <v>86.8888888888889</v>
      </c>
      <c r="AU168" s="106" t="s">
        <v>427</v>
      </c>
      <c r="AV168" s="100"/>
      <c r="AW168" s="100"/>
    </row>
    <row r="169" spans="1:49" ht="15" x14ac:dyDescent="0.25">
      <c r="A169" s="96">
        <v>169</v>
      </c>
      <c r="B169" s="152">
        <v>2220</v>
      </c>
      <c r="C169" s="50" t="s">
        <v>216</v>
      </c>
      <c r="D169" s="50" t="s">
        <v>92</v>
      </c>
      <c r="E169" s="50" t="s">
        <v>39</v>
      </c>
      <c r="F169" s="50" t="s">
        <v>107</v>
      </c>
      <c r="G169" s="70">
        <v>45378</v>
      </c>
      <c r="H169" s="77" t="s">
        <v>389</v>
      </c>
      <c r="I169" s="77" t="s">
        <v>13</v>
      </c>
      <c r="J169" s="80" t="s">
        <v>14</v>
      </c>
      <c r="K169" s="80" t="s">
        <v>14</v>
      </c>
      <c r="L169" s="80" t="s">
        <v>14</v>
      </c>
      <c r="M169" s="80" t="s">
        <v>14</v>
      </c>
      <c r="N169" s="80" t="s">
        <v>14</v>
      </c>
      <c r="O169" s="80" t="s">
        <v>14</v>
      </c>
      <c r="P169" s="77" t="s">
        <v>13</v>
      </c>
      <c r="Q169" s="80" t="s">
        <v>14</v>
      </c>
      <c r="R169" s="80" t="s">
        <v>14</v>
      </c>
      <c r="S169" s="80" t="s">
        <v>14</v>
      </c>
      <c r="T169" s="80" t="s">
        <v>14</v>
      </c>
      <c r="U169" s="80" t="s">
        <v>14</v>
      </c>
      <c r="V169" s="80" t="s">
        <v>14</v>
      </c>
      <c r="W169" s="77" t="s">
        <v>13</v>
      </c>
      <c r="X169" s="80" t="s">
        <v>14</v>
      </c>
      <c r="Y169" s="80" t="s">
        <v>14</v>
      </c>
      <c r="Z169" s="80" t="s">
        <v>14</v>
      </c>
      <c r="AA169" s="80" t="s">
        <v>14</v>
      </c>
      <c r="AB169" s="80" t="s">
        <v>14</v>
      </c>
      <c r="AC169" s="80" t="s">
        <v>14</v>
      </c>
      <c r="AD169" s="77" t="s">
        <v>13</v>
      </c>
      <c r="AE169" s="80" t="s">
        <v>14</v>
      </c>
      <c r="AF169" s="80" t="s">
        <v>14</v>
      </c>
      <c r="AG169" s="80" t="s">
        <v>14</v>
      </c>
      <c r="AH169" s="80" t="s">
        <v>14</v>
      </c>
      <c r="AI169" s="80" t="s">
        <v>14</v>
      </c>
      <c r="AJ169" s="80" t="s">
        <v>14</v>
      </c>
      <c r="AK169" s="77" t="s">
        <v>13</v>
      </c>
      <c r="AL169" s="106">
        <f t="shared" si="10"/>
        <v>0</v>
      </c>
      <c r="AM169" s="106">
        <f t="shared" si="11"/>
        <v>0</v>
      </c>
      <c r="AN169" s="106">
        <f t="shared" si="12"/>
        <v>0</v>
      </c>
      <c r="AO169" s="106">
        <f t="shared" si="13"/>
        <v>0</v>
      </c>
      <c r="AP169" s="106">
        <f t="shared" si="14"/>
        <v>24</v>
      </c>
      <c r="AQ169" s="134"/>
      <c r="AR169" s="134"/>
      <c r="AS169" s="134"/>
      <c r="AT169" s="135"/>
      <c r="AU169" s="113" t="s">
        <v>393</v>
      </c>
      <c r="AV169" s="110" t="s">
        <v>399</v>
      </c>
      <c r="AW169" s="100"/>
    </row>
    <row r="170" spans="1:49" x14ac:dyDescent="0.25">
      <c r="A170" s="96">
        <v>170</v>
      </c>
      <c r="B170" s="148">
        <v>2222</v>
      </c>
      <c r="C170" s="32" t="s">
        <v>217</v>
      </c>
      <c r="D170" s="32" t="s">
        <v>44</v>
      </c>
      <c r="E170" s="32" t="s">
        <v>45</v>
      </c>
      <c r="F170" s="32" t="s">
        <v>107</v>
      </c>
      <c r="G170" s="60">
        <v>45187</v>
      </c>
      <c r="H170" s="77" t="s">
        <v>389</v>
      </c>
      <c r="I170" s="77" t="s">
        <v>13</v>
      </c>
      <c r="J170" s="78" t="s">
        <v>390</v>
      </c>
      <c r="K170" s="78" t="s">
        <v>390</v>
      </c>
      <c r="L170" s="78" t="s">
        <v>390</v>
      </c>
      <c r="M170" s="78" t="s">
        <v>390</v>
      </c>
      <c r="N170" s="78" t="s">
        <v>390</v>
      </c>
      <c r="O170" s="136" t="s">
        <v>390</v>
      </c>
      <c r="P170" s="77" t="s">
        <v>13</v>
      </c>
      <c r="Q170" s="78" t="s">
        <v>390</v>
      </c>
      <c r="R170" s="78" t="s">
        <v>390</v>
      </c>
      <c r="S170" s="78" t="s">
        <v>390</v>
      </c>
      <c r="T170" s="78" t="s">
        <v>390</v>
      </c>
      <c r="U170" s="78" t="s">
        <v>390</v>
      </c>
      <c r="V170" s="78" t="s">
        <v>390</v>
      </c>
      <c r="W170" s="77" t="s">
        <v>13</v>
      </c>
      <c r="X170" s="78" t="s">
        <v>390</v>
      </c>
      <c r="Y170" s="78" t="s">
        <v>390</v>
      </c>
      <c r="Z170" s="78" t="s">
        <v>390</v>
      </c>
      <c r="AA170" s="78" t="s">
        <v>390</v>
      </c>
      <c r="AB170" s="78" t="s">
        <v>390</v>
      </c>
      <c r="AC170" s="87" t="s">
        <v>391</v>
      </c>
      <c r="AD170" s="77" t="s">
        <v>13</v>
      </c>
      <c r="AE170" s="78" t="s">
        <v>390</v>
      </c>
      <c r="AF170" s="78" t="s">
        <v>390</v>
      </c>
      <c r="AG170" s="78" t="s">
        <v>390</v>
      </c>
      <c r="AH170" s="78" t="s">
        <v>390</v>
      </c>
      <c r="AI170" s="78" t="s">
        <v>390</v>
      </c>
      <c r="AJ170" s="78" t="s">
        <v>390</v>
      </c>
      <c r="AK170" s="77" t="s">
        <v>13</v>
      </c>
      <c r="AL170" s="106">
        <f t="shared" si="10"/>
        <v>23</v>
      </c>
      <c r="AM170" s="106">
        <f t="shared" si="11"/>
        <v>0</v>
      </c>
      <c r="AN170" s="106">
        <f t="shared" si="12"/>
        <v>0</v>
      </c>
      <c r="AO170" s="106">
        <f t="shared" si="13"/>
        <v>23</v>
      </c>
      <c r="AP170" s="106">
        <f t="shared" si="14"/>
        <v>0</v>
      </c>
      <c r="AQ170" s="134">
        <v>80</v>
      </c>
      <c r="AR170" s="134">
        <v>2320</v>
      </c>
      <c r="AS170" s="134">
        <v>1317</v>
      </c>
      <c r="AT170" s="135">
        <v>56.767241379310342</v>
      </c>
      <c r="AU170" s="106" t="s">
        <v>427</v>
      </c>
      <c r="AV170" s="100"/>
      <c r="AW170" s="100"/>
    </row>
    <row r="171" spans="1:49" x14ac:dyDescent="0.25">
      <c r="A171" s="96">
        <v>171</v>
      </c>
      <c r="B171" s="148">
        <v>2225</v>
      </c>
      <c r="C171" s="32" t="s">
        <v>218</v>
      </c>
      <c r="D171" s="32" t="s">
        <v>19</v>
      </c>
      <c r="E171" s="32" t="s">
        <v>9</v>
      </c>
      <c r="F171" s="32" t="s">
        <v>107</v>
      </c>
      <c r="G171" s="69">
        <v>45420</v>
      </c>
      <c r="H171" s="77" t="s">
        <v>389</v>
      </c>
      <c r="I171" s="77" t="s">
        <v>13</v>
      </c>
      <c r="J171" s="80" t="s">
        <v>14</v>
      </c>
      <c r="K171" s="80" t="s">
        <v>14</v>
      </c>
      <c r="L171" s="78" t="s">
        <v>390</v>
      </c>
      <c r="M171" s="78" t="s">
        <v>390</v>
      </c>
      <c r="N171" s="78" t="s">
        <v>390</v>
      </c>
      <c r="O171" s="78" t="s">
        <v>390</v>
      </c>
      <c r="P171" s="77" t="s">
        <v>13</v>
      </c>
      <c r="Q171" s="78" t="s">
        <v>390</v>
      </c>
      <c r="R171" s="78" t="s">
        <v>390</v>
      </c>
      <c r="S171" s="78" t="s">
        <v>390</v>
      </c>
      <c r="T171" s="78" t="s">
        <v>390</v>
      </c>
      <c r="U171" s="80" t="s">
        <v>14</v>
      </c>
      <c r="V171" s="78" t="s">
        <v>390</v>
      </c>
      <c r="W171" s="77" t="s">
        <v>13</v>
      </c>
      <c r="X171" s="78" t="s">
        <v>390</v>
      </c>
      <c r="Y171" s="78" t="s">
        <v>390</v>
      </c>
      <c r="Z171" s="78" t="s">
        <v>390</v>
      </c>
      <c r="AA171" s="78" t="s">
        <v>390</v>
      </c>
      <c r="AB171" s="78" t="s">
        <v>390</v>
      </c>
      <c r="AC171" s="79" t="s">
        <v>391</v>
      </c>
      <c r="AD171" s="77" t="s">
        <v>13</v>
      </c>
      <c r="AE171" s="81" t="s">
        <v>392</v>
      </c>
      <c r="AF171" s="78" t="s">
        <v>390</v>
      </c>
      <c r="AG171" s="78" t="s">
        <v>390</v>
      </c>
      <c r="AH171" s="78" t="s">
        <v>390</v>
      </c>
      <c r="AI171" s="78" t="s">
        <v>390</v>
      </c>
      <c r="AJ171" s="78" t="s">
        <v>390</v>
      </c>
      <c r="AK171" s="77" t="s">
        <v>13</v>
      </c>
      <c r="AL171" s="106">
        <f t="shared" si="10"/>
        <v>19</v>
      </c>
      <c r="AM171" s="106">
        <f t="shared" si="11"/>
        <v>0</v>
      </c>
      <c r="AN171" s="106">
        <f t="shared" si="12"/>
        <v>0.5</v>
      </c>
      <c r="AO171" s="106">
        <f t="shared" si="13"/>
        <v>19.5</v>
      </c>
      <c r="AP171" s="106">
        <f t="shared" si="14"/>
        <v>3.5</v>
      </c>
      <c r="AQ171" s="134">
        <v>50</v>
      </c>
      <c r="AR171" s="134">
        <v>1300</v>
      </c>
      <c r="AS171" s="134">
        <v>806</v>
      </c>
      <c r="AT171" s="135">
        <v>62</v>
      </c>
      <c r="AU171" s="106" t="s">
        <v>427</v>
      </c>
      <c r="AV171" s="100"/>
      <c r="AW171" s="100"/>
    </row>
    <row r="172" spans="1:49" x14ac:dyDescent="0.25">
      <c r="A172" s="96">
        <v>172</v>
      </c>
      <c r="B172" s="148">
        <v>2226</v>
      </c>
      <c r="C172" s="32" t="s">
        <v>219</v>
      </c>
      <c r="D172" s="32" t="s">
        <v>92</v>
      </c>
      <c r="E172" s="32" t="s">
        <v>39</v>
      </c>
      <c r="F172" s="32" t="s">
        <v>89</v>
      </c>
      <c r="G172" s="69">
        <v>45420</v>
      </c>
      <c r="H172" s="77" t="s">
        <v>389</v>
      </c>
      <c r="I172" s="77" t="s">
        <v>13</v>
      </c>
      <c r="J172" s="78" t="s">
        <v>390</v>
      </c>
      <c r="K172" s="78" t="s">
        <v>390</v>
      </c>
      <c r="L172" s="78" t="s">
        <v>390</v>
      </c>
      <c r="M172" s="78" t="s">
        <v>390</v>
      </c>
      <c r="N172" s="78" t="s">
        <v>390</v>
      </c>
      <c r="O172" s="79" t="s">
        <v>391</v>
      </c>
      <c r="P172" s="77" t="s">
        <v>13</v>
      </c>
      <c r="Q172" s="78" t="s">
        <v>390</v>
      </c>
      <c r="R172" s="78" t="s">
        <v>390</v>
      </c>
      <c r="S172" s="78" t="s">
        <v>390</v>
      </c>
      <c r="T172" s="80" t="s">
        <v>14</v>
      </c>
      <c r="U172" s="78" t="s">
        <v>390</v>
      </c>
      <c r="V172" s="78" t="s">
        <v>390</v>
      </c>
      <c r="W172" s="77" t="s">
        <v>13</v>
      </c>
      <c r="X172" s="78" t="s">
        <v>390</v>
      </c>
      <c r="Y172" s="78" t="s">
        <v>390</v>
      </c>
      <c r="Z172" s="78" t="s">
        <v>390</v>
      </c>
      <c r="AA172" s="78" t="s">
        <v>390</v>
      </c>
      <c r="AB172" s="78" t="s">
        <v>390</v>
      </c>
      <c r="AC172" s="78" t="s">
        <v>390</v>
      </c>
      <c r="AD172" s="77" t="s">
        <v>13</v>
      </c>
      <c r="AE172" s="78" t="s">
        <v>390</v>
      </c>
      <c r="AF172" s="78" t="s">
        <v>390</v>
      </c>
      <c r="AG172" s="78" t="s">
        <v>390</v>
      </c>
      <c r="AH172" s="78" t="s">
        <v>390</v>
      </c>
      <c r="AI172" s="78" t="s">
        <v>390</v>
      </c>
      <c r="AJ172" s="78" t="s">
        <v>390</v>
      </c>
      <c r="AK172" s="77" t="s">
        <v>13</v>
      </c>
      <c r="AL172" s="106">
        <f t="shared" si="10"/>
        <v>22</v>
      </c>
      <c r="AM172" s="106">
        <f t="shared" si="11"/>
        <v>0</v>
      </c>
      <c r="AN172" s="106">
        <f t="shared" si="12"/>
        <v>0</v>
      </c>
      <c r="AO172" s="106">
        <f t="shared" si="13"/>
        <v>22</v>
      </c>
      <c r="AP172" s="106">
        <f t="shared" si="14"/>
        <v>1</v>
      </c>
      <c r="AQ172" s="134">
        <v>50</v>
      </c>
      <c r="AR172" s="134">
        <v>1350</v>
      </c>
      <c r="AS172" s="134">
        <v>1220</v>
      </c>
      <c r="AT172" s="135">
        <v>90.370370370370367</v>
      </c>
      <c r="AU172" s="106" t="s">
        <v>427</v>
      </c>
      <c r="AV172" s="100"/>
      <c r="AW172" s="100"/>
    </row>
    <row r="173" spans="1:49" x14ac:dyDescent="0.25">
      <c r="A173" s="96">
        <v>173</v>
      </c>
      <c r="B173" s="148">
        <v>2227</v>
      </c>
      <c r="C173" s="32" t="s">
        <v>220</v>
      </c>
      <c r="D173" s="32" t="s">
        <v>77</v>
      </c>
      <c r="E173" s="32" t="s">
        <v>130</v>
      </c>
      <c r="F173" s="32" t="s">
        <v>400</v>
      </c>
      <c r="G173" s="61">
        <v>45296</v>
      </c>
      <c r="H173" s="75" t="s">
        <v>12</v>
      </c>
      <c r="I173" s="75" t="s">
        <v>13</v>
      </c>
      <c r="J173" s="84" t="s">
        <v>390</v>
      </c>
      <c r="K173" s="84" t="s">
        <v>390</v>
      </c>
      <c r="L173" s="84" t="s">
        <v>390</v>
      </c>
      <c r="M173" s="83" t="s">
        <v>14</v>
      </c>
      <c r="N173" s="84" t="s">
        <v>390</v>
      </c>
      <c r="O173" s="138" t="s">
        <v>390</v>
      </c>
      <c r="P173" s="75" t="s">
        <v>13</v>
      </c>
      <c r="Q173" s="84" t="s">
        <v>390</v>
      </c>
      <c r="R173" s="84" t="s">
        <v>390</v>
      </c>
      <c r="S173" s="84" t="s">
        <v>390</v>
      </c>
      <c r="T173" s="84" t="s">
        <v>390</v>
      </c>
      <c r="U173" s="84" t="s">
        <v>390</v>
      </c>
      <c r="V173" s="82" t="s">
        <v>391</v>
      </c>
      <c r="W173" s="75" t="s">
        <v>13</v>
      </c>
      <c r="X173" s="84" t="s">
        <v>390</v>
      </c>
      <c r="Y173" s="84" t="s">
        <v>390</v>
      </c>
      <c r="Z173" s="84" t="s">
        <v>390</v>
      </c>
      <c r="AA173" s="84" t="s">
        <v>390</v>
      </c>
      <c r="AB173" s="84" t="s">
        <v>390</v>
      </c>
      <c r="AC173" s="84" t="s">
        <v>390</v>
      </c>
      <c r="AD173" s="75" t="s">
        <v>13</v>
      </c>
      <c r="AE173" s="84" t="s">
        <v>390</v>
      </c>
      <c r="AF173" s="84" t="s">
        <v>390</v>
      </c>
      <c r="AG173" s="84" t="s">
        <v>390</v>
      </c>
      <c r="AH173" s="84" t="s">
        <v>390</v>
      </c>
      <c r="AI173" s="84" t="s">
        <v>390</v>
      </c>
      <c r="AJ173" s="84" t="s">
        <v>390</v>
      </c>
      <c r="AK173" s="76" t="s">
        <v>378</v>
      </c>
      <c r="AL173" s="106">
        <f t="shared" si="10"/>
        <v>22</v>
      </c>
      <c r="AM173" s="106">
        <f t="shared" si="11"/>
        <v>1</v>
      </c>
      <c r="AN173" s="106">
        <f t="shared" si="12"/>
        <v>0</v>
      </c>
      <c r="AO173" s="106">
        <f t="shared" si="13"/>
        <v>23</v>
      </c>
      <c r="AP173" s="106">
        <f t="shared" si="14"/>
        <v>1</v>
      </c>
      <c r="AQ173" s="134"/>
      <c r="AR173" s="134"/>
      <c r="AS173" s="134"/>
      <c r="AT173" s="135"/>
      <c r="AU173" s="106" t="s">
        <v>427</v>
      </c>
      <c r="AV173" s="100"/>
      <c r="AW173" s="100"/>
    </row>
    <row r="174" spans="1:49" x14ac:dyDescent="0.25">
      <c r="A174" s="96">
        <v>174</v>
      </c>
      <c r="B174" s="148">
        <v>2228</v>
      </c>
      <c r="C174" s="32" t="s">
        <v>222</v>
      </c>
      <c r="D174" s="32" t="s">
        <v>88</v>
      </c>
      <c r="E174" s="32" t="s">
        <v>45</v>
      </c>
      <c r="F174" s="32" t="s">
        <v>107</v>
      </c>
      <c r="G174" s="67">
        <v>45202</v>
      </c>
      <c r="H174" s="77" t="s">
        <v>389</v>
      </c>
      <c r="I174" s="77" t="s">
        <v>13</v>
      </c>
      <c r="J174" s="85" t="s">
        <v>378</v>
      </c>
      <c r="K174" s="80" t="s">
        <v>14</v>
      </c>
      <c r="L174" s="79" t="s">
        <v>391</v>
      </c>
      <c r="M174" s="80" t="s">
        <v>14</v>
      </c>
      <c r="N174" s="78" t="s">
        <v>390</v>
      </c>
      <c r="O174" s="78" t="s">
        <v>390</v>
      </c>
      <c r="P174" s="77" t="s">
        <v>13</v>
      </c>
      <c r="Q174" s="78" t="s">
        <v>390</v>
      </c>
      <c r="R174" s="78" t="s">
        <v>390</v>
      </c>
      <c r="S174" s="78" t="s">
        <v>390</v>
      </c>
      <c r="T174" s="78" t="s">
        <v>390</v>
      </c>
      <c r="U174" s="78" t="s">
        <v>390</v>
      </c>
      <c r="V174" s="78" t="s">
        <v>390</v>
      </c>
      <c r="W174" s="77" t="s">
        <v>13</v>
      </c>
      <c r="X174" s="78" t="s">
        <v>390</v>
      </c>
      <c r="Y174" s="78" t="s">
        <v>390</v>
      </c>
      <c r="Z174" s="78" t="s">
        <v>390</v>
      </c>
      <c r="AA174" s="78" t="s">
        <v>390</v>
      </c>
      <c r="AB174" s="78" t="s">
        <v>390</v>
      </c>
      <c r="AC174" s="78" t="s">
        <v>390</v>
      </c>
      <c r="AD174" s="77" t="s">
        <v>13</v>
      </c>
      <c r="AE174" s="78" t="s">
        <v>390</v>
      </c>
      <c r="AF174" s="78" t="s">
        <v>390</v>
      </c>
      <c r="AG174" s="78" t="s">
        <v>390</v>
      </c>
      <c r="AH174" s="78" t="s">
        <v>390</v>
      </c>
      <c r="AI174" s="78" t="s">
        <v>390</v>
      </c>
      <c r="AJ174" s="78" t="s">
        <v>390</v>
      </c>
      <c r="AK174" s="77" t="s">
        <v>13</v>
      </c>
      <c r="AL174" s="106">
        <f t="shared" si="10"/>
        <v>20</v>
      </c>
      <c r="AM174" s="106">
        <f t="shared" si="11"/>
        <v>1</v>
      </c>
      <c r="AN174" s="106">
        <f t="shared" si="12"/>
        <v>0</v>
      </c>
      <c r="AO174" s="106">
        <f t="shared" si="13"/>
        <v>21</v>
      </c>
      <c r="AP174" s="106">
        <f t="shared" si="14"/>
        <v>2</v>
      </c>
      <c r="AQ174" s="134">
        <v>50</v>
      </c>
      <c r="AR174" s="134">
        <v>1450</v>
      </c>
      <c r="AS174" s="134">
        <v>149</v>
      </c>
      <c r="AT174" s="135">
        <v>10.275862068965518</v>
      </c>
      <c r="AU174" s="106" t="s">
        <v>427</v>
      </c>
      <c r="AV174" s="100"/>
      <c r="AW174" s="100"/>
    </row>
    <row r="175" spans="1:49" x14ac:dyDescent="0.25">
      <c r="A175" s="96">
        <v>175</v>
      </c>
      <c r="B175" s="148">
        <v>2229</v>
      </c>
      <c r="C175" s="32" t="s">
        <v>223</v>
      </c>
      <c r="D175" s="32" t="s">
        <v>88</v>
      </c>
      <c r="E175" s="32" t="s">
        <v>39</v>
      </c>
      <c r="F175" s="32" t="s">
        <v>107</v>
      </c>
      <c r="G175" s="67">
        <v>45390</v>
      </c>
      <c r="H175" s="77" t="s">
        <v>389</v>
      </c>
      <c r="I175" s="77" t="s">
        <v>13</v>
      </c>
      <c r="J175" s="78" t="s">
        <v>390</v>
      </c>
      <c r="K175" s="78" t="s">
        <v>390</v>
      </c>
      <c r="L175" s="78" t="s">
        <v>390</v>
      </c>
      <c r="M175" s="78" t="s">
        <v>390</v>
      </c>
      <c r="N175" s="78" t="s">
        <v>390</v>
      </c>
      <c r="O175" s="78" t="s">
        <v>390</v>
      </c>
      <c r="P175" s="77" t="s">
        <v>13</v>
      </c>
      <c r="Q175" s="78" t="s">
        <v>390</v>
      </c>
      <c r="R175" s="78" t="s">
        <v>390</v>
      </c>
      <c r="S175" s="78" t="s">
        <v>390</v>
      </c>
      <c r="T175" s="78" t="s">
        <v>390</v>
      </c>
      <c r="U175" s="78" t="s">
        <v>390</v>
      </c>
      <c r="V175" s="79" t="s">
        <v>391</v>
      </c>
      <c r="W175" s="77" t="s">
        <v>13</v>
      </c>
      <c r="X175" s="78" t="s">
        <v>390</v>
      </c>
      <c r="Y175" s="78" t="s">
        <v>390</v>
      </c>
      <c r="Z175" s="78" t="s">
        <v>390</v>
      </c>
      <c r="AA175" s="78" t="s">
        <v>390</v>
      </c>
      <c r="AB175" s="78" t="s">
        <v>390</v>
      </c>
      <c r="AC175" s="78" t="s">
        <v>390</v>
      </c>
      <c r="AD175" s="77" t="s">
        <v>13</v>
      </c>
      <c r="AE175" s="78" t="s">
        <v>390</v>
      </c>
      <c r="AF175" s="78" t="s">
        <v>390</v>
      </c>
      <c r="AG175" s="78" t="s">
        <v>390</v>
      </c>
      <c r="AH175" s="78" t="s">
        <v>390</v>
      </c>
      <c r="AI175" s="78" t="s">
        <v>390</v>
      </c>
      <c r="AJ175" s="78" t="s">
        <v>390</v>
      </c>
      <c r="AK175" s="77" t="s">
        <v>13</v>
      </c>
      <c r="AL175" s="106">
        <f t="shared" si="10"/>
        <v>23</v>
      </c>
      <c r="AM175" s="106">
        <f t="shared" si="11"/>
        <v>0</v>
      </c>
      <c r="AN175" s="106">
        <f t="shared" si="12"/>
        <v>0</v>
      </c>
      <c r="AO175" s="106">
        <f t="shared" si="13"/>
        <v>23</v>
      </c>
      <c r="AP175" s="106">
        <f t="shared" si="14"/>
        <v>0</v>
      </c>
      <c r="AQ175" s="134">
        <v>50</v>
      </c>
      <c r="AR175" s="134">
        <v>1350</v>
      </c>
      <c r="AS175" s="134">
        <v>860</v>
      </c>
      <c r="AT175" s="135">
        <v>63.703703703703709</v>
      </c>
      <c r="AU175" s="106" t="s">
        <v>427</v>
      </c>
      <c r="AV175" s="100"/>
      <c r="AW175" s="100"/>
    </row>
    <row r="176" spans="1:49" x14ac:dyDescent="0.25">
      <c r="A176" s="96">
        <v>176</v>
      </c>
      <c r="B176" s="148">
        <v>2230</v>
      </c>
      <c r="C176" s="32" t="s">
        <v>224</v>
      </c>
      <c r="D176" s="32" t="s">
        <v>92</v>
      </c>
      <c r="E176" s="32" t="s">
        <v>20</v>
      </c>
      <c r="F176" s="32" t="s">
        <v>107</v>
      </c>
      <c r="G176" s="69">
        <v>45425</v>
      </c>
      <c r="H176" s="77" t="s">
        <v>389</v>
      </c>
      <c r="I176" s="77" t="s">
        <v>13</v>
      </c>
      <c r="J176" s="78" t="s">
        <v>390</v>
      </c>
      <c r="K176" s="78" t="s">
        <v>390</v>
      </c>
      <c r="L176" s="78" t="s">
        <v>390</v>
      </c>
      <c r="M176" s="78" t="s">
        <v>390</v>
      </c>
      <c r="N176" s="78" t="s">
        <v>390</v>
      </c>
      <c r="O176" s="78" t="s">
        <v>390</v>
      </c>
      <c r="P176" s="77" t="s">
        <v>13</v>
      </c>
      <c r="Q176" s="78" t="s">
        <v>390</v>
      </c>
      <c r="R176" s="78" t="s">
        <v>390</v>
      </c>
      <c r="S176" s="78" t="s">
        <v>390</v>
      </c>
      <c r="T176" s="78" t="s">
        <v>390</v>
      </c>
      <c r="U176" s="78" t="s">
        <v>390</v>
      </c>
      <c r="V176" s="78" t="s">
        <v>390</v>
      </c>
      <c r="W176" s="77" t="s">
        <v>13</v>
      </c>
      <c r="X176" s="78" t="s">
        <v>390</v>
      </c>
      <c r="Y176" s="78" t="s">
        <v>390</v>
      </c>
      <c r="Z176" s="78" t="s">
        <v>390</v>
      </c>
      <c r="AA176" s="78" t="s">
        <v>390</v>
      </c>
      <c r="AB176" s="78" t="s">
        <v>390</v>
      </c>
      <c r="AC176" s="79" t="s">
        <v>391</v>
      </c>
      <c r="AD176" s="77" t="s">
        <v>13</v>
      </c>
      <c r="AE176" s="78" t="s">
        <v>390</v>
      </c>
      <c r="AF176" s="78" t="s">
        <v>390</v>
      </c>
      <c r="AG176" s="78" t="s">
        <v>390</v>
      </c>
      <c r="AH176" s="78" t="s">
        <v>390</v>
      </c>
      <c r="AI176" s="78" t="s">
        <v>390</v>
      </c>
      <c r="AJ176" s="78" t="s">
        <v>390</v>
      </c>
      <c r="AK176" s="77" t="s">
        <v>13</v>
      </c>
      <c r="AL176" s="106">
        <f t="shared" si="10"/>
        <v>23</v>
      </c>
      <c r="AM176" s="106">
        <f t="shared" si="11"/>
        <v>0</v>
      </c>
      <c r="AN176" s="106">
        <f t="shared" si="12"/>
        <v>0</v>
      </c>
      <c r="AO176" s="106">
        <f t="shared" si="13"/>
        <v>23</v>
      </c>
      <c r="AP176" s="106">
        <f t="shared" si="14"/>
        <v>0</v>
      </c>
      <c r="AQ176" s="134">
        <v>60</v>
      </c>
      <c r="AR176" s="134">
        <v>1620</v>
      </c>
      <c r="AS176" s="134">
        <v>2196</v>
      </c>
      <c r="AT176" s="135">
        <v>135.55555555555557</v>
      </c>
      <c r="AU176" s="106" t="s">
        <v>427</v>
      </c>
      <c r="AV176" s="100"/>
      <c r="AW176" s="100"/>
    </row>
    <row r="177" spans="1:49" x14ac:dyDescent="0.25">
      <c r="A177" s="96">
        <v>177</v>
      </c>
      <c r="B177" s="148">
        <v>2231</v>
      </c>
      <c r="C177" s="32" t="s">
        <v>225</v>
      </c>
      <c r="D177" s="32" t="s">
        <v>88</v>
      </c>
      <c r="E177" s="32" t="s">
        <v>226</v>
      </c>
      <c r="F177" s="32" t="s">
        <v>107</v>
      </c>
      <c r="G177" s="69">
        <v>45432</v>
      </c>
      <c r="H177" s="75" t="s">
        <v>12</v>
      </c>
      <c r="I177" s="75" t="s">
        <v>13</v>
      </c>
      <c r="J177" s="76" t="s">
        <v>378</v>
      </c>
      <c r="K177" s="76" t="s">
        <v>378</v>
      </c>
      <c r="L177" s="76" t="s">
        <v>378</v>
      </c>
      <c r="M177" s="76" t="s">
        <v>378</v>
      </c>
      <c r="N177" s="76" t="s">
        <v>378</v>
      </c>
      <c r="O177" s="76" t="s">
        <v>378</v>
      </c>
      <c r="P177" s="75" t="s">
        <v>13</v>
      </c>
      <c r="Q177" s="76" t="s">
        <v>378</v>
      </c>
      <c r="R177" s="76" t="s">
        <v>378</v>
      </c>
      <c r="S177" s="76" t="s">
        <v>378</v>
      </c>
      <c r="T177" s="76" t="s">
        <v>378</v>
      </c>
      <c r="U177" s="76" t="s">
        <v>378</v>
      </c>
      <c r="V177" s="76" t="s">
        <v>378</v>
      </c>
      <c r="W177" s="75" t="s">
        <v>13</v>
      </c>
      <c r="X177" s="76" t="s">
        <v>378</v>
      </c>
      <c r="Y177" s="76" t="s">
        <v>378</v>
      </c>
      <c r="Z177" s="76" t="s">
        <v>378</v>
      </c>
      <c r="AA177" s="76" t="s">
        <v>378</v>
      </c>
      <c r="AB177" s="76" t="s">
        <v>378</v>
      </c>
      <c r="AC177" s="76" t="s">
        <v>378</v>
      </c>
      <c r="AD177" s="75" t="s">
        <v>13</v>
      </c>
      <c r="AE177" s="76" t="s">
        <v>378</v>
      </c>
      <c r="AF177" s="76" t="s">
        <v>378</v>
      </c>
      <c r="AG177" s="76" t="s">
        <v>378</v>
      </c>
      <c r="AH177" s="76" t="s">
        <v>378</v>
      </c>
      <c r="AI177" s="76" t="s">
        <v>378</v>
      </c>
      <c r="AJ177" s="76" t="s">
        <v>378</v>
      </c>
      <c r="AK177" s="75" t="s">
        <v>13</v>
      </c>
      <c r="AL177" s="106">
        <f t="shared" si="10"/>
        <v>0</v>
      </c>
      <c r="AM177" s="106">
        <f t="shared" si="11"/>
        <v>24</v>
      </c>
      <c r="AN177" s="106">
        <f t="shared" si="12"/>
        <v>0</v>
      </c>
      <c r="AO177" s="106">
        <f t="shared" si="13"/>
        <v>24</v>
      </c>
      <c r="AP177" s="106">
        <f t="shared" si="14"/>
        <v>0</v>
      </c>
      <c r="AQ177" s="134"/>
      <c r="AR177" s="134"/>
      <c r="AS177" s="134"/>
      <c r="AT177" s="135"/>
      <c r="AU177" s="106" t="s">
        <v>427</v>
      </c>
      <c r="AV177" s="100"/>
      <c r="AW177" s="100"/>
    </row>
    <row r="178" spans="1:49" x14ac:dyDescent="0.25">
      <c r="A178" s="96">
        <v>178</v>
      </c>
      <c r="B178" s="148">
        <v>2233</v>
      </c>
      <c r="C178" s="32" t="s">
        <v>227</v>
      </c>
      <c r="D178" s="32" t="s">
        <v>83</v>
      </c>
      <c r="E178" s="32" t="s">
        <v>9</v>
      </c>
      <c r="F178" s="32" t="s">
        <v>107</v>
      </c>
      <c r="G178" s="67">
        <v>45208</v>
      </c>
      <c r="H178" s="77" t="s">
        <v>389</v>
      </c>
      <c r="I178" s="77" t="s">
        <v>13</v>
      </c>
      <c r="J178" s="78" t="s">
        <v>390</v>
      </c>
      <c r="K178" s="78" t="s">
        <v>390</v>
      </c>
      <c r="L178" s="78" t="s">
        <v>390</v>
      </c>
      <c r="M178" s="78" t="s">
        <v>390</v>
      </c>
      <c r="N178" s="78" t="s">
        <v>390</v>
      </c>
      <c r="O178" s="78" t="s">
        <v>390</v>
      </c>
      <c r="P178" s="77" t="s">
        <v>13</v>
      </c>
      <c r="Q178" s="78" t="s">
        <v>390</v>
      </c>
      <c r="R178" s="78" t="s">
        <v>390</v>
      </c>
      <c r="S178" s="78" t="s">
        <v>390</v>
      </c>
      <c r="T178" s="78" t="s">
        <v>390</v>
      </c>
      <c r="U178" s="78" t="s">
        <v>390</v>
      </c>
      <c r="V178" s="78" t="s">
        <v>390</v>
      </c>
      <c r="W178" s="77" t="s">
        <v>13</v>
      </c>
      <c r="X178" s="78" t="s">
        <v>390</v>
      </c>
      <c r="Y178" s="78" t="s">
        <v>390</v>
      </c>
      <c r="Z178" s="78" t="s">
        <v>390</v>
      </c>
      <c r="AA178" s="78" t="s">
        <v>390</v>
      </c>
      <c r="AB178" s="79" t="s">
        <v>391</v>
      </c>
      <c r="AC178" s="78" t="s">
        <v>390</v>
      </c>
      <c r="AD178" s="77" t="s">
        <v>13</v>
      </c>
      <c r="AE178" s="78" t="s">
        <v>390</v>
      </c>
      <c r="AF178" s="78" t="s">
        <v>390</v>
      </c>
      <c r="AG178" s="78" t="s">
        <v>390</v>
      </c>
      <c r="AH178" s="78" t="s">
        <v>390</v>
      </c>
      <c r="AI178" s="78" t="s">
        <v>390</v>
      </c>
      <c r="AJ178" s="78" t="s">
        <v>390</v>
      </c>
      <c r="AK178" s="77" t="s">
        <v>13</v>
      </c>
      <c r="AL178" s="106">
        <f t="shared" si="10"/>
        <v>23</v>
      </c>
      <c r="AM178" s="106">
        <f t="shared" si="11"/>
        <v>0</v>
      </c>
      <c r="AN178" s="106">
        <f t="shared" si="12"/>
        <v>0</v>
      </c>
      <c r="AO178" s="106">
        <f t="shared" si="13"/>
        <v>23</v>
      </c>
      <c r="AP178" s="106">
        <f t="shared" si="14"/>
        <v>0</v>
      </c>
      <c r="AQ178" s="134"/>
      <c r="AR178" s="134"/>
      <c r="AS178" s="134"/>
      <c r="AT178" s="135"/>
      <c r="AU178" s="106" t="s">
        <v>427</v>
      </c>
      <c r="AV178" s="100"/>
      <c r="AW178" s="100"/>
    </row>
    <row r="179" spans="1:49" x14ac:dyDescent="0.25">
      <c r="A179" s="96">
        <v>179</v>
      </c>
      <c r="B179" s="148">
        <v>2236</v>
      </c>
      <c r="C179" s="32" t="s">
        <v>228</v>
      </c>
      <c r="D179" s="32" t="s">
        <v>83</v>
      </c>
      <c r="E179" s="32" t="s">
        <v>9</v>
      </c>
      <c r="F179" s="32" t="s">
        <v>107</v>
      </c>
      <c r="G179" s="67">
        <v>45474</v>
      </c>
      <c r="H179" s="77" t="s">
        <v>389</v>
      </c>
      <c r="I179" s="77" t="s">
        <v>13</v>
      </c>
      <c r="J179" s="78" t="s">
        <v>390</v>
      </c>
      <c r="K179" s="78" t="s">
        <v>390</v>
      </c>
      <c r="L179" s="80" t="s">
        <v>14</v>
      </c>
      <c r="M179" s="80" t="s">
        <v>14</v>
      </c>
      <c r="N179" s="80" t="s">
        <v>14</v>
      </c>
      <c r="O179" s="79" t="s">
        <v>391</v>
      </c>
      <c r="P179" s="77" t="s">
        <v>13</v>
      </c>
      <c r="Q179" s="80" t="s">
        <v>14</v>
      </c>
      <c r="R179" s="80" t="s">
        <v>14</v>
      </c>
      <c r="S179" s="80" t="s">
        <v>14</v>
      </c>
      <c r="T179" s="80" t="s">
        <v>14</v>
      </c>
      <c r="U179" s="80" t="s">
        <v>14</v>
      </c>
      <c r="V179" s="139" t="s">
        <v>14</v>
      </c>
      <c r="W179" s="77" t="s">
        <v>13</v>
      </c>
      <c r="X179" s="78" t="s">
        <v>390</v>
      </c>
      <c r="Y179" s="78" t="s">
        <v>390</v>
      </c>
      <c r="Z179" s="78" t="s">
        <v>390</v>
      </c>
      <c r="AA179" s="78" t="s">
        <v>390</v>
      </c>
      <c r="AB179" s="78" t="s">
        <v>390</v>
      </c>
      <c r="AC179" s="78" t="s">
        <v>390</v>
      </c>
      <c r="AD179" s="77" t="s">
        <v>13</v>
      </c>
      <c r="AE179" s="78" t="s">
        <v>390</v>
      </c>
      <c r="AF179" s="78" t="s">
        <v>390</v>
      </c>
      <c r="AG179" s="78" t="s">
        <v>390</v>
      </c>
      <c r="AH179" s="78" t="s">
        <v>390</v>
      </c>
      <c r="AI179" s="78" t="s">
        <v>390</v>
      </c>
      <c r="AJ179" s="78" t="s">
        <v>390</v>
      </c>
      <c r="AK179" s="78" t="s">
        <v>390</v>
      </c>
      <c r="AL179" s="106">
        <f t="shared" si="10"/>
        <v>15</v>
      </c>
      <c r="AM179" s="106">
        <f t="shared" si="11"/>
        <v>0</v>
      </c>
      <c r="AN179" s="106">
        <f t="shared" si="12"/>
        <v>0</v>
      </c>
      <c r="AO179" s="106">
        <f t="shared" si="13"/>
        <v>15</v>
      </c>
      <c r="AP179" s="106">
        <f t="shared" si="14"/>
        <v>9</v>
      </c>
      <c r="AQ179" s="134"/>
      <c r="AR179" s="134"/>
      <c r="AS179" s="134"/>
      <c r="AT179" s="135"/>
      <c r="AU179" s="106" t="s">
        <v>427</v>
      </c>
      <c r="AV179" s="100"/>
      <c r="AW179" s="100"/>
    </row>
    <row r="180" spans="1:49" x14ac:dyDescent="0.25">
      <c r="A180" s="96">
        <v>180</v>
      </c>
      <c r="B180" s="148">
        <v>2239</v>
      </c>
      <c r="C180" s="32" t="s">
        <v>229</v>
      </c>
      <c r="D180" s="32" t="s">
        <v>8</v>
      </c>
      <c r="E180" s="32" t="s">
        <v>9</v>
      </c>
      <c r="F180" s="32" t="s">
        <v>107</v>
      </c>
      <c r="G180" s="67">
        <v>45482</v>
      </c>
      <c r="H180" s="77" t="s">
        <v>389</v>
      </c>
      <c r="I180" s="77" t="s">
        <v>13</v>
      </c>
      <c r="J180" s="78" t="s">
        <v>390</v>
      </c>
      <c r="K180" s="78" t="s">
        <v>390</v>
      </c>
      <c r="L180" s="78" t="s">
        <v>390</v>
      </c>
      <c r="M180" s="78" t="s">
        <v>390</v>
      </c>
      <c r="N180" s="78" t="s">
        <v>390</v>
      </c>
      <c r="O180" s="136" t="s">
        <v>390</v>
      </c>
      <c r="P180" s="77" t="s">
        <v>13</v>
      </c>
      <c r="Q180" s="78" t="s">
        <v>390</v>
      </c>
      <c r="R180" s="78" t="s">
        <v>390</v>
      </c>
      <c r="S180" s="78" t="s">
        <v>390</v>
      </c>
      <c r="T180" s="78" t="s">
        <v>390</v>
      </c>
      <c r="U180" s="78" t="s">
        <v>390</v>
      </c>
      <c r="V180" s="79" t="s">
        <v>391</v>
      </c>
      <c r="W180" s="77" t="s">
        <v>13</v>
      </c>
      <c r="X180" s="78" t="s">
        <v>390</v>
      </c>
      <c r="Y180" s="78" t="s">
        <v>390</v>
      </c>
      <c r="Z180" s="78" t="s">
        <v>390</v>
      </c>
      <c r="AA180" s="78" t="s">
        <v>390</v>
      </c>
      <c r="AB180" s="80" t="s">
        <v>14</v>
      </c>
      <c r="AC180" s="79" t="s">
        <v>391</v>
      </c>
      <c r="AD180" s="77" t="s">
        <v>13</v>
      </c>
      <c r="AE180" s="80" t="s">
        <v>14</v>
      </c>
      <c r="AF180" s="78" t="s">
        <v>390</v>
      </c>
      <c r="AG180" s="78" t="s">
        <v>390</v>
      </c>
      <c r="AH180" s="78" t="s">
        <v>390</v>
      </c>
      <c r="AI180" s="78" t="s">
        <v>390</v>
      </c>
      <c r="AJ180" s="78" t="s">
        <v>390</v>
      </c>
      <c r="AK180" s="77" t="s">
        <v>13</v>
      </c>
      <c r="AL180" s="106">
        <f t="shared" si="10"/>
        <v>20</v>
      </c>
      <c r="AM180" s="106">
        <f t="shared" si="11"/>
        <v>0</v>
      </c>
      <c r="AN180" s="106">
        <f t="shared" si="12"/>
        <v>0</v>
      </c>
      <c r="AO180" s="106">
        <f t="shared" si="13"/>
        <v>20</v>
      </c>
      <c r="AP180" s="106">
        <f t="shared" si="14"/>
        <v>2</v>
      </c>
      <c r="AQ180" s="134">
        <v>50</v>
      </c>
      <c r="AR180" s="134">
        <v>1300</v>
      </c>
      <c r="AS180" s="134">
        <v>850</v>
      </c>
      <c r="AT180" s="135">
        <v>65.384615384615387</v>
      </c>
      <c r="AU180" s="106" t="s">
        <v>427</v>
      </c>
      <c r="AV180" s="100"/>
      <c r="AW180" s="100"/>
    </row>
    <row r="181" spans="1:49" x14ac:dyDescent="0.25">
      <c r="A181" s="96">
        <v>181</v>
      </c>
      <c r="B181" s="148">
        <v>2240</v>
      </c>
      <c r="C181" s="32" t="s">
        <v>230</v>
      </c>
      <c r="D181" s="32" t="s">
        <v>114</v>
      </c>
      <c r="E181" s="32" t="s">
        <v>115</v>
      </c>
      <c r="F181" s="32" t="s">
        <v>107</v>
      </c>
      <c r="G181" s="59" t="s">
        <v>231</v>
      </c>
      <c r="H181" s="75" t="s">
        <v>12</v>
      </c>
      <c r="I181" s="75" t="s">
        <v>13</v>
      </c>
      <c r="J181" s="84" t="s">
        <v>390</v>
      </c>
      <c r="K181" s="84" t="s">
        <v>390</v>
      </c>
      <c r="L181" s="84" t="s">
        <v>390</v>
      </c>
      <c r="M181" s="84" t="s">
        <v>390</v>
      </c>
      <c r="N181" s="84" t="s">
        <v>390</v>
      </c>
      <c r="O181" s="84" t="s">
        <v>390</v>
      </c>
      <c r="P181" s="75" t="s">
        <v>13</v>
      </c>
      <c r="Q181" s="84" t="s">
        <v>390</v>
      </c>
      <c r="R181" s="84" t="s">
        <v>390</v>
      </c>
      <c r="S181" s="84" t="s">
        <v>390</v>
      </c>
      <c r="T181" s="84" t="s">
        <v>390</v>
      </c>
      <c r="U181" s="84" t="s">
        <v>390</v>
      </c>
      <c r="V181" s="82" t="s">
        <v>391</v>
      </c>
      <c r="W181" s="75" t="s">
        <v>13</v>
      </c>
      <c r="X181" s="83" t="s">
        <v>14</v>
      </c>
      <c r="Y181" s="84" t="s">
        <v>390</v>
      </c>
      <c r="Z181" s="84" t="s">
        <v>390</v>
      </c>
      <c r="AA181" s="84" t="s">
        <v>390</v>
      </c>
      <c r="AB181" s="84" t="s">
        <v>390</v>
      </c>
      <c r="AC181" s="138" t="s">
        <v>390</v>
      </c>
      <c r="AD181" s="75" t="s">
        <v>13</v>
      </c>
      <c r="AE181" s="84" t="s">
        <v>390</v>
      </c>
      <c r="AF181" s="84" t="s">
        <v>390</v>
      </c>
      <c r="AG181" s="88" t="s">
        <v>392</v>
      </c>
      <c r="AH181" s="84" t="s">
        <v>390</v>
      </c>
      <c r="AI181" s="84" t="s">
        <v>390</v>
      </c>
      <c r="AJ181" s="84" t="s">
        <v>390</v>
      </c>
      <c r="AK181" s="75" t="s">
        <v>13</v>
      </c>
      <c r="AL181" s="106">
        <f t="shared" si="10"/>
        <v>21</v>
      </c>
      <c r="AM181" s="106">
        <f t="shared" si="11"/>
        <v>0</v>
      </c>
      <c r="AN181" s="106">
        <f t="shared" si="12"/>
        <v>0.5</v>
      </c>
      <c r="AO181" s="106">
        <f t="shared" si="13"/>
        <v>21.5</v>
      </c>
      <c r="AP181" s="106">
        <f t="shared" si="14"/>
        <v>1.5</v>
      </c>
      <c r="AQ181" s="134"/>
      <c r="AR181" s="134"/>
      <c r="AS181" s="134"/>
      <c r="AT181" s="135"/>
      <c r="AU181" s="106" t="s">
        <v>427</v>
      </c>
      <c r="AV181" s="100"/>
      <c r="AW181" s="100"/>
    </row>
    <row r="182" spans="1:49" x14ac:dyDescent="0.25">
      <c r="A182" s="96">
        <v>182</v>
      </c>
      <c r="B182" s="148">
        <v>2241</v>
      </c>
      <c r="C182" s="32" t="s">
        <v>232</v>
      </c>
      <c r="D182" s="32" t="s">
        <v>44</v>
      </c>
      <c r="E182" s="32" t="s">
        <v>20</v>
      </c>
      <c r="F182" s="32" t="s">
        <v>107</v>
      </c>
      <c r="G182" s="60">
        <v>45485</v>
      </c>
      <c r="H182" s="77" t="s">
        <v>389</v>
      </c>
      <c r="I182" s="77" t="s">
        <v>13</v>
      </c>
      <c r="J182" s="78" t="s">
        <v>390</v>
      </c>
      <c r="K182" s="78" t="s">
        <v>390</v>
      </c>
      <c r="L182" s="78" t="s">
        <v>390</v>
      </c>
      <c r="M182" s="78" t="s">
        <v>390</v>
      </c>
      <c r="N182" s="78" t="s">
        <v>390</v>
      </c>
      <c r="O182" s="79" t="s">
        <v>391</v>
      </c>
      <c r="P182" s="77" t="s">
        <v>13</v>
      </c>
      <c r="Q182" s="78" t="s">
        <v>390</v>
      </c>
      <c r="R182" s="78" t="s">
        <v>390</v>
      </c>
      <c r="S182" s="85" t="s">
        <v>378</v>
      </c>
      <c r="T182" s="78" t="s">
        <v>390</v>
      </c>
      <c r="U182" s="78" t="s">
        <v>390</v>
      </c>
      <c r="V182" s="78" t="s">
        <v>390</v>
      </c>
      <c r="W182" s="77" t="s">
        <v>13</v>
      </c>
      <c r="X182" s="78" t="s">
        <v>390</v>
      </c>
      <c r="Y182" s="78" t="s">
        <v>390</v>
      </c>
      <c r="Z182" s="78" t="s">
        <v>390</v>
      </c>
      <c r="AA182" s="78" t="s">
        <v>390</v>
      </c>
      <c r="AB182" s="78" t="s">
        <v>390</v>
      </c>
      <c r="AC182" s="78" t="s">
        <v>390</v>
      </c>
      <c r="AD182" s="77" t="s">
        <v>13</v>
      </c>
      <c r="AE182" s="78" t="s">
        <v>390</v>
      </c>
      <c r="AF182" s="78" t="s">
        <v>390</v>
      </c>
      <c r="AG182" s="85" t="s">
        <v>378</v>
      </c>
      <c r="AH182" s="85" t="s">
        <v>378</v>
      </c>
      <c r="AI182" s="85" t="s">
        <v>378</v>
      </c>
      <c r="AJ182" s="85" t="s">
        <v>378</v>
      </c>
      <c r="AK182" s="77" t="s">
        <v>13</v>
      </c>
      <c r="AL182" s="106">
        <f t="shared" si="10"/>
        <v>18</v>
      </c>
      <c r="AM182" s="106">
        <f t="shared" si="11"/>
        <v>5</v>
      </c>
      <c r="AN182" s="106">
        <f t="shared" si="12"/>
        <v>0</v>
      </c>
      <c r="AO182" s="106">
        <f t="shared" si="13"/>
        <v>23</v>
      </c>
      <c r="AP182" s="106">
        <f t="shared" si="14"/>
        <v>0</v>
      </c>
      <c r="AQ182" s="134">
        <v>40</v>
      </c>
      <c r="AR182" s="134">
        <v>1160</v>
      </c>
      <c r="AS182" s="134">
        <v>171</v>
      </c>
      <c r="AT182" s="135">
        <v>14.741379310344826</v>
      </c>
      <c r="AU182" s="106" t="s">
        <v>427</v>
      </c>
      <c r="AV182" s="100"/>
      <c r="AW182" s="100"/>
    </row>
    <row r="183" spans="1:49" x14ac:dyDescent="0.25">
      <c r="A183" s="96">
        <v>183</v>
      </c>
      <c r="B183" s="148">
        <v>2242</v>
      </c>
      <c r="C183" s="32" t="s">
        <v>233</v>
      </c>
      <c r="D183" s="32" t="s">
        <v>92</v>
      </c>
      <c r="E183" s="32" t="s">
        <v>45</v>
      </c>
      <c r="F183" s="32" t="s">
        <v>107</v>
      </c>
      <c r="G183" s="60">
        <v>45485</v>
      </c>
      <c r="H183" s="77" t="s">
        <v>389</v>
      </c>
      <c r="I183" s="77" t="s">
        <v>13</v>
      </c>
      <c r="J183" s="78" t="s">
        <v>390</v>
      </c>
      <c r="K183" s="78" t="s">
        <v>390</v>
      </c>
      <c r="L183" s="78" t="s">
        <v>390</v>
      </c>
      <c r="M183" s="78" t="s">
        <v>390</v>
      </c>
      <c r="N183" s="78" t="s">
        <v>390</v>
      </c>
      <c r="O183" s="78" t="s">
        <v>390</v>
      </c>
      <c r="P183" s="77" t="s">
        <v>13</v>
      </c>
      <c r="Q183" s="78" t="s">
        <v>390</v>
      </c>
      <c r="R183" s="78" t="s">
        <v>390</v>
      </c>
      <c r="S183" s="78" t="s">
        <v>390</v>
      </c>
      <c r="T183" s="78" t="s">
        <v>390</v>
      </c>
      <c r="U183" s="81" t="s">
        <v>392</v>
      </c>
      <c r="V183" s="87" t="s">
        <v>391</v>
      </c>
      <c r="W183" s="77" t="s">
        <v>13</v>
      </c>
      <c r="X183" s="80" t="s">
        <v>14</v>
      </c>
      <c r="Y183" s="80" t="s">
        <v>14</v>
      </c>
      <c r="Z183" s="78" t="s">
        <v>390</v>
      </c>
      <c r="AA183" s="78" t="s">
        <v>390</v>
      </c>
      <c r="AB183" s="78" t="s">
        <v>390</v>
      </c>
      <c r="AC183" s="78" t="s">
        <v>390</v>
      </c>
      <c r="AD183" s="77" t="s">
        <v>13</v>
      </c>
      <c r="AE183" s="78" t="s">
        <v>390</v>
      </c>
      <c r="AF183" s="78" t="s">
        <v>390</v>
      </c>
      <c r="AG183" s="78" t="s">
        <v>390</v>
      </c>
      <c r="AH183" s="78" t="s">
        <v>390</v>
      </c>
      <c r="AI183" s="81" t="s">
        <v>392</v>
      </c>
      <c r="AJ183" s="78" t="s">
        <v>390</v>
      </c>
      <c r="AK183" s="77" t="s">
        <v>13</v>
      </c>
      <c r="AL183" s="106">
        <f t="shared" si="10"/>
        <v>19</v>
      </c>
      <c r="AM183" s="106">
        <f t="shared" si="11"/>
        <v>0</v>
      </c>
      <c r="AN183" s="106">
        <f t="shared" si="12"/>
        <v>1</v>
      </c>
      <c r="AO183" s="106">
        <f t="shared" si="13"/>
        <v>20</v>
      </c>
      <c r="AP183" s="106">
        <f t="shared" si="14"/>
        <v>3</v>
      </c>
      <c r="AQ183" s="134">
        <v>50</v>
      </c>
      <c r="AR183" s="134">
        <v>1350</v>
      </c>
      <c r="AS183" s="134">
        <v>902</v>
      </c>
      <c r="AT183" s="135">
        <v>66.81481481481481</v>
      </c>
      <c r="AU183" s="106" t="s">
        <v>427</v>
      </c>
      <c r="AV183" s="100"/>
      <c r="AW183" s="100"/>
    </row>
    <row r="184" spans="1:49" x14ac:dyDescent="0.25">
      <c r="A184" s="96">
        <v>184</v>
      </c>
      <c r="B184" s="148">
        <v>2246</v>
      </c>
      <c r="C184" s="32" t="s">
        <v>234</v>
      </c>
      <c r="D184" s="32" t="s">
        <v>44</v>
      </c>
      <c r="E184" s="32" t="s">
        <v>39</v>
      </c>
      <c r="F184" s="32" t="s">
        <v>89</v>
      </c>
      <c r="G184" s="67">
        <v>45506</v>
      </c>
      <c r="H184" s="77" t="s">
        <v>389</v>
      </c>
      <c r="I184" s="77" t="s">
        <v>13</v>
      </c>
      <c r="J184" s="78" t="s">
        <v>390</v>
      </c>
      <c r="K184" s="78" t="s">
        <v>390</v>
      </c>
      <c r="L184" s="78" t="s">
        <v>390</v>
      </c>
      <c r="M184" s="78" t="s">
        <v>390</v>
      </c>
      <c r="N184" s="78" t="s">
        <v>390</v>
      </c>
      <c r="O184" s="137" t="s">
        <v>391</v>
      </c>
      <c r="P184" s="77" t="s">
        <v>13</v>
      </c>
      <c r="Q184" s="78" t="s">
        <v>390</v>
      </c>
      <c r="R184" s="78" t="s">
        <v>390</v>
      </c>
      <c r="S184" s="78" t="s">
        <v>390</v>
      </c>
      <c r="T184" s="78" t="s">
        <v>390</v>
      </c>
      <c r="U184" s="78" t="s">
        <v>390</v>
      </c>
      <c r="V184" s="78" t="s">
        <v>390</v>
      </c>
      <c r="W184" s="77" t="s">
        <v>13</v>
      </c>
      <c r="X184" s="78" t="s">
        <v>390</v>
      </c>
      <c r="Y184" s="78" t="s">
        <v>390</v>
      </c>
      <c r="Z184" s="78" t="s">
        <v>390</v>
      </c>
      <c r="AA184" s="78" t="s">
        <v>390</v>
      </c>
      <c r="AB184" s="78" t="s">
        <v>390</v>
      </c>
      <c r="AC184" s="78" t="s">
        <v>390</v>
      </c>
      <c r="AD184" s="77" t="s">
        <v>13</v>
      </c>
      <c r="AE184" s="78" t="s">
        <v>390</v>
      </c>
      <c r="AF184" s="78" t="s">
        <v>390</v>
      </c>
      <c r="AG184" s="78" t="s">
        <v>390</v>
      </c>
      <c r="AH184" s="78" t="s">
        <v>390</v>
      </c>
      <c r="AI184" s="78" t="s">
        <v>390</v>
      </c>
      <c r="AJ184" s="78" t="s">
        <v>390</v>
      </c>
      <c r="AK184" s="77" t="s">
        <v>13</v>
      </c>
      <c r="AL184" s="106">
        <f t="shared" si="10"/>
        <v>23</v>
      </c>
      <c r="AM184" s="106">
        <f t="shared" si="11"/>
        <v>0</v>
      </c>
      <c r="AN184" s="106">
        <f t="shared" si="12"/>
        <v>0</v>
      </c>
      <c r="AO184" s="106">
        <f t="shared" si="13"/>
        <v>23</v>
      </c>
      <c r="AP184" s="106">
        <f t="shared" si="14"/>
        <v>0</v>
      </c>
      <c r="AQ184" s="134">
        <v>70</v>
      </c>
      <c r="AR184" s="134">
        <v>2030</v>
      </c>
      <c r="AS184" s="134">
        <v>1459</v>
      </c>
      <c r="AT184" s="135">
        <v>71.871921182266007</v>
      </c>
      <c r="AU184" s="106" t="s">
        <v>427</v>
      </c>
      <c r="AV184" s="100"/>
      <c r="AW184" s="100"/>
    </row>
    <row r="185" spans="1:49" x14ac:dyDescent="0.25">
      <c r="A185" s="96">
        <v>185</v>
      </c>
      <c r="B185" s="148">
        <v>2247</v>
      </c>
      <c r="C185" s="32" t="s">
        <v>235</v>
      </c>
      <c r="D185" s="32" t="s">
        <v>8</v>
      </c>
      <c r="E185" s="32" t="s">
        <v>9</v>
      </c>
      <c r="F185" s="32" t="s">
        <v>107</v>
      </c>
      <c r="G185" s="67">
        <v>45506</v>
      </c>
      <c r="H185" s="77" t="s">
        <v>389</v>
      </c>
      <c r="I185" s="77" t="s">
        <v>13</v>
      </c>
      <c r="J185" s="80" t="s">
        <v>14</v>
      </c>
      <c r="K185" s="86" t="s">
        <v>14</v>
      </c>
      <c r="L185" s="86" t="s">
        <v>14</v>
      </c>
      <c r="M185" s="78" t="s">
        <v>390</v>
      </c>
      <c r="N185" s="78" t="s">
        <v>390</v>
      </c>
      <c r="O185" s="78" t="s">
        <v>390</v>
      </c>
      <c r="P185" s="77" t="s">
        <v>13</v>
      </c>
      <c r="Q185" s="78" t="s">
        <v>390</v>
      </c>
      <c r="R185" s="78" t="s">
        <v>390</v>
      </c>
      <c r="S185" s="78" t="s">
        <v>390</v>
      </c>
      <c r="T185" s="78" t="s">
        <v>390</v>
      </c>
      <c r="U185" s="78" t="s">
        <v>390</v>
      </c>
      <c r="V185" s="79" t="s">
        <v>391</v>
      </c>
      <c r="W185" s="77" t="s">
        <v>13</v>
      </c>
      <c r="X185" s="78" t="s">
        <v>390</v>
      </c>
      <c r="Y185" s="78" t="s">
        <v>390</v>
      </c>
      <c r="Z185" s="78" t="s">
        <v>390</v>
      </c>
      <c r="AA185" s="78" t="s">
        <v>390</v>
      </c>
      <c r="AB185" s="78" t="s">
        <v>390</v>
      </c>
      <c r="AC185" s="78" t="s">
        <v>390</v>
      </c>
      <c r="AD185" s="77" t="s">
        <v>13</v>
      </c>
      <c r="AE185" s="78" t="s">
        <v>390</v>
      </c>
      <c r="AF185" s="78" t="s">
        <v>390</v>
      </c>
      <c r="AG185" s="78" t="s">
        <v>390</v>
      </c>
      <c r="AH185" s="78" t="s">
        <v>390</v>
      </c>
      <c r="AI185" s="78" t="s">
        <v>390</v>
      </c>
      <c r="AJ185" s="78" t="s">
        <v>390</v>
      </c>
      <c r="AK185" s="77" t="s">
        <v>13</v>
      </c>
      <c r="AL185" s="106">
        <f t="shared" si="10"/>
        <v>20</v>
      </c>
      <c r="AM185" s="106">
        <f t="shared" si="11"/>
        <v>0</v>
      </c>
      <c r="AN185" s="106">
        <f t="shared" si="12"/>
        <v>0</v>
      </c>
      <c r="AO185" s="106">
        <f t="shared" si="13"/>
        <v>20</v>
      </c>
      <c r="AP185" s="106">
        <f t="shared" si="14"/>
        <v>3</v>
      </c>
      <c r="AQ185" s="134">
        <v>15</v>
      </c>
      <c r="AR185" s="134">
        <v>390</v>
      </c>
      <c r="AS185" s="134">
        <v>208</v>
      </c>
      <c r="AT185" s="135">
        <v>53.333333333333336</v>
      </c>
      <c r="AU185" s="106" t="s">
        <v>427</v>
      </c>
      <c r="AV185" s="100"/>
      <c r="AW185" s="100"/>
    </row>
    <row r="186" spans="1:49" x14ac:dyDescent="0.25">
      <c r="A186" s="96">
        <v>186</v>
      </c>
      <c r="B186" s="148">
        <v>2253</v>
      </c>
      <c r="C186" s="32" t="s">
        <v>236</v>
      </c>
      <c r="D186" s="32" t="s">
        <v>23</v>
      </c>
      <c r="E186" s="32" t="s">
        <v>39</v>
      </c>
      <c r="F186" s="32" t="s">
        <v>107</v>
      </c>
      <c r="G186" s="67">
        <v>45512</v>
      </c>
      <c r="H186" s="77" t="s">
        <v>389</v>
      </c>
      <c r="I186" s="77" t="s">
        <v>13</v>
      </c>
      <c r="J186" s="85" t="s">
        <v>378</v>
      </c>
      <c r="K186" s="85" t="s">
        <v>378</v>
      </c>
      <c r="L186" s="85" t="s">
        <v>378</v>
      </c>
      <c r="M186" s="85" t="s">
        <v>378</v>
      </c>
      <c r="N186" s="85" t="s">
        <v>378</v>
      </c>
      <c r="O186" s="85" t="s">
        <v>378</v>
      </c>
      <c r="P186" s="77" t="s">
        <v>13</v>
      </c>
      <c r="Q186" s="85" t="s">
        <v>378</v>
      </c>
      <c r="R186" s="85" t="s">
        <v>378</v>
      </c>
      <c r="S186" s="85" t="s">
        <v>378</v>
      </c>
      <c r="T186" s="85" t="s">
        <v>378</v>
      </c>
      <c r="U186" s="85" t="s">
        <v>378</v>
      </c>
      <c r="V186" s="143" t="s">
        <v>378</v>
      </c>
      <c r="W186" s="85" t="s">
        <v>378</v>
      </c>
      <c r="X186" s="85" t="s">
        <v>378</v>
      </c>
      <c r="Y186" s="85" t="s">
        <v>378</v>
      </c>
      <c r="Z186" s="85" t="s">
        <v>378</v>
      </c>
      <c r="AA186" s="85" t="s">
        <v>378</v>
      </c>
      <c r="AB186" s="85" t="s">
        <v>378</v>
      </c>
      <c r="AC186" s="85" t="s">
        <v>378</v>
      </c>
      <c r="AD186" s="77" t="s">
        <v>13</v>
      </c>
      <c r="AE186" s="79" t="s">
        <v>391</v>
      </c>
      <c r="AF186" s="80" t="s">
        <v>14</v>
      </c>
      <c r="AG186" s="85" t="s">
        <v>378</v>
      </c>
      <c r="AH186" s="85" t="s">
        <v>378</v>
      </c>
      <c r="AI186" s="85" t="s">
        <v>378</v>
      </c>
      <c r="AJ186" s="85" t="s">
        <v>378</v>
      </c>
      <c r="AK186" s="85" t="s">
        <v>378</v>
      </c>
      <c r="AL186" s="106">
        <f t="shared" si="10"/>
        <v>0</v>
      </c>
      <c r="AM186" s="106">
        <f t="shared" si="11"/>
        <v>24</v>
      </c>
      <c r="AN186" s="106">
        <f t="shared" si="12"/>
        <v>0</v>
      </c>
      <c r="AO186" s="106">
        <f t="shared" si="13"/>
        <v>24</v>
      </c>
      <c r="AP186" s="106">
        <f t="shared" si="14"/>
        <v>1</v>
      </c>
      <c r="AQ186" s="134">
        <v>80</v>
      </c>
      <c r="AR186" s="134">
        <v>2160</v>
      </c>
      <c r="AS186" s="134">
        <v>1737</v>
      </c>
      <c r="AT186" s="135">
        <v>80.416666666666671</v>
      </c>
      <c r="AU186" s="106" t="s">
        <v>427</v>
      </c>
      <c r="AV186" s="100"/>
      <c r="AW186" s="100"/>
    </row>
    <row r="187" spans="1:49" x14ac:dyDescent="0.25">
      <c r="A187" s="96">
        <v>187</v>
      </c>
      <c r="B187" s="148">
        <v>2257</v>
      </c>
      <c r="C187" s="32" t="s">
        <v>237</v>
      </c>
      <c r="D187" s="32" t="s">
        <v>19</v>
      </c>
      <c r="E187" s="32" t="s">
        <v>109</v>
      </c>
      <c r="F187" s="32" t="s">
        <v>89</v>
      </c>
      <c r="G187" s="60">
        <v>45524</v>
      </c>
      <c r="H187" s="75" t="s">
        <v>12</v>
      </c>
      <c r="I187" s="75" t="s">
        <v>13</v>
      </c>
      <c r="J187" s="76" t="s">
        <v>378</v>
      </c>
      <c r="K187" s="76" t="s">
        <v>378</v>
      </c>
      <c r="L187" s="76" t="s">
        <v>378</v>
      </c>
      <c r="M187" s="83" t="s">
        <v>14</v>
      </c>
      <c r="N187" s="83" t="s">
        <v>14</v>
      </c>
      <c r="O187" s="82" t="s">
        <v>391</v>
      </c>
      <c r="P187" s="75" t="s">
        <v>13</v>
      </c>
      <c r="Q187" s="84" t="s">
        <v>390</v>
      </c>
      <c r="R187" s="84" t="s">
        <v>390</v>
      </c>
      <c r="S187" s="84" t="s">
        <v>390</v>
      </c>
      <c r="T187" s="84" t="s">
        <v>390</v>
      </c>
      <c r="U187" s="84" t="s">
        <v>390</v>
      </c>
      <c r="V187" s="82" t="s">
        <v>391</v>
      </c>
      <c r="W187" s="75" t="s">
        <v>13</v>
      </c>
      <c r="X187" s="84" t="s">
        <v>390</v>
      </c>
      <c r="Y187" s="84" t="s">
        <v>390</v>
      </c>
      <c r="Z187" s="84" t="s">
        <v>390</v>
      </c>
      <c r="AA187" s="84" t="s">
        <v>390</v>
      </c>
      <c r="AB187" s="84" t="s">
        <v>390</v>
      </c>
      <c r="AC187" s="82" t="s">
        <v>391</v>
      </c>
      <c r="AD187" s="75" t="s">
        <v>13</v>
      </c>
      <c r="AE187" s="88" t="s">
        <v>392</v>
      </c>
      <c r="AF187" s="84" t="s">
        <v>390</v>
      </c>
      <c r="AG187" s="84" t="s">
        <v>390</v>
      </c>
      <c r="AH187" s="84" t="s">
        <v>390</v>
      </c>
      <c r="AI187" s="84" t="s">
        <v>390</v>
      </c>
      <c r="AJ187" s="84" t="s">
        <v>390</v>
      </c>
      <c r="AK187" s="75" t="s">
        <v>13</v>
      </c>
      <c r="AL187" s="106">
        <f t="shared" si="10"/>
        <v>15</v>
      </c>
      <c r="AM187" s="106">
        <f t="shared" si="11"/>
        <v>3</v>
      </c>
      <c r="AN187" s="106">
        <f t="shared" si="12"/>
        <v>0.5</v>
      </c>
      <c r="AO187" s="106">
        <f t="shared" si="13"/>
        <v>18.5</v>
      </c>
      <c r="AP187" s="106">
        <f t="shared" si="14"/>
        <v>2.5</v>
      </c>
      <c r="AQ187" s="134"/>
      <c r="AR187" s="134"/>
      <c r="AS187" s="134"/>
      <c r="AT187" s="135"/>
      <c r="AU187" s="106" t="s">
        <v>427</v>
      </c>
      <c r="AV187" s="100"/>
      <c r="AW187" s="100"/>
    </row>
    <row r="188" spans="1:49" x14ac:dyDescent="0.25">
      <c r="A188" s="96">
        <v>188</v>
      </c>
      <c r="B188" s="148">
        <v>2259</v>
      </c>
      <c r="C188" s="32" t="s">
        <v>238</v>
      </c>
      <c r="D188" s="32" t="s">
        <v>8</v>
      </c>
      <c r="E188" s="30" t="s">
        <v>28</v>
      </c>
      <c r="F188" s="32" t="s">
        <v>107</v>
      </c>
      <c r="G188" s="69">
        <v>45433</v>
      </c>
      <c r="H188" s="77" t="s">
        <v>389</v>
      </c>
      <c r="I188" s="77" t="s">
        <v>13</v>
      </c>
      <c r="J188" s="78" t="s">
        <v>390</v>
      </c>
      <c r="K188" s="78" t="s">
        <v>390</v>
      </c>
      <c r="L188" s="78" t="s">
        <v>390</v>
      </c>
      <c r="M188" s="78" t="s">
        <v>390</v>
      </c>
      <c r="N188" s="78" t="s">
        <v>390</v>
      </c>
      <c r="O188" s="78" t="s">
        <v>390</v>
      </c>
      <c r="P188" s="77" t="s">
        <v>13</v>
      </c>
      <c r="Q188" s="78" t="s">
        <v>390</v>
      </c>
      <c r="R188" s="78" t="s">
        <v>390</v>
      </c>
      <c r="S188" s="78" t="s">
        <v>390</v>
      </c>
      <c r="T188" s="78" t="s">
        <v>390</v>
      </c>
      <c r="U188" s="78" t="s">
        <v>390</v>
      </c>
      <c r="V188" s="79" t="s">
        <v>391</v>
      </c>
      <c r="W188" s="77" t="s">
        <v>13</v>
      </c>
      <c r="X188" s="79" t="s">
        <v>391</v>
      </c>
      <c r="Y188" s="81" t="s">
        <v>392</v>
      </c>
      <c r="Z188" s="78" t="s">
        <v>390</v>
      </c>
      <c r="AA188" s="78" t="s">
        <v>390</v>
      </c>
      <c r="AB188" s="78" t="s">
        <v>390</v>
      </c>
      <c r="AC188" s="80" t="s">
        <v>14</v>
      </c>
      <c r="AD188" s="77" t="s">
        <v>13</v>
      </c>
      <c r="AE188" s="78" t="s">
        <v>390</v>
      </c>
      <c r="AF188" s="80" t="s">
        <v>14</v>
      </c>
      <c r="AG188" s="80" t="s">
        <v>14</v>
      </c>
      <c r="AH188" s="78" t="s">
        <v>390</v>
      </c>
      <c r="AI188" s="78" t="s">
        <v>390</v>
      </c>
      <c r="AJ188" s="78" t="s">
        <v>390</v>
      </c>
      <c r="AK188" s="77" t="s">
        <v>13</v>
      </c>
      <c r="AL188" s="106">
        <f t="shared" si="10"/>
        <v>18</v>
      </c>
      <c r="AM188" s="106">
        <f t="shared" si="11"/>
        <v>0</v>
      </c>
      <c r="AN188" s="106">
        <f t="shared" si="12"/>
        <v>0.5</v>
      </c>
      <c r="AO188" s="106">
        <f t="shared" si="13"/>
        <v>18.5</v>
      </c>
      <c r="AP188" s="106">
        <f t="shared" si="14"/>
        <v>3.5</v>
      </c>
      <c r="AQ188" s="134">
        <v>70</v>
      </c>
      <c r="AR188" s="134">
        <v>1890</v>
      </c>
      <c r="AS188" s="134">
        <v>1425</v>
      </c>
      <c r="AT188" s="135">
        <v>75.396825396825392</v>
      </c>
      <c r="AU188" s="106" t="s">
        <v>427</v>
      </c>
      <c r="AV188" s="100"/>
      <c r="AW188" s="100"/>
    </row>
    <row r="189" spans="1:49" x14ac:dyDescent="0.25">
      <c r="A189" s="96">
        <v>189</v>
      </c>
      <c r="B189" s="148">
        <v>2262</v>
      </c>
      <c r="C189" s="32" t="s">
        <v>239</v>
      </c>
      <c r="D189" s="32" t="s">
        <v>88</v>
      </c>
      <c r="E189" s="32" t="s">
        <v>20</v>
      </c>
      <c r="F189" s="32" t="s">
        <v>107</v>
      </c>
      <c r="G189" s="60">
        <v>45531</v>
      </c>
      <c r="H189" s="77" t="s">
        <v>389</v>
      </c>
      <c r="I189" s="77" t="s">
        <v>13</v>
      </c>
      <c r="J189" s="85" t="s">
        <v>378</v>
      </c>
      <c r="K189" s="78" t="s">
        <v>390</v>
      </c>
      <c r="L189" s="78" t="s">
        <v>390</v>
      </c>
      <c r="M189" s="78" t="s">
        <v>390</v>
      </c>
      <c r="N189" s="78" t="s">
        <v>390</v>
      </c>
      <c r="O189" s="78" t="s">
        <v>390</v>
      </c>
      <c r="P189" s="77" t="s">
        <v>13</v>
      </c>
      <c r="Q189" s="78" t="s">
        <v>390</v>
      </c>
      <c r="R189" s="78" t="s">
        <v>390</v>
      </c>
      <c r="S189" s="78" t="s">
        <v>390</v>
      </c>
      <c r="T189" s="78" t="s">
        <v>390</v>
      </c>
      <c r="U189" s="78" t="s">
        <v>390</v>
      </c>
      <c r="V189" s="78" t="s">
        <v>390</v>
      </c>
      <c r="W189" s="77" t="s">
        <v>13</v>
      </c>
      <c r="X189" s="78" t="s">
        <v>390</v>
      </c>
      <c r="Y189" s="78" t="s">
        <v>390</v>
      </c>
      <c r="Z189" s="78" t="s">
        <v>390</v>
      </c>
      <c r="AA189" s="78" t="s">
        <v>390</v>
      </c>
      <c r="AB189" s="78" t="s">
        <v>390</v>
      </c>
      <c r="AC189" s="79" t="s">
        <v>391</v>
      </c>
      <c r="AD189" s="77" t="s">
        <v>13</v>
      </c>
      <c r="AE189" s="78" t="s">
        <v>390</v>
      </c>
      <c r="AF189" s="78" t="s">
        <v>390</v>
      </c>
      <c r="AG189" s="78" t="s">
        <v>390</v>
      </c>
      <c r="AH189" s="78" t="s">
        <v>390</v>
      </c>
      <c r="AI189" s="78" t="s">
        <v>390</v>
      </c>
      <c r="AJ189" s="78" t="s">
        <v>390</v>
      </c>
      <c r="AK189" s="77" t="s">
        <v>13</v>
      </c>
      <c r="AL189" s="106">
        <f t="shared" si="10"/>
        <v>22</v>
      </c>
      <c r="AM189" s="106">
        <f t="shared" si="11"/>
        <v>1</v>
      </c>
      <c r="AN189" s="106">
        <f t="shared" si="12"/>
        <v>0</v>
      </c>
      <c r="AO189" s="106">
        <f t="shared" si="13"/>
        <v>23</v>
      </c>
      <c r="AP189" s="106">
        <f t="shared" si="14"/>
        <v>0</v>
      </c>
      <c r="AQ189" s="134">
        <v>50</v>
      </c>
      <c r="AR189" s="134">
        <v>1450</v>
      </c>
      <c r="AS189" s="134">
        <v>128</v>
      </c>
      <c r="AT189" s="135">
        <v>8.8275862068965516</v>
      </c>
      <c r="AU189" s="106" t="s">
        <v>427</v>
      </c>
      <c r="AV189" s="100"/>
      <c r="AW189" s="100"/>
    </row>
    <row r="190" spans="1:49" x14ac:dyDescent="0.25">
      <c r="A190" s="96">
        <v>190</v>
      </c>
      <c r="B190" s="148">
        <v>2267</v>
      </c>
      <c r="C190" s="32" t="s">
        <v>240</v>
      </c>
      <c r="D190" s="32" t="s">
        <v>19</v>
      </c>
      <c r="E190" s="32" t="s">
        <v>39</v>
      </c>
      <c r="F190" s="32" t="s">
        <v>107</v>
      </c>
      <c r="G190" s="60">
        <v>45533</v>
      </c>
      <c r="H190" s="77" t="s">
        <v>389</v>
      </c>
      <c r="I190" s="77" t="s">
        <v>13</v>
      </c>
      <c r="J190" s="78" t="s">
        <v>390</v>
      </c>
      <c r="K190" s="78" t="s">
        <v>390</v>
      </c>
      <c r="L190" s="78" t="s">
        <v>390</v>
      </c>
      <c r="M190" s="78" t="s">
        <v>390</v>
      </c>
      <c r="N190" s="78" t="s">
        <v>390</v>
      </c>
      <c r="O190" s="79" t="s">
        <v>391</v>
      </c>
      <c r="P190" s="77" t="s">
        <v>13</v>
      </c>
      <c r="Q190" s="78" t="s">
        <v>390</v>
      </c>
      <c r="R190" s="78" t="s">
        <v>390</v>
      </c>
      <c r="S190" s="78" t="s">
        <v>390</v>
      </c>
      <c r="T190" s="78" t="s">
        <v>390</v>
      </c>
      <c r="U190" s="78" t="s">
        <v>390</v>
      </c>
      <c r="V190" s="78" t="s">
        <v>390</v>
      </c>
      <c r="W190" s="77" t="s">
        <v>13</v>
      </c>
      <c r="X190" s="136" t="s">
        <v>390</v>
      </c>
      <c r="Y190" s="78" t="s">
        <v>390</v>
      </c>
      <c r="Z190" s="78" t="s">
        <v>390</v>
      </c>
      <c r="AA190" s="78" t="s">
        <v>390</v>
      </c>
      <c r="AB190" s="78" t="s">
        <v>390</v>
      </c>
      <c r="AC190" s="80" t="s">
        <v>14</v>
      </c>
      <c r="AD190" s="77" t="s">
        <v>13</v>
      </c>
      <c r="AE190" s="78" t="s">
        <v>390</v>
      </c>
      <c r="AF190" s="78" t="s">
        <v>390</v>
      </c>
      <c r="AG190" s="78" t="s">
        <v>390</v>
      </c>
      <c r="AH190" s="78" t="s">
        <v>390</v>
      </c>
      <c r="AI190" s="78" t="s">
        <v>390</v>
      </c>
      <c r="AJ190" s="78" t="s">
        <v>390</v>
      </c>
      <c r="AK190" s="77" t="s">
        <v>13</v>
      </c>
      <c r="AL190" s="106">
        <f t="shared" si="10"/>
        <v>22</v>
      </c>
      <c r="AM190" s="106">
        <f t="shared" si="11"/>
        <v>0</v>
      </c>
      <c r="AN190" s="106">
        <f t="shared" si="12"/>
        <v>0</v>
      </c>
      <c r="AO190" s="106">
        <f t="shared" si="13"/>
        <v>22</v>
      </c>
      <c r="AP190" s="106">
        <f t="shared" si="14"/>
        <v>1</v>
      </c>
      <c r="AQ190" s="134">
        <v>15</v>
      </c>
      <c r="AR190" s="134">
        <v>390</v>
      </c>
      <c r="AS190" s="134">
        <v>292</v>
      </c>
      <c r="AT190" s="135">
        <v>74.871794871794876</v>
      </c>
      <c r="AU190" s="106" t="s">
        <v>427</v>
      </c>
      <c r="AV190" s="100"/>
      <c r="AW190" s="100"/>
    </row>
    <row r="191" spans="1:49" x14ac:dyDescent="0.25">
      <c r="A191" s="96">
        <v>191</v>
      </c>
      <c r="B191" s="148">
        <v>2270</v>
      </c>
      <c r="C191" s="32" t="s">
        <v>241</v>
      </c>
      <c r="D191" s="32" t="s">
        <v>23</v>
      </c>
      <c r="E191" s="32" t="s">
        <v>24</v>
      </c>
      <c r="F191" s="32" t="s">
        <v>107</v>
      </c>
      <c r="G191" s="67">
        <v>45509</v>
      </c>
      <c r="H191" s="77" t="s">
        <v>389</v>
      </c>
      <c r="I191" s="77" t="s">
        <v>13</v>
      </c>
      <c r="J191" s="78" t="s">
        <v>390</v>
      </c>
      <c r="K191" s="78" t="s">
        <v>390</v>
      </c>
      <c r="L191" s="81" t="s">
        <v>392</v>
      </c>
      <c r="M191" s="78" t="s">
        <v>390</v>
      </c>
      <c r="N191" s="78" t="s">
        <v>390</v>
      </c>
      <c r="O191" s="78" t="s">
        <v>390</v>
      </c>
      <c r="P191" s="77" t="s">
        <v>13</v>
      </c>
      <c r="Q191" s="78" t="s">
        <v>390</v>
      </c>
      <c r="R191" s="78" t="s">
        <v>390</v>
      </c>
      <c r="S191" s="78" t="s">
        <v>390</v>
      </c>
      <c r="T191" s="78" t="s">
        <v>390</v>
      </c>
      <c r="U191" s="78" t="s">
        <v>390</v>
      </c>
      <c r="V191" s="80" t="s">
        <v>391</v>
      </c>
      <c r="W191" s="77" t="s">
        <v>13</v>
      </c>
      <c r="X191" s="78" t="s">
        <v>390</v>
      </c>
      <c r="Y191" s="78" t="s">
        <v>390</v>
      </c>
      <c r="Z191" s="78" t="s">
        <v>390</v>
      </c>
      <c r="AA191" s="78" t="s">
        <v>390</v>
      </c>
      <c r="AB191" s="81" t="s">
        <v>392</v>
      </c>
      <c r="AC191" s="80" t="s">
        <v>14</v>
      </c>
      <c r="AD191" s="77" t="s">
        <v>13</v>
      </c>
      <c r="AE191" s="78" t="s">
        <v>390</v>
      </c>
      <c r="AF191" s="78" t="s">
        <v>390</v>
      </c>
      <c r="AG191" s="78" t="s">
        <v>390</v>
      </c>
      <c r="AH191" s="78" t="s">
        <v>390</v>
      </c>
      <c r="AI191" s="78" t="s">
        <v>390</v>
      </c>
      <c r="AJ191" s="78" t="s">
        <v>390</v>
      </c>
      <c r="AK191" s="78" t="s">
        <v>390</v>
      </c>
      <c r="AL191" s="106">
        <f t="shared" si="10"/>
        <v>21</v>
      </c>
      <c r="AM191" s="106">
        <f t="shared" si="11"/>
        <v>0</v>
      </c>
      <c r="AN191" s="106">
        <f t="shared" si="12"/>
        <v>1</v>
      </c>
      <c r="AO191" s="106">
        <f t="shared" si="13"/>
        <v>22</v>
      </c>
      <c r="AP191" s="106">
        <f t="shared" si="14"/>
        <v>2</v>
      </c>
      <c r="AQ191" s="134">
        <v>70</v>
      </c>
      <c r="AR191" s="134">
        <v>1890</v>
      </c>
      <c r="AS191" s="134">
        <v>32</v>
      </c>
      <c r="AT191" s="135">
        <v>1.6931216931216932</v>
      </c>
      <c r="AU191" s="106" t="s">
        <v>427</v>
      </c>
      <c r="AV191" s="100"/>
      <c r="AW191" s="100"/>
    </row>
    <row r="192" spans="1:49" x14ac:dyDescent="0.25">
      <c r="A192" s="96">
        <v>192</v>
      </c>
      <c r="B192" s="148">
        <v>2271</v>
      </c>
      <c r="C192" s="32" t="s">
        <v>242</v>
      </c>
      <c r="D192" s="32" t="s">
        <v>92</v>
      </c>
      <c r="E192" s="32" t="s">
        <v>24</v>
      </c>
      <c r="F192" s="32" t="s">
        <v>107</v>
      </c>
      <c r="G192" s="67">
        <v>45537</v>
      </c>
      <c r="H192" s="77" t="s">
        <v>389</v>
      </c>
      <c r="I192" s="77" t="s">
        <v>13</v>
      </c>
      <c r="J192" s="85" t="s">
        <v>378</v>
      </c>
      <c r="K192" s="85" t="s">
        <v>378</v>
      </c>
      <c r="L192" s="85" t="s">
        <v>378</v>
      </c>
      <c r="M192" s="85" t="s">
        <v>378</v>
      </c>
      <c r="N192" s="78" t="s">
        <v>390</v>
      </c>
      <c r="O192" s="82" t="s">
        <v>391</v>
      </c>
      <c r="P192" s="77" t="s">
        <v>13</v>
      </c>
      <c r="Q192" s="85" t="s">
        <v>378</v>
      </c>
      <c r="R192" s="85" t="s">
        <v>378</v>
      </c>
      <c r="S192" s="85" t="s">
        <v>378</v>
      </c>
      <c r="T192" s="85" t="s">
        <v>378</v>
      </c>
      <c r="U192" s="85" t="s">
        <v>378</v>
      </c>
      <c r="V192" s="85" t="s">
        <v>378</v>
      </c>
      <c r="W192" s="85" t="s">
        <v>378</v>
      </c>
      <c r="X192" s="85" t="s">
        <v>378</v>
      </c>
      <c r="Y192" s="85" t="s">
        <v>378</v>
      </c>
      <c r="Z192" s="85" t="s">
        <v>378</v>
      </c>
      <c r="AA192" s="85" t="s">
        <v>378</v>
      </c>
      <c r="AB192" s="85" t="s">
        <v>378</v>
      </c>
      <c r="AC192" s="80" t="s">
        <v>14</v>
      </c>
      <c r="AD192" s="77" t="s">
        <v>13</v>
      </c>
      <c r="AE192" s="80" t="s">
        <v>14</v>
      </c>
      <c r="AF192" s="80" t="s">
        <v>14</v>
      </c>
      <c r="AG192" s="80" t="s">
        <v>14</v>
      </c>
      <c r="AH192" s="80" t="s">
        <v>14</v>
      </c>
      <c r="AI192" s="80" t="s">
        <v>14</v>
      </c>
      <c r="AJ192" s="80" t="s">
        <v>14</v>
      </c>
      <c r="AK192" s="77" t="s">
        <v>13</v>
      </c>
      <c r="AL192" s="106">
        <f t="shared" si="10"/>
        <v>1</v>
      </c>
      <c r="AM192" s="106">
        <f t="shared" si="11"/>
        <v>16</v>
      </c>
      <c r="AN192" s="106">
        <f t="shared" si="12"/>
        <v>0</v>
      </c>
      <c r="AO192" s="106">
        <f t="shared" si="13"/>
        <v>17</v>
      </c>
      <c r="AP192" s="106">
        <f t="shared" si="14"/>
        <v>7</v>
      </c>
      <c r="AQ192" s="134">
        <v>70</v>
      </c>
      <c r="AR192" s="134">
        <v>1890</v>
      </c>
      <c r="AS192" s="134">
        <v>902</v>
      </c>
      <c r="AT192" s="135">
        <v>47.724867724867728</v>
      </c>
      <c r="AU192" s="106" t="s">
        <v>427</v>
      </c>
      <c r="AV192" s="100"/>
      <c r="AW192" s="100"/>
    </row>
    <row r="193" spans="1:49" x14ac:dyDescent="0.25">
      <c r="A193" s="96">
        <v>193</v>
      </c>
      <c r="B193" s="148">
        <v>2274</v>
      </c>
      <c r="C193" s="32" t="s">
        <v>124</v>
      </c>
      <c r="D193" s="32" t="s">
        <v>74</v>
      </c>
      <c r="E193" s="32" t="s">
        <v>73</v>
      </c>
      <c r="F193" s="32" t="s">
        <v>243</v>
      </c>
      <c r="G193" s="67">
        <v>45537</v>
      </c>
      <c r="H193" s="75" t="s">
        <v>12</v>
      </c>
      <c r="I193" s="75" t="s">
        <v>13</v>
      </c>
      <c r="J193" s="84" t="s">
        <v>390</v>
      </c>
      <c r="K193" s="84" t="s">
        <v>390</v>
      </c>
      <c r="L193" s="84" t="s">
        <v>390</v>
      </c>
      <c r="M193" s="84" t="s">
        <v>390</v>
      </c>
      <c r="N193" s="84" t="s">
        <v>390</v>
      </c>
      <c r="O193" s="84" t="s">
        <v>390</v>
      </c>
      <c r="P193" s="75" t="s">
        <v>13</v>
      </c>
      <c r="Q193" s="84" t="s">
        <v>390</v>
      </c>
      <c r="R193" s="84" t="s">
        <v>390</v>
      </c>
      <c r="S193" s="84" t="s">
        <v>390</v>
      </c>
      <c r="T193" s="84" t="s">
        <v>390</v>
      </c>
      <c r="U193" s="84" t="s">
        <v>390</v>
      </c>
      <c r="V193" s="84" t="s">
        <v>390</v>
      </c>
      <c r="W193" s="75" t="s">
        <v>13</v>
      </c>
      <c r="X193" s="84" t="s">
        <v>390</v>
      </c>
      <c r="Y193" s="84" t="s">
        <v>390</v>
      </c>
      <c r="Z193" s="84" t="s">
        <v>390</v>
      </c>
      <c r="AA193" s="84" t="s">
        <v>390</v>
      </c>
      <c r="AB193" s="84" t="s">
        <v>390</v>
      </c>
      <c r="AC193" s="84" t="s">
        <v>390</v>
      </c>
      <c r="AD193" s="75" t="s">
        <v>13</v>
      </c>
      <c r="AE193" s="84" t="s">
        <v>390</v>
      </c>
      <c r="AF193" s="84" t="s">
        <v>390</v>
      </c>
      <c r="AG193" s="84" t="s">
        <v>390</v>
      </c>
      <c r="AH193" s="84" t="s">
        <v>390</v>
      </c>
      <c r="AI193" s="84" t="s">
        <v>390</v>
      </c>
      <c r="AJ193" s="84" t="s">
        <v>390</v>
      </c>
      <c r="AK193" s="75" t="s">
        <v>13</v>
      </c>
      <c r="AL193" s="106">
        <f t="shared" ref="AL193:AL255" si="15">COUNTIF(H193:AK193,"P")</f>
        <v>24</v>
      </c>
      <c r="AM193" s="106">
        <f t="shared" ref="AM193:AM255" si="16">COUNTIF(H193:AK193,"WFH")</f>
        <v>0</v>
      </c>
      <c r="AN193" s="106">
        <f t="shared" ref="AN193:AN255" si="17">COUNTIF(H193:AK193,"HD")/2</f>
        <v>0</v>
      </c>
      <c r="AO193" s="106">
        <f t="shared" ref="AO193:AO255" si="18">AL193+AM193+AN193</f>
        <v>24</v>
      </c>
      <c r="AP193" s="106">
        <f t="shared" ref="AP193:AP255" si="19">COUNTIF(H193:AK193,"A")+AN193</f>
        <v>0</v>
      </c>
      <c r="AQ193" s="134"/>
      <c r="AR193" s="134"/>
      <c r="AS193" s="134"/>
      <c r="AT193" s="135"/>
      <c r="AU193" s="106" t="s">
        <v>427</v>
      </c>
      <c r="AV193" s="100"/>
      <c r="AW193" s="100"/>
    </row>
    <row r="194" spans="1:49" x14ac:dyDescent="0.25">
      <c r="A194" s="96">
        <v>194</v>
      </c>
      <c r="B194" s="152">
        <v>2277</v>
      </c>
      <c r="C194" s="50" t="s">
        <v>244</v>
      </c>
      <c r="D194" s="50" t="s">
        <v>19</v>
      </c>
      <c r="E194" s="50" t="s">
        <v>9</v>
      </c>
      <c r="F194" s="50" t="s">
        <v>107</v>
      </c>
      <c r="G194" s="71">
        <v>45540</v>
      </c>
      <c r="H194" s="77" t="s">
        <v>389</v>
      </c>
      <c r="I194" s="77" t="s">
        <v>13</v>
      </c>
      <c r="J194" s="80" t="s">
        <v>14</v>
      </c>
      <c r="K194" s="80" t="s">
        <v>14</v>
      </c>
      <c r="L194" s="80" t="s">
        <v>14</v>
      </c>
      <c r="M194" s="80" t="s">
        <v>14</v>
      </c>
      <c r="N194" s="78" t="s">
        <v>390</v>
      </c>
      <c r="O194" s="78" t="s">
        <v>390</v>
      </c>
      <c r="P194" s="77" t="s">
        <v>13</v>
      </c>
      <c r="Q194" s="78" t="s">
        <v>390</v>
      </c>
      <c r="R194" s="78" t="s">
        <v>390</v>
      </c>
      <c r="S194" s="78" t="s">
        <v>390</v>
      </c>
      <c r="T194" s="78" t="s">
        <v>390</v>
      </c>
      <c r="U194" s="78" t="s">
        <v>390</v>
      </c>
      <c r="V194" s="78" t="s">
        <v>390</v>
      </c>
      <c r="W194" s="77" t="s">
        <v>13</v>
      </c>
      <c r="X194" s="78" t="s">
        <v>390</v>
      </c>
      <c r="Y194" s="78" t="s">
        <v>390</v>
      </c>
      <c r="Z194" s="78" t="s">
        <v>390</v>
      </c>
      <c r="AA194" s="78" t="s">
        <v>390</v>
      </c>
      <c r="AB194" s="78" t="s">
        <v>390</v>
      </c>
      <c r="AC194" s="79" t="s">
        <v>391</v>
      </c>
      <c r="AD194" s="77" t="s">
        <v>13</v>
      </c>
      <c r="AE194" s="78" t="s">
        <v>390</v>
      </c>
      <c r="AF194" s="78" t="s">
        <v>390</v>
      </c>
      <c r="AG194" s="78" t="s">
        <v>390</v>
      </c>
      <c r="AH194" s="78" t="s">
        <v>390</v>
      </c>
      <c r="AI194" s="78" t="s">
        <v>390</v>
      </c>
      <c r="AJ194" s="78" t="s">
        <v>390</v>
      </c>
      <c r="AK194" s="77" t="s">
        <v>13</v>
      </c>
      <c r="AL194" s="106">
        <f t="shared" si="15"/>
        <v>19</v>
      </c>
      <c r="AM194" s="106">
        <f t="shared" si="16"/>
        <v>0</v>
      </c>
      <c r="AN194" s="106">
        <f t="shared" si="17"/>
        <v>0</v>
      </c>
      <c r="AO194" s="106">
        <f t="shared" si="18"/>
        <v>19</v>
      </c>
      <c r="AP194" s="106">
        <f t="shared" si="19"/>
        <v>4</v>
      </c>
      <c r="AQ194" s="134">
        <v>50</v>
      </c>
      <c r="AR194" s="134">
        <v>1300</v>
      </c>
      <c r="AS194" s="134">
        <v>358</v>
      </c>
      <c r="AT194" s="135">
        <v>27.53846153846154</v>
      </c>
      <c r="AU194" s="113" t="s">
        <v>393</v>
      </c>
      <c r="AV194" s="110" t="s">
        <v>401</v>
      </c>
      <c r="AW194" s="100"/>
    </row>
    <row r="195" spans="1:49" x14ac:dyDescent="0.25">
      <c r="A195" s="96">
        <v>195</v>
      </c>
      <c r="B195" s="148">
        <v>2279</v>
      </c>
      <c r="C195" s="32" t="s">
        <v>245</v>
      </c>
      <c r="D195" s="32" t="s">
        <v>80</v>
      </c>
      <c r="E195" s="32" t="s">
        <v>85</v>
      </c>
      <c r="F195" s="32" t="s">
        <v>107</v>
      </c>
      <c r="G195" s="67">
        <v>45544</v>
      </c>
      <c r="H195" s="75" t="s">
        <v>12</v>
      </c>
      <c r="I195" s="75" t="s">
        <v>13</v>
      </c>
      <c r="J195" s="76" t="s">
        <v>378</v>
      </c>
      <c r="K195" s="76" t="s">
        <v>378</v>
      </c>
      <c r="L195" s="76" t="s">
        <v>378</v>
      </c>
      <c r="M195" s="76" t="s">
        <v>378</v>
      </c>
      <c r="N195" s="76" t="s">
        <v>378</v>
      </c>
      <c r="O195" s="82" t="s">
        <v>391</v>
      </c>
      <c r="P195" s="75" t="s">
        <v>13</v>
      </c>
      <c r="Q195" s="76" t="s">
        <v>378</v>
      </c>
      <c r="R195" s="76" t="s">
        <v>378</v>
      </c>
      <c r="S195" s="76" t="s">
        <v>378</v>
      </c>
      <c r="T195" s="76" t="s">
        <v>378</v>
      </c>
      <c r="U195" s="76" t="s">
        <v>378</v>
      </c>
      <c r="V195" s="76" t="s">
        <v>378</v>
      </c>
      <c r="W195" s="75" t="s">
        <v>13</v>
      </c>
      <c r="X195" s="76" t="s">
        <v>378</v>
      </c>
      <c r="Y195" s="76" t="s">
        <v>378</v>
      </c>
      <c r="Z195" s="76" t="s">
        <v>378</v>
      </c>
      <c r="AA195" s="76" t="s">
        <v>378</v>
      </c>
      <c r="AB195" s="76" t="s">
        <v>378</v>
      </c>
      <c r="AC195" s="76" t="s">
        <v>378</v>
      </c>
      <c r="AD195" s="75" t="s">
        <v>13</v>
      </c>
      <c r="AE195" s="76" t="s">
        <v>378</v>
      </c>
      <c r="AF195" s="76" t="s">
        <v>378</v>
      </c>
      <c r="AG195" s="76" t="s">
        <v>378</v>
      </c>
      <c r="AH195" s="76" t="s">
        <v>378</v>
      </c>
      <c r="AI195" s="76" t="s">
        <v>378</v>
      </c>
      <c r="AJ195" s="76" t="s">
        <v>378</v>
      </c>
      <c r="AK195" s="75" t="s">
        <v>13</v>
      </c>
      <c r="AL195" s="106">
        <f t="shared" si="15"/>
        <v>0</v>
      </c>
      <c r="AM195" s="106">
        <f t="shared" si="16"/>
        <v>23</v>
      </c>
      <c r="AN195" s="106">
        <f t="shared" si="17"/>
        <v>0</v>
      </c>
      <c r="AO195" s="106">
        <f t="shared" si="18"/>
        <v>23</v>
      </c>
      <c r="AP195" s="106">
        <f t="shared" si="19"/>
        <v>0</v>
      </c>
      <c r="AQ195" s="134">
        <v>50</v>
      </c>
      <c r="AR195" s="134">
        <v>1450</v>
      </c>
      <c r="AS195" s="134">
        <v>78</v>
      </c>
      <c r="AT195" s="135">
        <v>5.3793103448275863</v>
      </c>
      <c r="AU195" s="106" t="s">
        <v>427</v>
      </c>
      <c r="AV195" s="100"/>
      <c r="AW195" s="100"/>
    </row>
    <row r="196" spans="1:49" x14ac:dyDescent="0.25">
      <c r="A196" s="96">
        <v>196</v>
      </c>
      <c r="B196" s="148">
        <v>2283</v>
      </c>
      <c r="C196" s="32" t="s">
        <v>246</v>
      </c>
      <c r="D196" s="32" t="s">
        <v>114</v>
      </c>
      <c r="E196" s="32" t="s">
        <v>115</v>
      </c>
      <c r="F196" s="32" t="s">
        <v>107</v>
      </c>
      <c r="G196" s="60">
        <v>45553</v>
      </c>
      <c r="H196" s="75" t="s">
        <v>12</v>
      </c>
      <c r="I196" s="75" t="s">
        <v>13</v>
      </c>
      <c r="J196" s="84" t="s">
        <v>390</v>
      </c>
      <c r="K196" s="84" t="s">
        <v>390</v>
      </c>
      <c r="L196" s="84" t="s">
        <v>390</v>
      </c>
      <c r="M196" s="84" t="s">
        <v>390</v>
      </c>
      <c r="N196" s="84" t="s">
        <v>390</v>
      </c>
      <c r="O196" s="84" t="s">
        <v>390</v>
      </c>
      <c r="P196" s="75" t="s">
        <v>13</v>
      </c>
      <c r="Q196" s="84" t="s">
        <v>390</v>
      </c>
      <c r="R196" s="84" t="s">
        <v>390</v>
      </c>
      <c r="S196" s="84" t="s">
        <v>390</v>
      </c>
      <c r="T196" s="84" t="s">
        <v>390</v>
      </c>
      <c r="U196" s="83" t="s">
        <v>14</v>
      </c>
      <c r="V196" s="82" t="s">
        <v>391</v>
      </c>
      <c r="W196" s="75" t="s">
        <v>13</v>
      </c>
      <c r="X196" s="76" t="s">
        <v>378</v>
      </c>
      <c r="Y196" s="76" t="s">
        <v>378</v>
      </c>
      <c r="Z196" s="76" t="s">
        <v>378</v>
      </c>
      <c r="AA196" s="76" t="s">
        <v>378</v>
      </c>
      <c r="AB196" s="83" t="s">
        <v>14</v>
      </c>
      <c r="AC196" s="83" t="s">
        <v>14</v>
      </c>
      <c r="AD196" s="75" t="s">
        <v>13</v>
      </c>
      <c r="AE196" s="76" t="s">
        <v>378</v>
      </c>
      <c r="AF196" s="76" t="s">
        <v>378</v>
      </c>
      <c r="AG196" s="76" t="s">
        <v>378</v>
      </c>
      <c r="AH196" s="76" t="s">
        <v>378</v>
      </c>
      <c r="AI196" s="76" t="s">
        <v>378</v>
      </c>
      <c r="AJ196" s="84" t="s">
        <v>390</v>
      </c>
      <c r="AK196" s="75" t="s">
        <v>13</v>
      </c>
      <c r="AL196" s="106">
        <f t="shared" si="15"/>
        <v>11</v>
      </c>
      <c r="AM196" s="106">
        <f t="shared" si="16"/>
        <v>9</v>
      </c>
      <c r="AN196" s="106">
        <f t="shared" si="17"/>
        <v>0</v>
      </c>
      <c r="AO196" s="106">
        <f t="shared" si="18"/>
        <v>20</v>
      </c>
      <c r="AP196" s="106">
        <f t="shared" si="19"/>
        <v>3</v>
      </c>
      <c r="AQ196" s="134"/>
      <c r="AR196" s="134"/>
      <c r="AS196" s="134"/>
      <c r="AT196" s="135"/>
      <c r="AU196" s="106" t="s">
        <v>427</v>
      </c>
      <c r="AV196" s="100"/>
      <c r="AW196" s="100"/>
    </row>
    <row r="197" spans="1:49" x14ac:dyDescent="0.25">
      <c r="A197" s="96">
        <v>197</v>
      </c>
      <c r="B197" s="148">
        <v>2284</v>
      </c>
      <c r="C197" s="32" t="s">
        <v>247</v>
      </c>
      <c r="D197" s="32" t="s">
        <v>19</v>
      </c>
      <c r="E197" s="32" t="s">
        <v>9</v>
      </c>
      <c r="F197" s="32" t="s">
        <v>107</v>
      </c>
      <c r="G197" s="60">
        <v>45483</v>
      </c>
      <c r="H197" s="77" t="s">
        <v>389</v>
      </c>
      <c r="I197" s="77" t="s">
        <v>13</v>
      </c>
      <c r="J197" s="78" t="s">
        <v>390</v>
      </c>
      <c r="K197" s="78" t="s">
        <v>390</v>
      </c>
      <c r="L197" s="78" t="s">
        <v>390</v>
      </c>
      <c r="M197" s="78" t="s">
        <v>390</v>
      </c>
      <c r="N197" s="78" t="s">
        <v>390</v>
      </c>
      <c r="O197" s="78" t="s">
        <v>390</v>
      </c>
      <c r="P197" s="77" t="s">
        <v>13</v>
      </c>
      <c r="Q197" s="78" t="s">
        <v>390</v>
      </c>
      <c r="R197" s="78" t="s">
        <v>390</v>
      </c>
      <c r="S197" s="78" t="s">
        <v>390</v>
      </c>
      <c r="T197" s="78" t="s">
        <v>390</v>
      </c>
      <c r="U197" s="78" t="s">
        <v>390</v>
      </c>
      <c r="V197" s="136" t="s">
        <v>390</v>
      </c>
      <c r="W197" s="86" t="s">
        <v>14</v>
      </c>
      <c r="X197" s="86" t="s">
        <v>14</v>
      </c>
      <c r="Y197" s="86" t="s">
        <v>14</v>
      </c>
      <c r="Z197" s="86" t="s">
        <v>14</v>
      </c>
      <c r="AA197" s="86" t="s">
        <v>14</v>
      </c>
      <c r="AB197" s="86" t="s">
        <v>14</v>
      </c>
      <c r="AC197" s="86" t="s">
        <v>14</v>
      </c>
      <c r="AD197" s="86" t="s">
        <v>14</v>
      </c>
      <c r="AE197" s="86" t="s">
        <v>14</v>
      </c>
      <c r="AF197" s="86" t="s">
        <v>14</v>
      </c>
      <c r="AG197" s="86" t="s">
        <v>14</v>
      </c>
      <c r="AH197" s="86" t="s">
        <v>14</v>
      </c>
      <c r="AI197" s="86" t="s">
        <v>14</v>
      </c>
      <c r="AJ197" s="86" t="s">
        <v>14</v>
      </c>
      <c r="AK197" s="86" t="s">
        <v>14</v>
      </c>
      <c r="AL197" s="106">
        <f t="shared" si="15"/>
        <v>12</v>
      </c>
      <c r="AM197" s="106">
        <f t="shared" si="16"/>
        <v>0</v>
      </c>
      <c r="AN197" s="106">
        <f t="shared" si="17"/>
        <v>0</v>
      </c>
      <c r="AO197" s="106">
        <f t="shared" si="18"/>
        <v>12</v>
      </c>
      <c r="AP197" s="106">
        <f t="shared" si="19"/>
        <v>15</v>
      </c>
      <c r="AQ197" s="134"/>
      <c r="AR197" s="134"/>
      <c r="AS197" s="134"/>
      <c r="AT197" s="135"/>
      <c r="AU197" s="113" t="s">
        <v>393</v>
      </c>
      <c r="AV197" s="111" t="s">
        <v>397</v>
      </c>
      <c r="AW197" s="100"/>
    </row>
    <row r="198" spans="1:49" x14ac:dyDescent="0.25">
      <c r="A198" s="96">
        <v>198</v>
      </c>
      <c r="B198" s="148">
        <v>2285</v>
      </c>
      <c r="C198" s="32" t="s">
        <v>248</v>
      </c>
      <c r="D198" s="32" t="s">
        <v>77</v>
      </c>
      <c r="E198" s="32" t="s">
        <v>130</v>
      </c>
      <c r="F198" s="32" t="s">
        <v>107</v>
      </c>
      <c r="G198" s="60">
        <v>45554</v>
      </c>
      <c r="H198" s="75" t="s">
        <v>12</v>
      </c>
      <c r="I198" s="75" t="s">
        <v>13</v>
      </c>
      <c r="J198" s="80" t="s">
        <v>14</v>
      </c>
      <c r="K198" s="84" t="s">
        <v>390</v>
      </c>
      <c r="L198" s="84" t="s">
        <v>390</v>
      </c>
      <c r="M198" s="84" t="s">
        <v>390</v>
      </c>
      <c r="N198" s="84" t="s">
        <v>390</v>
      </c>
      <c r="O198" s="84" t="s">
        <v>390</v>
      </c>
      <c r="P198" s="75" t="s">
        <v>13</v>
      </c>
      <c r="Q198" s="84" t="s">
        <v>390</v>
      </c>
      <c r="R198" s="84" t="s">
        <v>390</v>
      </c>
      <c r="S198" s="84" t="s">
        <v>390</v>
      </c>
      <c r="T198" s="84" t="s">
        <v>390</v>
      </c>
      <c r="U198" s="84" t="s">
        <v>390</v>
      </c>
      <c r="V198" s="82" t="s">
        <v>391</v>
      </c>
      <c r="W198" s="75" t="s">
        <v>13</v>
      </c>
      <c r="X198" s="83" t="s">
        <v>14</v>
      </c>
      <c r="Y198" s="83" t="s">
        <v>14</v>
      </c>
      <c r="Z198" s="83" t="s">
        <v>14</v>
      </c>
      <c r="AA198" s="83" t="s">
        <v>14</v>
      </c>
      <c r="AB198" s="83" t="s">
        <v>14</v>
      </c>
      <c r="AC198" s="83" t="s">
        <v>14</v>
      </c>
      <c r="AD198" s="75" t="s">
        <v>13</v>
      </c>
      <c r="AE198" s="84" t="s">
        <v>390</v>
      </c>
      <c r="AF198" s="84" t="s">
        <v>390</v>
      </c>
      <c r="AG198" s="84" t="s">
        <v>390</v>
      </c>
      <c r="AH198" s="84" t="s">
        <v>390</v>
      </c>
      <c r="AI198" s="84" t="s">
        <v>390</v>
      </c>
      <c r="AJ198" s="84" t="s">
        <v>390</v>
      </c>
      <c r="AK198" s="75" t="s">
        <v>13</v>
      </c>
      <c r="AL198" s="106">
        <f t="shared" si="15"/>
        <v>16</v>
      </c>
      <c r="AM198" s="106">
        <f t="shared" si="16"/>
        <v>0</v>
      </c>
      <c r="AN198" s="106">
        <f t="shared" si="17"/>
        <v>0</v>
      </c>
      <c r="AO198" s="106">
        <f t="shared" si="18"/>
        <v>16</v>
      </c>
      <c r="AP198" s="106">
        <f t="shared" si="19"/>
        <v>7</v>
      </c>
      <c r="AQ198" s="134"/>
      <c r="AR198" s="134"/>
      <c r="AS198" s="134"/>
      <c r="AT198" s="135"/>
      <c r="AU198" s="106" t="s">
        <v>427</v>
      </c>
      <c r="AV198" s="112" t="s">
        <v>420</v>
      </c>
      <c r="AW198" s="100"/>
    </row>
    <row r="199" spans="1:49" x14ac:dyDescent="0.25">
      <c r="A199" s="96">
        <v>199</v>
      </c>
      <c r="B199" s="148">
        <v>2288</v>
      </c>
      <c r="C199" s="32" t="s">
        <v>249</v>
      </c>
      <c r="D199" s="32" t="s">
        <v>92</v>
      </c>
      <c r="E199" s="32" t="s">
        <v>39</v>
      </c>
      <c r="F199" s="32" t="s">
        <v>107</v>
      </c>
      <c r="G199" s="60">
        <v>45560</v>
      </c>
      <c r="H199" s="77" t="s">
        <v>389</v>
      </c>
      <c r="I199" s="77" t="s">
        <v>13</v>
      </c>
      <c r="J199" s="78" t="s">
        <v>390</v>
      </c>
      <c r="K199" s="78" t="s">
        <v>390</v>
      </c>
      <c r="L199" s="78" t="s">
        <v>390</v>
      </c>
      <c r="M199" s="78" t="s">
        <v>390</v>
      </c>
      <c r="N199" s="78" t="s">
        <v>390</v>
      </c>
      <c r="O199" s="79" t="s">
        <v>391</v>
      </c>
      <c r="P199" s="77" t="s">
        <v>13</v>
      </c>
      <c r="Q199" s="78" t="s">
        <v>390</v>
      </c>
      <c r="R199" s="78" t="s">
        <v>390</v>
      </c>
      <c r="S199" s="78" t="s">
        <v>390</v>
      </c>
      <c r="T199" s="78" t="s">
        <v>390</v>
      </c>
      <c r="U199" s="78" t="s">
        <v>390</v>
      </c>
      <c r="V199" s="78" t="s">
        <v>390</v>
      </c>
      <c r="W199" s="77" t="s">
        <v>13</v>
      </c>
      <c r="X199" s="78" t="s">
        <v>390</v>
      </c>
      <c r="Y199" s="78" t="s">
        <v>390</v>
      </c>
      <c r="Z199" s="78" t="s">
        <v>390</v>
      </c>
      <c r="AA199" s="80" t="s">
        <v>14</v>
      </c>
      <c r="AB199" s="78" t="s">
        <v>390</v>
      </c>
      <c r="AC199" s="78" t="s">
        <v>390</v>
      </c>
      <c r="AD199" s="77" t="s">
        <v>13</v>
      </c>
      <c r="AE199" s="78" t="s">
        <v>390</v>
      </c>
      <c r="AF199" s="78" t="s">
        <v>390</v>
      </c>
      <c r="AG199" s="78" t="s">
        <v>390</v>
      </c>
      <c r="AH199" s="78" t="s">
        <v>390</v>
      </c>
      <c r="AI199" s="78" t="s">
        <v>390</v>
      </c>
      <c r="AJ199" s="78" t="s">
        <v>390</v>
      </c>
      <c r="AK199" s="77" t="s">
        <v>13</v>
      </c>
      <c r="AL199" s="106">
        <f t="shared" si="15"/>
        <v>22</v>
      </c>
      <c r="AM199" s="106">
        <f t="shared" si="16"/>
        <v>0</v>
      </c>
      <c r="AN199" s="106">
        <f t="shared" si="17"/>
        <v>0</v>
      </c>
      <c r="AO199" s="106">
        <f t="shared" si="18"/>
        <v>22</v>
      </c>
      <c r="AP199" s="106">
        <f t="shared" si="19"/>
        <v>1</v>
      </c>
      <c r="AQ199" s="134">
        <v>50</v>
      </c>
      <c r="AR199" s="134">
        <v>1350</v>
      </c>
      <c r="AS199" s="134">
        <v>338</v>
      </c>
      <c r="AT199" s="135">
        <v>25.037037037037035</v>
      </c>
      <c r="AU199" s="106" t="s">
        <v>427</v>
      </c>
      <c r="AV199" s="100"/>
      <c r="AW199" s="100"/>
    </row>
    <row r="200" spans="1:49" x14ac:dyDescent="0.25">
      <c r="A200" s="96">
        <v>200</v>
      </c>
      <c r="B200" s="148">
        <v>2290</v>
      </c>
      <c r="C200" s="32" t="s">
        <v>28</v>
      </c>
      <c r="D200" s="32" t="s">
        <v>80</v>
      </c>
      <c r="E200" s="32" t="s">
        <v>109</v>
      </c>
      <c r="F200" s="32" t="s">
        <v>86</v>
      </c>
      <c r="G200" s="67">
        <v>45566</v>
      </c>
      <c r="H200" s="75" t="s">
        <v>12</v>
      </c>
      <c r="I200" s="75" t="s">
        <v>13</v>
      </c>
      <c r="J200" s="84" t="s">
        <v>390</v>
      </c>
      <c r="K200" s="84" t="s">
        <v>390</v>
      </c>
      <c r="L200" s="84" t="s">
        <v>390</v>
      </c>
      <c r="M200" s="84" t="s">
        <v>390</v>
      </c>
      <c r="N200" s="84" t="s">
        <v>390</v>
      </c>
      <c r="O200" s="84" t="s">
        <v>390</v>
      </c>
      <c r="P200" s="75" t="s">
        <v>13</v>
      </c>
      <c r="Q200" s="84" t="s">
        <v>390</v>
      </c>
      <c r="R200" s="84" t="s">
        <v>390</v>
      </c>
      <c r="S200" s="84" t="s">
        <v>390</v>
      </c>
      <c r="T200" s="84" t="s">
        <v>390</v>
      </c>
      <c r="U200" s="84" t="s">
        <v>390</v>
      </c>
      <c r="V200" s="76" t="s">
        <v>378</v>
      </c>
      <c r="W200" s="75" t="s">
        <v>13</v>
      </c>
      <c r="X200" s="84" t="s">
        <v>390</v>
      </c>
      <c r="Y200" s="84" t="s">
        <v>390</v>
      </c>
      <c r="Z200" s="84" t="s">
        <v>390</v>
      </c>
      <c r="AA200" s="84" t="s">
        <v>390</v>
      </c>
      <c r="AB200" s="84" t="s">
        <v>390</v>
      </c>
      <c r="AC200" s="76" t="s">
        <v>378</v>
      </c>
      <c r="AD200" s="75" t="s">
        <v>13</v>
      </c>
      <c r="AE200" s="84" t="s">
        <v>390</v>
      </c>
      <c r="AF200" s="84" t="s">
        <v>390</v>
      </c>
      <c r="AG200" s="84" t="s">
        <v>390</v>
      </c>
      <c r="AH200" s="84" t="s">
        <v>390</v>
      </c>
      <c r="AI200" s="84" t="s">
        <v>390</v>
      </c>
      <c r="AJ200" s="138" t="s">
        <v>390</v>
      </c>
      <c r="AK200" s="76" t="s">
        <v>378</v>
      </c>
      <c r="AL200" s="106">
        <f t="shared" si="15"/>
        <v>22</v>
      </c>
      <c r="AM200" s="106">
        <f t="shared" si="16"/>
        <v>3</v>
      </c>
      <c r="AN200" s="106">
        <f t="shared" si="17"/>
        <v>0</v>
      </c>
      <c r="AO200" s="106">
        <f t="shared" si="18"/>
        <v>25</v>
      </c>
      <c r="AP200" s="106">
        <f t="shared" si="19"/>
        <v>0</v>
      </c>
      <c r="AQ200" s="134">
        <v>50</v>
      </c>
      <c r="AR200" s="134">
        <v>1450</v>
      </c>
      <c r="AS200" s="134">
        <v>24</v>
      </c>
      <c r="AT200" s="135">
        <v>1.6551724137931034</v>
      </c>
      <c r="AU200" s="106" t="s">
        <v>427</v>
      </c>
      <c r="AV200" s="100"/>
      <c r="AW200" s="100"/>
    </row>
    <row r="201" spans="1:49" x14ac:dyDescent="0.25">
      <c r="A201" s="96">
        <v>201</v>
      </c>
      <c r="B201" s="148">
        <v>2294</v>
      </c>
      <c r="C201" s="32" t="s">
        <v>250</v>
      </c>
      <c r="D201" s="32" t="s">
        <v>88</v>
      </c>
      <c r="E201" s="32" t="s">
        <v>39</v>
      </c>
      <c r="F201" s="32" t="s">
        <v>107</v>
      </c>
      <c r="G201" s="67">
        <v>45569</v>
      </c>
      <c r="H201" s="77" t="s">
        <v>389</v>
      </c>
      <c r="I201" s="77" t="s">
        <v>13</v>
      </c>
      <c r="J201" s="80" t="s">
        <v>14</v>
      </c>
      <c r="K201" s="80" t="s">
        <v>14</v>
      </c>
      <c r="L201" s="78" t="s">
        <v>390</v>
      </c>
      <c r="M201" s="78" t="s">
        <v>390</v>
      </c>
      <c r="N201" s="78" t="s">
        <v>390</v>
      </c>
      <c r="O201" s="78" t="s">
        <v>390</v>
      </c>
      <c r="P201" s="77" t="s">
        <v>13</v>
      </c>
      <c r="Q201" s="78" t="s">
        <v>390</v>
      </c>
      <c r="R201" s="78" t="s">
        <v>390</v>
      </c>
      <c r="S201" s="78" t="s">
        <v>390</v>
      </c>
      <c r="T201" s="78" t="s">
        <v>390</v>
      </c>
      <c r="U201" s="78" t="s">
        <v>390</v>
      </c>
      <c r="V201" s="79" t="s">
        <v>391</v>
      </c>
      <c r="W201" s="77" t="s">
        <v>13</v>
      </c>
      <c r="X201" s="78" t="s">
        <v>390</v>
      </c>
      <c r="Y201" s="78" t="s">
        <v>390</v>
      </c>
      <c r="Z201" s="78" t="s">
        <v>390</v>
      </c>
      <c r="AA201" s="78" t="s">
        <v>390</v>
      </c>
      <c r="AB201" s="78" t="s">
        <v>390</v>
      </c>
      <c r="AC201" s="78" t="s">
        <v>390</v>
      </c>
      <c r="AD201" s="77" t="s">
        <v>13</v>
      </c>
      <c r="AE201" s="78" t="s">
        <v>390</v>
      </c>
      <c r="AF201" s="78" t="s">
        <v>390</v>
      </c>
      <c r="AG201" s="78" t="s">
        <v>390</v>
      </c>
      <c r="AH201" s="78" t="s">
        <v>390</v>
      </c>
      <c r="AI201" s="78" t="s">
        <v>390</v>
      </c>
      <c r="AJ201" s="78" t="s">
        <v>390</v>
      </c>
      <c r="AK201" s="77" t="s">
        <v>13</v>
      </c>
      <c r="AL201" s="106">
        <f t="shared" si="15"/>
        <v>21</v>
      </c>
      <c r="AM201" s="106">
        <f t="shared" si="16"/>
        <v>0</v>
      </c>
      <c r="AN201" s="106">
        <f t="shared" si="17"/>
        <v>0</v>
      </c>
      <c r="AO201" s="106">
        <f t="shared" si="18"/>
        <v>21</v>
      </c>
      <c r="AP201" s="106">
        <f t="shared" si="19"/>
        <v>2</v>
      </c>
      <c r="AQ201" s="134">
        <v>50</v>
      </c>
      <c r="AR201" s="134">
        <v>1450</v>
      </c>
      <c r="AS201" s="134">
        <v>2</v>
      </c>
      <c r="AT201" s="135">
        <v>0.13793103448275862</v>
      </c>
      <c r="AU201" s="106" t="s">
        <v>427</v>
      </c>
      <c r="AV201" s="100"/>
      <c r="AW201" s="100"/>
    </row>
    <row r="202" spans="1:49" x14ac:dyDescent="0.25">
      <c r="A202" s="96">
        <v>202</v>
      </c>
      <c r="B202" s="148">
        <v>2296</v>
      </c>
      <c r="C202" s="32" t="s">
        <v>251</v>
      </c>
      <c r="D202" s="32" t="s">
        <v>19</v>
      </c>
      <c r="E202" s="32" t="s">
        <v>24</v>
      </c>
      <c r="F202" s="32" t="s">
        <v>107</v>
      </c>
      <c r="G202" s="67">
        <v>45511</v>
      </c>
      <c r="H202" s="77" t="s">
        <v>389</v>
      </c>
      <c r="I202" s="77" t="s">
        <v>13</v>
      </c>
      <c r="J202" s="78" t="s">
        <v>390</v>
      </c>
      <c r="K202" s="78" t="s">
        <v>390</v>
      </c>
      <c r="L202" s="78" t="s">
        <v>390</v>
      </c>
      <c r="M202" s="78" t="s">
        <v>390</v>
      </c>
      <c r="N202" s="78" t="s">
        <v>390</v>
      </c>
      <c r="O202" s="78" t="s">
        <v>390</v>
      </c>
      <c r="P202" s="77" t="s">
        <v>13</v>
      </c>
      <c r="Q202" s="78" t="s">
        <v>390</v>
      </c>
      <c r="R202" s="78" t="s">
        <v>390</v>
      </c>
      <c r="S202" s="78" t="s">
        <v>390</v>
      </c>
      <c r="T202" s="78" t="s">
        <v>390</v>
      </c>
      <c r="U202" s="78" t="s">
        <v>390</v>
      </c>
      <c r="V202" s="82" t="s">
        <v>391</v>
      </c>
      <c r="W202" s="77" t="s">
        <v>13</v>
      </c>
      <c r="X202" s="78" t="s">
        <v>390</v>
      </c>
      <c r="Y202" s="78" t="s">
        <v>390</v>
      </c>
      <c r="Z202" s="78" t="s">
        <v>390</v>
      </c>
      <c r="AA202" s="78" t="s">
        <v>390</v>
      </c>
      <c r="AB202" s="78" t="s">
        <v>390</v>
      </c>
      <c r="AC202" s="78" t="s">
        <v>390</v>
      </c>
      <c r="AD202" s="77" t="s">
        <v>13</v>
      </c>
      <c r="AE202" s="78" t="s">
        <v>390</v>
      </c>
      <c r="AF202" s="78" t="s">
        <v>390</v>
      </c>
      <c r="AG202" s="78" t="s">
        <v>390</v>
      </c>
      <c r="AH202" s="78" t="s">
        <v>390</v>
      </c>
      <c r="AI202" s="78" t="s">
        <v>390</v>
      </c>
      <c r="AJ202" s="78" t="s">
        <v>390</v>
      </c>
      <c r="AK202" s="77" t="s">
        <v>13</v>
      </c>
      <c r="AL202" s="106">
        <f t="shared" si="15"/>
        <v>23</v>
      </c>
      <c r="AM202" s="106">
        <f t="shared" si="16"/>
        <v>0</v>
      </c>
      <c r="AN202" s="106">
        <f t="shared" si="17"/>
        <v>0</v>
      </c>
      <c r="AO202" s="106">
        <f t="shared" si="18"/>
        <v>23</v>
      </c>
      <c r="AP202" s="106">
        <f t="shared" si="19"/>
        <v>0</v>
      </c>
      <c r="AQ202" s="134">
        <v>20</v>
      </c>
      <c r="AR202" s="134">
        <v>520</v>
      </c>
      <c r="AS202" s="134">
        <v>401</v>
      </c>
      <c r="AT202" s="135">
        <v>77.115384615384613</v>
      </c>
      <c r="AU202" s="106" t="s">
        <v>427</v>
      </c>
      <c r="AV202" s="100"/>
      <c r="AW202" s="100"/>
    </row>
    <row r="203" spans="1:49" x14ac:dyDescent="0.25">
      <c r="A203" s="96">
        <v>203</v>
      </c>
      <c r="B203" s="148">
        <v>2298</v>
      </c>
      <c r="C203" s="32" t="s">
        <v>252</v>
      </c>
      <c r="D203" s="32" t="s">
        <v>19</v>
      </c>
      <c r="E203" s="30" t="s">
        <v>28</v>
      </c>
      <c r="F203" s="32" t="s">
        <v>107</v>
      </c>
      <c r="G203" s="60">
        <v>45586</v>
      </c>
      <c r="H203" s="77" t="s">
        <v>389</v>
      </c>
      <c r="I203" s="77" t="s">
        <v>13</v>
      </c>
      <c r="J203" s="78" t="s">
        <v>390</v>
      </c>
      <c r="K203" s="78" t="s">
        <v>390</v>
      </c>
      <c r="L203" s="78" t="s">
        <v>390</v>
      </c>
      <c r="M203" s="78" t="s">
        <v>390</v>
      </c>
      <c r="N203" s="78" t="s">
        <v>390</v>
      </c>
      <c r="O203" s="78" t="s">
        <v>390</v>
      </c>
      <c r="P203" s="77" t="s">
        <v>13</v>
      </c>
      <c r="Q203" s="78" t="s">
        <v>390</v>
      </c>
      <c r="R203" s="78" t="s">
        <v>390</v>
      </c>
      <c r="S203" s="78" t="s">
        <v>390</v>
      </c>
      <c r="T203" s="78" t="s">
        <v>390</v>
      </c>
      <c r="U203" s="78" t="s">
        <v>390</v>
      </c>
      <c r="V203" s="78" t="s">
        <v>390</v>
      </c>
      <c r="W203" s="77" t="s">
        <v>13</v>
      </c>
      <c r="X203" s="78" t="s">
        <v>390</v>
      </c>
      <c r="Y203" s="78" t="s">
        <v>390</v>
      </c>
      <c r="Z203" s="78" t="s">
        <v>390</v>
      </c>
      <c r="AA203" s="78" t="s">
        <v>390</v>
      </c>
      <c r="AB203" s="78" t="s">
        <v>390</v>
      </c>
      <c r="AC203" s="79" t="s">
        <v>391</v>
      </c>
      <c r="AD203" s="77" t="s">
        <v>13</v>
      </c>
      <c r="AE203" s="78" t="s">
        <v>390</v>
      </c>
      <c r="AF203" s="89" t="s">
        <v>378</v>
      </c>
      <c r="AG203" s="78" t="s">
        <v>390</v>
      </c>
      <c r="AH203" s="78" t="s">
        <v>390</v>
      </c>
      <c r="AI203" s="78" t="s">
        <v>390</v>
      </c>
      <c r="AJ203" s="78" t="s">
        <v>390</v>
      </c>
      <c r="AK203" s="77" t="s">
        <v>13</v>
      </c>
      <c r="AL203" s="106">
        <f t="shared" si="15"/>
        <v>22</v>
      </c>
      <c r="AM203" s="106">
        <f t="shared" si="16"/>
        <v>1</v>
      </c>
      <c r="AN203" s="106">
        <f t="shared" si="17"/>
        <v>0</v>
      </c>
      <c r="AO203" s="106">
        <f t="shared" si="18"/>
        <v>23</v>
      </c>
      <c r="AP203" s="106">
        <f t="shared" si="19"/>
        <v>0</v>
      </c>
      <c r="AQ203" s="134">
        <v>20</v>
      </c>
      <c r="AR203" s="134">
        <v>520</v>
      </c>
      <c r="AS203" s="134">
        <v>554</v>
      </c>
      <c r="AT203" s="135">
        <v>106.53846153846153</v>
      </c>
      <c r="AU203" s="106" t="s">
        <v>427</v>
      </c>
      <c r="AV203" s="100"/>
      <c r="AW203" s="100"/>
    </row>
    <row r="204" spans="1:49" x14ac:dyDescent="0.25">
      <c r="A204" s="96">
        <v>204</v>
      </c>
      <c r="B204" s="148">
        <v>2299</v>
      </c>
      <c r="C204" s="32" t="s">
        <v>253</v>
      </c>
      <c r="D204" s="32" t="s">
        <v>19</v>
      </c>
      <c r="E204" s="32" t="s">
        <v>45</v>
      </c>
      <c r="F204" s="32" t="s">
        <v>107</v>
      </c>
      <c r="G204" s="60">
        <v>45586</v>
      </c>
      <c r="H204" s="77" t="s">
        <v>389</v>
      </c>
      <c r="I204" s="77" t="s">
        <v>13</v>
      </c>
      <c r="J204" s="78" t="s">
        <v>390</v>
      </c>
      <c r="K204" s="86" t="s">
        <v>14</v>
      </c>
      <c r="L204" s="78" t="s">
        <v>390</v>
      </c>
      <c r="M204" s="78" t="s">
        <v>390</v>
      </c>
      <c r="N204" s="78" t="s">
        <v>390</v>
      </c>
      <c r="O204" s="78" t="s">
        <v>390</v>
      </c>
      <c r="P204" s="77" t="s">
        <v>13</v>
      </c>
      <c r="Q204" s="78" t="s">
        <v>390</v>
      </c>
      <c r="R204" s="78" t="s">
        <v>390</v>
      </c>
      <c r="S204" s="78" t="s">
        <v>390</v>
      </c>
      <c r="T204" s="81" t="s">
        <v>392</v>
      </c>
      <c r="U204" s="80" t="s">
        <v>14</v>
      </c>
      <c r="V204" s="78" t="s">
        <v>390</v>
      </c>
      <c r="W204" s="77" t="s">
        <v>13</v>
      </c>
      <c r="X204" s="78" t="s">
        <v>390</v>
      </c>
      <c r="Y204" s="78" t="s">
        <v>390</v>
      </c>
      <c r="Z204" s="80" t="s">
        <v>14</v>
      </c>
      <c r="AA204" s="78" t="s">
        <v>390</v>
      </c>
      <c r="AB204" s="78" t="s">
        <v>390</v>
      </c>
      <c r="AC204" s="78" t="s">
        <v>390</v>
      </c>
      <c r="AD204" s="77" t="s">
        <v>13</v>
      </c>
      <c r="AE204" s="78" t="s">
        <v>390</v>
      </c>
      <c r="AF204" s="78" t="s">
        <v>390</v>
      </c>
      <c r="AG204" s="79" t="s">
        <v>391</v>
      </c>
      <c r="AH204" s="78" t="s">
        <v>390</v>
      </c>
      <c r="AI204" s="78" t="s">
        <v>390</v>
      </c>
      <c r="AJ204" s="78" t="s">
        <v>390</v>
      </c>
      <c r="AK204" s="77" t="s">
        <v>13</v>
      </c>
      <c r="AL204" s="106">
        <f t="shared" si="15"/>
        <v>19</v>
      </c>
      <c r="AM204" s="106">
        <f t="shared" si="16"/>
        <v>0</v>
      </c>
      <c r="AN204" s="106">
        <f t="shared" si="17"/>
        <v>0.5</v>
      </c>
      <c r="AO204" s="106">
        <f t="shared" si="18"/>
        <v>19.5</v>
      </c>
      <c r="AP204" s="106">
        <f t="shared" si="19"/>
        <v>3.5</v>
      </c>
      <c r="AQ204" s="134">
        <v>18</v>
      </c>
      <c r="AR204" s="134">
        <v>468</v>
      </c>
      <c r="AS204" s="134">
        <v>321</v>
      </c>
      <c r="AT204" s="135">
        <v>68.589743589743591</v>
      </c>
      <c r="AU204" s="106" t="s">
        <v>427</v>
      </c>
      <c r="AV204" s="100"/>
      <c r="AW204" s="100"/>
    </row>
    <row r="205" spans="1:49" x14ac:dyDescent="0.25">
      <c r="A205" s="96">
        <v>205</v>
      </c>
      <c r="B205" s="148">
        <v>2301</v>
      </c>
      <c r="C205" s="32" t="s">
        <v>254</v>
      </c>
      <c r="D205" s="32" t="s">
        <v>44</v>
      </c>
      <c r="E205" s="32" t="s">
        <v>24</v>
      </c>
      <c r="F205" s="32" t="s">
        <v>107</v>
      </c>
      <c r="G205" s="67">
        <v>45506</v>
      </c>
      <c r="H205" s="77" t="s">
        <v>389</v>
      </c>
      <c r="I205" s="77" t="s">
        <v>13</v>
      </c>
      <c r="J205" s="80" t="s">
        <v>14</v>
      </c>
      <c r="K205" s="78" t="s">
        <v>390</v>
      </c>
      <c r="L205" s="78" t="s">
        <v>390</v>
      </c>
      <c r="M205" s="78" t="s">
        <v>390</v>
      </c>
      <c r="N205" s="78" t="s">
        <v>390</v>
      </c>
      <c r="O205" s="82" t="s">
        <v>391</v>
      </c>
      <c r="P205" s="77" t="s">
        <v>13</v>
      </c>
      <c r="Q205" s="85" t="s">
        <v>378</v>
      </c>
      <c r="R205" s="78" t="s">
        <v>390</v>
      </c>
      <c r="S205" s="78" t="s">
        <v>390</v>
      </c>
      <c r="T205" s="78" t="s">
        <v>390</v>
      </c>
      <c r="U205" s="78" t="s">
        <v>390</v>
      </c>
      <c r="V205" s="78" t="s">
        <v>390</v>
      </c>
      <c r="W205" s="77" t="s">
        <v>13</v>
      </c>
      <c r="X205" s="78" t="s">
        <v>390</v>
      </c>
      <c r="Y205" s="81" t="s">
        <v>392</v>
      </c>
      <c r="Z205" s="80" t="s">
        <v>14</v>
      </c>
      <c r="AA205" s="80" t="s">
        <v>14</v>
      </c>
      <c r="AB205" s="80" t="s">
        <v>14</v>
      </c>
      <c r="AC205" s="80" t="s">
        <v>14</v>
      </c>
      <c r="AD205" s="77" t="s">
        <v>13</v>
      </c>
      <c r="AE205" s="85" t="s">
        <v>378</v>
      </c>
      <c r="AF205" s="85" t="s">
        <v>378</v>
      </c>
      <c r="AG205" s="85" t="s">
        <v>378</v>
      </c>
      <c r="AH205" s="85" t="s">
        <v>378</v>
      </c>
      <c r="AI205" s="85" t="s">
        <v>378</v>
      </c>
      <c r="AJ205" s="80" t="s">
        <v>14</v>
      </c>
      <c r="AK205" s="77" t="s">
        <v>13</v>
      </c>
      <c r="AL205" s="106">
        <f t="shared" si="15"/>
        <v>10</v>
      </c>
      <c r="AM205" s="106">
        <f t="shared" si="16"/>
        <v>6</v>
      </c>
      <c r="AN205" s="106">
        <f t="shared" si="17"/>
        <v>0.5</v>
      </c>
      <c r="AO205" s="106">
        <f t="shared" si="18"/>
        <v>16.5</v>
      </c>
      <c r="AP205" s="106">
        <f t="shared" si="19"/>
        <v>6.5</v>
      </c>
      <c r="AQ205" s="134">
        <v>100</v>
      </c>
      <c r="AR205" s="134">
        <v>2900</v>
      </c>
      <c r="AS205" s="134">
        <v>1547</v>
      </c>
      <c r="AT205" s="135">
        <v>53.344827586206897</v>
      </c>
      <c r="AU205" s="106" t="s">
        <v>427</v>
      </c>
      <c r="AV205" s="100"/>
      <c r="AW205" s="100"/>
    </row>
    <row r="206" spans="1:49" x14ac:dyDescent="0.25">
      <c r="A206" s="96">
        <v>206</v>
      </c>
      <c r="B206" s="148">
        <v>2303</v>
      </c>
      <c r="C206" s="32" t="s">
        <v>255</v>
      </c>
      <c r="D206" s="32" t="s">
        <v>44</v>
      </c>
      <c r="E206" s="32" t="s">
        <v>39</v>
      </c>
      <c r="F206" s="32" t="s">
        <v>107</v>
      </c>
      <c r="G206" s="67">
        <v>45507</v>
      </c>
      <c r="H206" s="77" t="s">
        <v>389</v>
      </c>
      <c r="I206" s="77" t="s">
        <v>13</v>
      </c>
      <c r="J206" s="78" t="s">
        <v>390</v>
      </c>
      <c r="K206" s="78" t="s">
        <v>390</v>
      </c>
      <c r="L206" s="78" t="s">
        <v>390</v>
      </c>
      <c r="M206" s="78" t="s">
        <v>390</v>
      </c>
      <c r="N206" s="78" t="s">
        <v>390</v>
      </c>
      <c r="O206" s="79" t="s">
        <v>391</v>
      </c>
      <c r="P206" s="77" t="s">
        <v>13</v>
      </c>
      <c r="Q206" s="80" t="s">
        <v>14</v>
      </c>
      <c r="R206" s="78" t="s">
        <v>390</v>
      </c>
      <c r="S206" s="78" t="s">
        <v>390</v>
      </c>
      <c r="T206" s="80" t="s">
        <v>14</v>
      </c>
      <c r="U206" s="78" t="s">
        <v>390</v>
      </c>
      <c r="V206" s="78" t="s">
        <v>390</v>
      </c>
      <c r="W206" s="77" t="s">
        <v>13</v>
      </c>
      <c r="X206" s="80" t="s">
        <v>14</v>
      </c>
      <c r="Y206" s="78" t="s">
        <v>390</v>
      </c>
      <c r="Z206" s="78" t="s">
        <v>390</v>
      </c>
      <c r="AA206" s="78" t="s">
        <v>390</v>
      </c>
      <c r="AB206" s="78" t="s">
        <v>390</v>
      </c>
      <c r="AC206" s="78" t="s">
        <v>390</v>
      </c>
      <c r="AD206" s="77" t="s">
        <v>13</v>
      </c>
      <c r="AE206" s="78" t="s">
        <v>390</v>
      </c>
      <c r="AF206" s="78" t="s">
        <v>390</v>
      </c>
      <c r="AG206" s="78" t="s">
        <v>390</v>
      </c>
      <c r="AH206" s="78" t="s">
        <v>390</v>
      </c>
      <c r="AI206" s="78" t="s">
        <v>390</v>
      </c>
      <c r="AJ206" s="80" t="s">
        <v>14</v>
      </c>
      <c r="AK206" s="77" t="s">
        <v>13</v>
      </c>
      <c r="AL206" s="106">
        <f t="shared" si="15"/>
        <v>19</v>
      </c>
      <c r="AM206" s="106">
        <f t="shared" si="16"/>
        <v>0</v>
      </c>
      <c r="AN206" s="106">
        <f t="shared" si="17"/>
        <v>0</v>
      </c>
      <c r="AO206" s="106">
        <f t="shared" si="18"/>
        <v>19</v>
      </c>
      <c r="AP206" s="106">
        <f t="shared" si="19"/>
        <v>4</v>
      </c>
      <c r="AQ206" s="134">
        <v>110</v>
      </c>
      <c r="AR206" s="134">
        <v>3190</v>
      </c>
      <c r="AS206" s="134">
        <v>1723</v>
      </c>
      <c r="AT206" s="135">
        <v>54.012539184952978</v>
      </c>
      <c r="AU206" s="106" t="s">
        <v>427</v>
      </c>
      <c r="AV206" s="100"/>
      <c r="AW206" s="100"/>
    </row>
    <row r="207" spans="1:49" x14ac:dyDescent="0.25">
      <c r="A207" s="96">
        <v>207</v>
      </c>
      <c r="B207" s="148">
        <v>2304</v>
      </c>
      <c r="C207" s="32" t="s">
        <v>256</v>
      </c>
      <c r="D207" s="32" t="s">
        <v>8</v>
      </c>
      <c r="E207" s="32" t="s">
        <v>9</v>
      </c>
      <c r="F207" s="32" t="s">
        <v>107</v>
      </c>
      <c r="G207" s="67">
        <v>45509</v>
      </c>
      <c r="H207" s="75" t="s">
        <v>12</v>
      </c>
      <c r="I207" s="75" t="s">
        <v>13</v>
      </c>
      <c r="J207" s="80" t="s">
        <v>14</v>
      </c>
      <c r="K207" s="83" t="s">
        <v>14</v>
      </c>
      <c r="L207" s="83" t="s">
        <v>14</v>
      </c>
      <c r="M207" s="84" t="s">
        <v>390</v>
      </c>
      <c r="N207" s="83" t="s">
        <v>14</v>
      </c>
      <c r="O207" s="83" t="s">
        <v>14</v>
      </c>
      <c r="P207" s="80" t="s">
        <v>14</v>
      </c>
      <c r="Q207" s="83" t="s">
        <v>14</v>
      </c>
      <c r="R207" s="83" t="s">
        <v>14</v>
      </c>
      <c r="S207" s="83" t="s">
        <v>14</v>
      </c>
      <c r="T207" s="83" t="s">
        <v>14</v>
      </c>
      <c r="U207" s="83" t="s">
        <v>14</v>
      </c>
      <c r="V207" s="83" t="s">
        <v>14</v>
      </c>
      <c r="W207" s="80" t="s">
        <v>14</v>
      </c>
      <c r="X207" s="83" t="s">
        <v>14</v>
      </c>
      <c r="Y207" s="83" t="s">
        <v>14</v>
      </c>
      <c r="Z207" s="83" t="s">
        <v>14</v>
      </c>
      <c r="AA207" s="83" t="s">
        <v>14</v>
      </c>
      <c r="AB207" s="83" t="s">
        <v>14</v>
      </c>
      <c r="AC207" s="83" t="s">
        <v>14</v>
      </c>
      <c r="AD207" s="80" t="s">
        <v>14</v>
      </c>
      <c r="AE207" s="83" t="s">
        <v>14</v>
      </c>
      <c r="AF207" s="83" t="s">
        <v>14</v>
      </c>
      <c r="AG207" s="83" t="s">
        <v>14</v>
      </c>
      <c r="AH207" s="83" t="s">
        <v>14</v>
      </c>
      <c r="AI207" s="83" t="s">
        <v>14</v>
      </c>
      <c r="AJ207" s="83" t="s">
        <v>14</v>
      </c>
      <c r="AK207" s="80" t="s">
        <v>14</v>
      </c>
      <c r="AL207" s="106">
        <f t="shared" si="15"/>
        <v>1</v>
      </c>
      <c r="AM207" s="106">
        <f t="shared" si="16"/>
        <v>0</v>
      </c>
      <c r="AN207" s="106">
        <f t="shared" si="17"/>
        <v>0</v>
      </c>
      <c r="AO207" s="106">
        <f t="shared" si="18"/>
        <v>1</v>
      </c>
      <c r="AP207" s="106">
        <f t="shared" si="19"/>
        <v>27</v>
      </c>
      <c r="AQ207" s="134"/>
      <c r="AR207" s="134"/>
      <c r="AS207" s="134"/>
      <c r="AT207" s="135"/>
      <c r="AU207" s="113" t="s">
        <v>393</v>
      </c>
      <c r="AV207" s="110" t="s">
        <v>394</v>
      </c>
      <c r="AW207" s="100"/>
    </row>
    <row r="208" spans="1:49" x14ac:dyDescent="0.25">
      <c r="A208" s="96">
        <v>208</v>
      </c>
      <c r="B208" s="148">
        <v>2305</v>
      </c>
      <c r="C208" s="32" t="s">
        <v>257</v>
      </c>
      <c r="D208" s="32" t="s">
        <v>80</v>
      </c>
      <c r="E208" s="32" t="s">
        <v>109</v>
      </c>
      <c r="F208" s="32" t="s">
        <v>89</v>
      </c>
      <c r="G208" s="60">
        <v>45593</v>
      </c>
      <c r="H208" s="75" t="s">
        <v>12</v>
      </c>
      <c r="I208" s="75" t="s">
        <v>13</v>
      </c>
      <c r="J208" s="84" t="s">
        <v>390</v>
      </c>
      <c r="K208" s="84" t="s">
        <v>390</v>
      </c>
      <c r="L208" s="84" t="s">
        <v>390</v>
      </c>
      <c r="M208" s="84" t="s">
        <v>390</v>
      </c>
      <c r="N208" s="88" t="s">
        <v>392</v>
      </c>
      <c r="O208" s="82" t="s">
        <v>391</v>
      </c>
      <c r="P208" s="75" t="s">
        <v>13</v>
      </c>
      <c r="Q208" s="76" t="s">
        <v>378</v>
      </c>
      <c r="R208" s="76" t="s">
        <v>378</v>
      </c>
      <c r="S208" s="76" t="s">
        <v>378</v>
      </c>
      <c r="T208" s="76" t="s">
        <v>378</v>
      </c>
      <c r="U208" s="84" t="s">
        <v>390</v>
      </c>
      <c r="V208" s="76" t="s">
        <v>378</v>
      </c>
      <c r="W208" s="75" t="s">
        <v>13</v>
      </c>
      <c r="X208" s="84" t="s">
        <v>390</v>
      </c>
      <c r="Y208" s="84" t="s">
        <v>390</v>
      </c>
      <c r="Z208" s="76" t="s">
        <v>378</v>
      </c>
      <c r="AA208" s="84" t="s">
        <v>390</v>
      </c>
      <c r="AB208" s="84" t="s">
        <v>390</v>
      </c>
      <c r="AC208" s="82" t="s">
        <v>391</v>
      </c>
      <c r="AD208" s="75" t="s">
        <v>13</v>
      </c>
      <c r="AE208" s="84" t="s">
        <v>390</v>
      </c>
      <c r="AF208" s="84" t="s">
        <v>390</v>
      </c>
      <c r="AG208" s="84" t="s">
        <v>390</v>
      </c>
      <c r="AH208" s="84" t="s">
        <v>390</v>
      </c>
      <c r="AI208" s="84" t="s">
        <v>390</v>
      </c>
      <c r="AJ208" s="84" t="s">
        <v>390</v>
      </c>
      <c r="AK208" s="75" t="s">
        <v>13</v>
      </c>
      <c r="AL208" s="106">
        <f t="shared" si="15"/>
        <v>15</v>
      </c>
      <c r="AM208" s="106">
        <f t="shared" si="16"/>
        <v>6</v>
      </c>
      <c r="AN208" s="106">
        <f t="shared" si="17"/>
        <v>0.5</v>
      </c>
      <c r="AO208" s="106">
        <f t="shared" si="18"/>
        <v>21.5</v>
      </c>
      <c r="AP208" s="106">
        <f t="shared" si="19"/>
        <v>0.5</v>
      </c>
      <c r="AQ208" s="134"/>
      <c r="AR208" s="134"/>
      <c r="AS208" s="134"/>
      <c r="AT208" s="135"/>
      <c r="AU208" s="106" t="s">
        <v>427</v>
      </c>
      <c r="AV208" s="100"/>
      <c r="AW208" s="100"/>
    </row>
    <row r="209" spans="1:49" x14ac:dyDescent="0.25">
      <c r="A209" s="96">
        <v>209</v>
      </c>
      <c r="B209" s="148">
        <v>2309</v>
      </c>
      <c r="C209" s="32" t="s">
        <v>85</v>
      </c>
      <c r="D209" s="32" t="s">
        <v>258</v>
      </c>
      <c r="E209" s="32" t="s">
        <v>124</v>
      </c>
      <c r="F209" s="32" t="s">
        <v>259</v>
      </c>
      <c r="G209" s="67">
        <v>45629</v>
      </c>
      <c r="H209" s="75" t="s">
        <v>12</v>
      </c>
      <c r="I209" s="75" t="s">
        <v>13</v>
      </c>
      <c r="J209" s="84" t="s">
        <v>390</v>
      </c>
      <c r="K209" s="84" t="s">
        <v>390</v>
      </c>
      <c r="L209" s="84" t="s">
        <v>390</v>
      </c>
      <c r="M209" s="84" t="s">
        <v>390</v>
      </c>
      <c r="N209" s="84" t="s">
        <v>390</v>
      </c>
      <c r="O209" s="82" t="s">
        <v>391</v>
      </c>
      <c r="P209" s="75" t="s">
        <v>13</v>
      </c>
      <c r="Q209" s="76" t="s">
        <v>378</v>
      </c>
      <c r="R209" s="84" t="s">
        <v>390</v>
      </c>
      <c r="S209" s="84" t="s">
        <v>390</v>
      </c>
      <c r="T209" s="84" t="s">
        <v>390</v>
      </c>
      <c r="U209" s="84" t="s">
        <v>390</v>
      </c>
      <c r="V209" s="82" t="s">
        <v>391</v>
      </c>
      <c r="W209" s="75" t="s">
        <v>13</v>
      </c>
      <c r="X209" s="84" t="s">
        <v>390</v>
      </c>
      <c r="Y209" s="84" t="s">
        <v>390</v>
      </c>
      <c r="Z209" s="84" t="s">
        <v>390</v>
      </c>
      <c r="AA209" s="84" t="s">
        <v>390</v>
      </c>
      <c r="AB209" s="84" t="s">
        <v>390</v>
      </c>
      <c r="AC209" s="82" t="s">
        <v>391</v>
      </c>
      <c r="AD209" s="75" t="s">
        <v>13</v>
      </c>
      <c r="AE209" s="84" t="s">
        <v>390</v>
      </c>
      <c r="AF209" s="84" t="s">
        <v>390</v>
      </c>
      <c r="AG209" s="84" t="s">
        <v>390</v>
      </c>
      <c r="AH209" s="84" t="s">
        <v>390</v>
      </c>
      <c r="AI209" s="84" t="s">
        <v>390</v>
      </c>
      <c r="AJ209" s="82" t="s">
        <v>391</v>
      </c>
      <c r="AK209" s="75" t="s">
        <v>13</v>
      </c>
      <c r="AL209" s="106">
        <f t="shared" si="15"/>
        <v>19</v>
      </c>
      <c r="AM209" s="106">
        <f t="shared" si="16"/>
        <v>1</v>
      </c>
      <c r="AN209" s="106">
        <f t="shared" si="17"/>
        <v>0</v>
      </c>
      <c r="AO209" s="106">
        <f t="shared" si="18"/>
        <v>20</v>
      </c>
      <c r="AP209" s="106">
        <f t="shared" si="19"/>
        <v>0</v>
      </c>
      <c r="AQ209" s="134"/>
      <c r="AR209" s="134"/>
      <c r="AS209" s="134"/>
      <c r="AT209" s="135"/>
      <c r="AU209" s="106" t="s">
        <v>427</v>
      </c>
      <c r="AV209" s="100"/>
      <c r="AW209" s="100"/>
    </row>
    <row r="210" spans="1:49" x14ac:dyDescent="0.25">
      <c r="A210" s="96">
        <v>210</v>
      </c>
      <c r="B210" s="148">
        <v>2310</v>
      </c>
      <c r="C210" s="32" t="s">
        <v>260</v>
      </c>
      <c r="D210" s="32" t="s">
        <v>19</v>
      </c>
      <c r="E210" s="32" t="s">
        <v>39</v>
      </c>
      <c r="F210" s="32" t="s">
        <v>107</v>
      </c>
      <c r="G210" s="67">
        <v>45505</v>
      </c>
      <c r="H210" s="77" t="s">
        <v>389</v>
      </c>
      <c r="I210" s="77" t="s">
        <v>13</v>
      </c>
      <c r="J210" s="80" t="s">
        <v>14</v>
      </c>
      <c r="K210" s="78" t="s">
        <v>390</v>
      </c>
      <c r="L210" s="78" t="s">
        <v>390</v>
      </c>
      <c r="M210" s="78" t="s">
        <v>390</v>
      </c>
      <c r="N210" s="78" t="s">
        <v>390</v>
      </c>
      <c r="O210" s="79" t="s">
        <v>391</v>
      </c>
      <c r="P210" s="77" t="s">
        <v>13</v>
      </c>
      <c r="Q210" s="78" t="s">
        <v>390</v>
      </c>
      <c r="R210" s="78" t="s">
        <v>390</v>
      </c>
      <c r="S210" s="78" t="s">
        <v>390</v>
      </c>
      <c r="T210" s="78" t="s">
        <v>390</v>
      </c>
      <c r="U210" s="78" t="s">
        <v>390</v>
      </c>
      <c r="V210" s="78" t="s">
        <v>390</v>
      </c>
      <c r="W210" s="77" t="s">
        <v>13</v>
      </c>
      <c r="X210" s="78" t="s">
        <v>390</v>
      </c>
      <c r="Y210" s="78" t="s">
        <v>390</v>
      </c>
      <c r="Z210" s="80" t="s">
        <v>14</v>
      </c>
      <c r="AA210" s="78" t="s">
        <v>390</v>
      </c>
      <c r="AB210" s="78" t="s">
        <v>390</v>
      </c>
      <c r="AC210" s="136" t="s">
        <v>390</v>
      </c>
      <c r="AD210" s="77" t="s">
        <v>13</v>
      </c>
      <c r="AE210" s="78" t="s">
        <v>390</v>
      </c>
      <c r="AF210" s="78" t="s">
        <v>390</v>
      </c>
      <c r="AG210" s="78" t="s">
        <v>390</v>
      </c>
      <c r="AH210" s="78" t="s">
        <v>390</v>
      </c>
      <c r="AI210" s="78" t="s">
        <v>390</v>
      </c>
      <c r="AJ210" s="80" t="s">
        <v>14</v>
      </c>
      <c r="AK210" s="77" t="s">
        <v>13</v>
      </c>
      <c r="AL210" s="106">
        <f t="shared" si="15"/>
        <v>20</v>
      </c>
      <c r="AM210" s="106">
        <f t="shared" si="16"/>
        <v>0</v>
      </c>
      <c r="AN210" s="106">
        <f t="shared" si="17"/>
        <v>0</v>
      </c>
      <c r="AO210" s="106">
        <f t="shared" si="18"/>
        <v>20</v>
      </c>
      <c r="AP210" s="106">
        <f t="shared" si="19"/>
        <v>3</v>
      </c>
      <c r="AQ210" s="134">
        <v>30</v>
      </c>
      <c r="AR210" s="134">
        <v>780</v>
      </c>
      <c r="AS210" s="134">
        <v>257</v>
      </c>
      <c r="AT210" s="135">
        <v>32.948717948717949</v>
      </c>
      <c r="AU210" s="106" t="s">
        <v>427</v>
      </c>
      <c r="AV210" s="100"/>
      <c r="AW210" s="100"/>
    </row>
    <row r="211" spans="1:49" x14ac:dyDescent="0.25">
      <c r="A211" s="96">
        <v>211</v>
      </c>
      <c r="B211" s="148">
        <v>2312</v>
      </c>
      <c r="C211" s="32" t="s">
        <v>261</v>
      </c>
      <c r="D211" s="32" t="s">
        <v>92</v>
      </c>
      <c r="E211" s="32" t="s">
        <v>24</v>
      </c>
      <c r="F211" s="32" t="s">
        <v>107</v>
      </c>
      <c r="G211" s="67">
        <v>45537</v>
      </c>
      <c r="H211" s="77" t="s">
        <v>389</v>
      </c>
      <c r="I211" s="77" t="s">
        <v>13</v>
      </c>
      <c r="J211" s="78" t="s">
        <v>390</v>
      </c>
      <c r="K211" s="78" t="s">
        <v>390</v>
      </c>
      <c r="L211" s="78" t="s">
        <v>390</v>
      </c>
      <c r="M211" s="78" t="s">
        <v>390</v>
      </c>
      <c r="N211" s="78" t="s">
        <v>390</v>
      </c>
      <c r="O211" s="78" t="s">
        <v>390</v>
      </c>
      <c r="P211" s="77" t="s">
        <v>13</v>
      </c>
      <c r="Q211" s="78" t="s">
        <v>390</v>
      </c>
      <c r="R211" s="78" t="s">
        <v>390</v>
      </c>
      <c r="S211" s="78" t="s">
        <v>390</v>
      </c>
      <c r="T211" s="78" t="s">
        <v>390</v>
      </c>
      <c r="U211" s="78" t="s">
        <v>390</v>
      </c>
      <c r="V211" s="82" t="s">
        <v>391</v>
      </c>
      <c r="W211" s="77" t="s">
        <v>13</v>
      </c>
      <c r="X211" s="78" t="s">
        <v>390</v>
      </c>
      <c r="Y211" s="78" t="s">
        <v>390</v>
      </c>
      <c r="Z211" s="78" t="s">
        <v>390</v>
      </c>
      <c r="AA211" s="78" t="s">
        <v>390</v>
      </c>
      <c r="AB211" s="78" t="s">
        <v>390</v>
      </c>
      <c r="AC211" s="78" t="s">
        <v>390</v>
      </c>
      <c r="AD211" s="77" t="s">
        <v>13</v>
      </c>
      <c r="AE211" s="78" t="s">
        <v>390</v>
      </c>
      <c r="AF211" s="78" t="s">
        <v>390</v>
      </c>
      <c r="AG211" s="78" t="s">
        <v>390</v>
      </c>
      <c r="AH211" s="136" t="s">
        <v>390</v>
      </c>
      <c r="AI211" s="78" t="s">
        <v>390</v>
      </c>
      <c r="AJ211" s="78" t="s">
        <v>390</v>
      </c>
      <c r="AK211" s="78" t="s">
        <v>390</v>
      </c>
      <c r="AL211" s="106">
        <f t="shared" si="15"/>
        <v>24</v>
      </c>
      <c r="AM211" s="106">
        <f t="shared" si="16"/>
        <v>0</v>
      </c>
      <c r="AN211" s="106">
        <f t="shared" si="17"/>
        <v>0</v>
      </c>
      <c r="AO211" s="106">
        <f t="shared" si="18"/>
        <v>24</v>
      </c>
      <c r="AP211" s="106">
        <f t="shared" si="19"/>
        <v>0</v>
      </c>
      <c r="AQ211" s="134">
        <v>70</v>
      </c>
      <c r="AR211" s="134">
        <v>1890</v>
      </c>
      <c r="AS211" s="134">
        <v>1547</v>
      </c>
      <c r="AT211" s="135">
        <v>81.851851851851848</v>
      </c>
      <c r="AU211" s="106" t="s">
        <v>427</v>
      </c>
      <c r="AV211" s="100"/>
      <c r="AW211" s="100"/>
    </row>
    <row r="212" spans="1:49" x14ac:dyDescent="0.25">
      <c r="A212" s="96">
        <v>212</v>
      </c>
      <c r="B212" s="148">
        <v>2314</v>
      </c>
      <c r="C212" s="32" t="s">
        <v>190</v>
      </c>
      <c r="D212" s="32" t="s">
        <v>83</v>
      </c>
      <c r="E212" s="32" t="s">
        <v>24</v>
      </c>
      <c r="F212" s="32" t="s">
        <v>107</v>
      </c>
      <c r="G212" s="67">
        <v>45540</v>
      </c>
      <c r="H212" s="77" t="s">
        <v>389</v>
      </c>
      <c r="I212" s="77" t="s">
        <v>13</v>
      </c>
      <c r="J212" s="78" t="s">
        <v>390</v>
      </c>
      <c r="K212" s="78" t="s">
        <v>390</v>
      </c>
      <c r="L212" s="78" t="s">
        <v>390</v>
      </c>
      <c r="M212" s="80" t="s">
        <v>14</v>
      </c>
      <c r="N212" s="80" t="s">
        <v>14</v>
      </c>
      <c r="O212" s="78" t="s">
        <v>390</v>
      </c>
      <c r="P212" s="77" t="s">
        <v>13</v>
      </c>
      <c r="Q212" s="78" t="s">
        <v>390</v>
      </c>
      <c r="R212" s="78" t="s">
        <v>390</v>
      </c>
      <c r="S212" s="80" t="s">
        <v>14</v>
      </c>
      <c r="T212" s="78" t="s">
        <v>390</v>
      </c>
      <c r="U212" s="80" t="s">
        <v>14</v>
      </c>
      <c r="V212" s="80" t="s">
        <v>391</v>
      </c>
      <c r="W212" s="77" t="s">
        <v>13</v>
      </c>
      <c r="X212" s="78" t="s">
        <v>390</v>
      </c>
      <c r="Y212" s="80" t="s">
        <v>14</v>
      </c>
      <c r="Z212" s="78" t="s">
        <v>390</v>
      </c>
      <c r="AA212" s="78" t="s">
        <v>390</v>
      </c>
      <c r="AB212" s="78" t="s">
        <v>390</v>
      </c>
      <c r="AC212" s="78" t="s">
        <v>390</v>
      </c>
      <c r="AD212" s="77" t="s">
        <v>13</v>
      </c>
      <c r="AE212" s="78" t="s">
        <v>390</v>
      </c>
      <c r="AF212" s="78" t="s">
        <v>390</v>
      </c>
      <c r="AG212" s="78" t="s">
        <v>390</v>
      </c>
      <c r="AH212" s="78" t="s">
        <v>390</v>
      </c>
      <c r="AI212" s="78" t="s">
        <v>390</v>
      </c>
      <c r="AJ212" s="78" t="s">
        <v>390</v>
      </c>
      <c r="AK212" s="77" t="s">
        <v>13</v>
      </c>
      <c r="AL212" s="106">
        <f t="shared" si="15"/>
        <v>18</v>
      </c>
      <c r="AM212" s="106">
        <f t="shared" si="16"/>
        <v>0</v>
      </c>
      <c r="AN212" s="106">
        <f t="shared" si="17"/>
        <v>0</v>
      </c>
      <c r="AO212" s="106">
        <f t="shared" si="18"/>
        <v>18</v>
      </c>
      <c r="AP212" s="106">
        <f t="shared" si="19"/>
        <v>5</v>
      </c>
      <c r="AQ212" s="134"/>
      <c r="AR212" s="134"/>
      <c r="AS212" s="134"/>
      <c r="AT212" s="135"/>
      <c r="AU212" s="106" t="s">
        <v>427</v>
      </c>
      <c r="AV212" s="100"/>
      <c r="AW212" s="100"/>
    </row>
    <row r="213" spans="1:49" x14ac:dyDescent="0.25">
      <c r="A213" s="96">
        <v>213</v>
      </c>
      <c r="B213" s="148">
        <v>2316</v>
      </c>
      <c r="C213" s="32" t="s">
        <v>262</v>
      </c>
      <c r="D213" s="32" t="s">
        <v>8</v>
      </c>
      <c r="E213" s="32" t="s">
        <v>9</v>
      </c>
      <c r="F213" s="32" t="s">
        <v>107</v>
      </c>
      <c r="G213" s="60">
        <v>45467</v>
      </c>
      <c r="H213" s="77" t="s">
        <v>389</v>
      </c>
      <c r="I213" s="77" t="s">
        <v>13</v>
      </c>
      <c r="J213" s="78" t="s">
        <v>390</v>
      </c>
      <c r="K213" s="78" t="s">
        <v>390</v>
      </c>
      <c r="L213" s="78" t="s">
        <v>390</v>
      </c>
      <c r="M213" s="78" t="s">
        <v>390</v>
      </c>
      <c r="N213" s="78" t="s">
        <v>390</v>
      </c>
      <c r="O213" s="137" t="s">
        <v>391</v>
      </c>
      <c r="P213" s="77" t="s">
        <v>13</v>
      </c>
      <c r="Q213" s="78" t="s">
        <v>390</v>
      </c>
      <c r="R213" s="78" t="s">
        <v>390</v>
      </c>
      <c r="S213" s="78" t="s">
        <v>390</v>
      </c>
      <c r="T213" s="78" t="s">
        <v>390</v>
      </c>
      <c r="U213" s="78" t="s">
        <v>390</v>
      </c>
      <c r="V213" s="78" t="s">
        <v>390</v>
      </c>
      <c r="W213" s="77" t="s">
        <v>13</v>
      </c>
      <c r="X213" s="78" t="s">
        <v>390</v>
      </c>
      <c r="Y213" s="78" t="s">
        <v>390</v>
      </c>
      <c r="Z213" s="78" t="s">
        <v>390</v>
      </c>
      <c r="AA213" s="78" t="s">
        <v>390</v>
      </c>
      <c r="AB213" s="78" t="s">
        <v>390</v>
      </c>
      <c r="AC213" s="78" t="s">
        <v>390</v>
      </c>
      <c r="AD213" s="77" t="s">
        <v>13</v>
      </c>
      <c r="AE213" s="78" t="s">
        <v>390</v>
      </c>
      <c r="AF213" s="78" t="s">
        <v>390</v>
      </c>
      <c r="AG213" s="78" t="s">
        <v>390</v>
      </c>
      <c r="AH213" s="78" t="s">
        <v>390</v>
      </c>
      <c r="AI213" s="78" t="s">
        <v>390</v>
      </c>
      <c r="AJ213" s="78" t="s">
        <v>390</v>
      </c>
      <c r="AK213" s="78" t="s">
        <v>390</v>
      </c>
      <c r="AL213" s="106">
        <f t="shared" si="15"/>
        <v>24</v>
      </c>
      <c r="AM213" s="106">
        <f t="shared" si="16"/>
        <v>0</v>
      </c>
      <c r="AN213" s="106">
        <f t="shared" si="17"/>
        <v>0</v>
      </c>
      <c r="AO213" s="106">
        <f t="shared" si="18"/>
        <v>24</v>
      </c>
      <c r="AP213" s="106">
        <f t="shared" si="19"/>
        <v>0</v>
      </c>
      <c r="AQ213" s="134">
        <v>18</v>
      </c>
      <c r="AR213" s="134">
        <v>468</v>
      </c>
      <c r="AS213" s="134">
        <v>506</v>
      </c>
      <c r="AT213" s="135">
        <v>108.11965811965811</v>
      </c>
      <c r="AU213" s="106" t="s">
        <v>427</v>
      </c>
      <c r="AV213" s="100"/>
      <c r="AW213" s="100"/>
    </row>
    <row r="214" spans="1:49" x14ac:dyDescent="0.25">
      <c r="A214" s="96">
        <v>214</v>
      </c>
      <c r="B214" s="148">
        <v>2318</v>
      </c>
      <c r="C214" s="32" t="s">
        <v>263</v>
      </c>
      <c r="D214" s="32" t="s">
        <v>77</v>
      </c>
      <c r="E214" s="32" t="s">
        <v>130</v>
      </c>
      <c r="F214" s="32" t="s">
        <v>107</v>
      </c>
      <c r="G214" s="60">
        <v>45468</v>
      </c>
      <c r="H214" s="75" t="s">
        <v>12</v>
      </c>
      <c r="I214" s="75" t="s">
        <v>13</v>
      </c>
      <c r="J214" s="84" t="s">
        <v>390</v>
      </c>
      <c r="K214" s="83" t="s">
        <v>14</v>
      </c>
      <c r="L214" s="84" t="s">
        <v>390</v>
      </c>
      <c r="M214" s="84" t="s">
        <v>390</v>
      </c>
      <c r="N214" s="83" t="s">
        <v>14</v>
      </c>
      <c r="O214" s="84" t="s">
        <v>390</v>
      </c>
      <c r="P214" s="75" t="s">
        <v>13</v>
      </c>
      <c r="Q214" s="84" t="s">
        <v>390</v>
      </c>
      <c r="R214" s="84" t="s">
        <v>390</v>
      </c>
      <c r="S214" s="84" t="s">
        <v>390</v>
      </c>
      <c r="T214" s="84" t="s">
        <v>390</v>
      </c>
      <c r="U214" s="84" t="s">
        <v>390</v>
      </c>
      <c r="V214" s="84" t="s">
        <v>390</v>
      </c>
      <c r="W214" s="75" t="s">
        <v>13</v>
      </c>
      <c r="X214" s="84" t="s">
        <v>390</v>
      </c>
      <c r="Y214" s="84" t="s">
        <v>390</v>
      </c>
      <c r="Z214" s="84" t="s">
        <v>390</v>
      </c>
      <c r="AA214" s="83" t="s">
        <v>14</v>
      </c>
      <c r="AB214" s="84" t="s">
        <v>390</v>
      </c>
      <c r="AC214" s="84" t="s">
        <v>390</v>
      </c>
      <c r="AD214" s="75" t="s">
        <v>13</v>
      </c>
      <c r="AE214" s="84" t="s">
        <v>390</v>
      </c>
      <c r="AF214" s="88" t="s">
        <v>392</v>
      </c>
      <c r="AG214" s="84" t="s">
        <v>390</v>
      </c>
      <c r="AH214" s="84" t="s">
        <v>390</v>
      </c>
      <c r="AI214" s="84" t="s">
        <v>390</v>
      </c>
      <c r="AJ214" s="82" t="s">
        <v>391</v>
      </c>
      <c r="AK214" s="75" t="s">
        <v>13</v>
      </c>
      <c r="AL214" s="106">
        <f t="shared" si="15"/>
        <v>19</v>
      </c>
      <c r="AM214" s="106">
        <f t="shared" si="16"/>
        <v>0</v>
      </c>
      <c r="AN214" s="106">
        <f t="shared" si="17"/>
        <v>0.5</v>
      </c>
      <c r="AO214" s="106">
        <f t="shared" si="18"/>
        <v>19.5</v>
      </c>
      <c r="AP214" s="106">
        <f t="shared" si="19"/>
        <v>3.5</v>
      </c>
      <c r="AQ214" s="134"/>
      <c r="AR214" s="134"/>
      <c r="AS214" s="134"/>
      <c r="AT214" s="135"/>
      <c r="AU214" s="106" t="s">
        <v>427</v>
      </c>
      <c r="AV214" s="100"/>
      <c r="AW214" s="100"/>
    </row>
    <row r="215" spans="1:49" x14ac:dyDescent="0.25">
      <c r="A215" s="96">
        <v>215</v>
      </c>
      <c r="B215" s="148">
        <v>2319</v>
      </c>
      <c r="C215" s="32" t="s">
        <v>109</v>
      </c>
      <c r="D215" s="32" t="s">
        <v>41</v>
      </c>
      <c r="E215" s="32" t="s">
        <v>73</v>
      </c>
      <c r="F215" s="32" t="s">
        <v>259</v>
      </c>
      <c r="G215" s="72">
        <v>45672</v>
      </c>
      <c r="H215" s="75" t="s">
        <v>12</v>
      </c>
      <c r="I215" s="75" t="s">
        <v>13</v>
      </c>
      <c r="J215" s="84" t="s">
        <v>390</v>
      </c>
      <c r="K215" s="84" t="s">
        <v>390</v>
      </c>
      <c r="L215" s="84" t="s">
        <v>390</v>
      </c>
      <c r="M215" s="84" t="s">
        <v>390</v>
      </c>
      <c r="N215" s="84" t="s">
        <v>390</v>
      </c>
      <c r="O215" s="84" t="s">
        <v>390</v>
      </c>
      <c r="P215" s="75" t="s">
        <v>13</v>
      </c>
      <c r="Q215" s="84" t="s">
        <v>390</v>
      </c>
      <c r="R215" s="83" t="s">
        <v>14</v>
      </c>
      <c r="S215" s="84" t="s">
        <v>390</v>
      </c>
      <c r="T215" s="84" t="s">
        <v>390</v>
      </c>
      <c r="U215" s="83" t="s">
        <v>14</v>
      </c>
      <c r="V215" s="76" t="s">
        <v>378</v>
      </c>
      <c r="W215" s="75" t="s">
        <v>13</v>
      </c>
      <c r="X215" s="84" t="s">
        <v>390</v>
      </c>
      <c r="Y215" s="83" t="s">
        <v>14</v>
      </c>
      <c r="Z215" s="84" t="s">
        <v>390</v>
      </c>
      <c r="AA215" s="76" t="s">
        <v>378</v>
      </c>
      <c r="AB215" s="84" t="s">
        <v>390</v>
      </c>
      <c r="AC215" s="82" t="s">
        <v>391</v>
      </c>
      <c r="AD215" s="75" t="s">
        <v>13</v>
      </c>
      <c r="AE215" s="84" t="s">
        <v>390</v>
      </c>
      <c r="AF215" s="84" t="s">
        <v>390</v>
      </c>
      <c r="AG215" s="84" t="s">
        <v>390</v>
      </c>
      <c r="AH215" s="84" t="s">
        <v>390</v>
      </c>
      <c r="AI215" s="83" t="s">
        <v>14</v>
      </c>
      <c r="AJ215" s="84" t="s">
        <v>390</v>
      </c>
      <c r="AK215" s="75" t="s">
        <v>13</v>
      </c>
      <c r="AL215" s="106">
        <f t="shared" si="15"/>
        <v>17</v>
      </c>
      <c r="AM215" s="106">
        <f t="shared" si="16"/>
        <v>2</v>
      </c>
      <c r="AN215" s="106">
        <f t="shared" si="17"/>
        <v>0</v>
      </c>
      <c r="AO215" s="106">
        <f t="shared" si="18"/>
        <v>19</v>
      </c>
      <c r="AP215" s="106">
        <f t="shared" si="19"/>
        <v>4</v>
      </c>
      <c r="AQ215" s="134"/>
      <c r="AR215" s="134"/>
      <c r="AS215" s="134"/>
      <c r="AT215" s="135"/>
      <c r="AU215" s="106" t="s">
        <v>427</v>
      </c>
      <c r="AV215" s="100"/>
      <c r="AW215" s="100"/>
    </row>
    <row r="216" spans="1:49" x14ac:dyDescent="0.25">
      <c r="A216" s="96">
        <v>216</v>
      </c>
      <c r="B216" s="148">
        <v>2320</v>
      </c>
      <c r="C216" s="32" t="s">
        <v>264</v>
      </c>
      <c r="D216" s="32" t="s">
        <v>23</v>
      </c>
      <c r="E216" s="32" t="s">
        <v>24</v>
      </c>
      <c r="F216" s="32" t="s">
        <v>107</v>
      </c>
      <c r="G216" s="60">
        <v>45709</v>
      </c>
      <c r="H216" s="77" t="s">
        <v>389</v>
      </c>
      <c r="I216" s="77" t="s">
        <v>13</v>
      </c>
      <c r="J216" s="81" t="s">
        <v>392</v>
      </c>
      <c r="K216" s="78" t="s">
        <v>390</v>
      </c>
      <c r="L216" s="78" t="s">
        <v>390</v>
      </c>
      <c r="M216" s="78" t="s">
        <v>390</v>
      </c>
      <c r="N216" s="78" t="s">
        <v>390</v>
      </c>
      <c r="O216" s="78" t="s">
        <v>390</v>
      </c>
      <c r="P216" s="77" t="s">
        <v>13</v>
      </c>
      <c r="Q216" s="78" t="s">
        <v>390</v>
      </c>
      <c r="R216" s="78" t="s">
        <v>390</v>
      </c>
      <c r="S216" s="78" t="s">
        <v>390</v>
      </c>
      <c r="T216" s="78" t="s">
        <v>390</v>
      </c>
      <c r="U216" s="78" t="s">
        <v>390</v>
      </c>
      <c r="V216" s="82" t="s">
        <v>391</v>
      </c>
      <c r="W216" s="77" t="s">
        <v>13</v>
      </c>
      <c r="X216" s="78" t="s">
        <v>390</v>
      </c>
      <c r="Y216" s="80" t="s">
        <v>14</v>
      </c>
      <c r="Z216" s="78" t="s">
        <v>390</v>
      </c>
      <c r="AA216" s="78" t="s">
        <v>390</v>
      </c>
      <c r="AB216" s="80" t="s">
        <v>14</v>
      </c>
      <c r="AC216" s="80" t="s">
        <v>14</v>
      </c>
      <c r="AD216" s="77" t="s">
        <v>13</v>
      </c>
      <c r="AE216" s="78" t="s">
        <v>390</v>
      </c>
      <c r="AF216" s="78" t="s">
        <v>390</v>
      </c>
      <c r="AG216" s="78" t="s">
        <v>390</v>
      </c>
      <c r="AH216" s="78" t="s">
        <v>390</v>
      </c>
      <c r="AI216" s="78" t="s">
        <v>390</v>
      </c>
      <c r="AJ216" s="78" t="s">
        <v>390</v>
      </c>
      <c r="AK216" s="77" t="s">
        <v>13</v>
      </c>
      <c r="AL216" s="106">
        <f t="shared" si="15"/>
        <v>19</v>
      </c>
      <c r="AM216" s="106">
        <f t="shared" si="16"/>
        <v>0</v>
      </c>
      <c r="AN216" s="106">
        <f t="shared" si="17"/>
        <v>0.5</v>
      </c>
      <c r="AO216" s="106">
        <f t="shared" si="18"/>
        <v>19.5</v>
      </c>
      <c r="AP216" s="106">
        <f t="shared" si="19"/>
        <v>3.5</v>
      </c>
      <c r="AQ216" s="134">
        <v>50</v>
      </c>
      <c r="AR216" s="134">
        <v>1350</v>
      </c>
      <c r="AS216" s="134">
        <v>12</v>
      </c>
      <c r="AT216" s="135">
        <v>0.88888888888888884</v>
      </c>
      <c r="AU216" s="106" t="s">
        <v>427</v>
      </c>
      <c r="AV216" s="100"/>
      <c r="AW216" s="100"/>
    </row>
    <row r="217" spans="1:49" x14ac:dyDescent="0.25">
      <c r="A217" s="96">
        <v>217</v>
      </c>
      <c r="B217" s="148">
        <v>2321</v>
      </c>
      <c r="C217" s="32" t="s">
        <v>265</v>
      </c>
      <c r="D217" s="32" t="s">
        <v>8</v>
      </c>
      <c r="E217" s="32" t="s">
        <v>39</v>
      </c>
      <c r="F217" s="32" t="s">
        <v>10</v>
      </c>
      <c r="G217" s="60">
        <v>45467</v>
      </c>
      <c r="H217" s="77" t="s">
        <v>389</v>
      </c>
      <c r="I217" s="77" t="s">
        <v>13</v>
      </c>
      <c r="J217" s="80" t="s">
        <v>14</v>
      </c>
      <c r="K217" s="80" t="s">
        <v>14</v>
      </c>
      <c r="L217" s="80" t="s">
        <v>14</v>
      </c>
      <c r="M217" s="80" t="s">
        <v>14</v>
      </c>
      <c r="N217" s="80" t="s">
        <v>14</v>
      </c>
      <c r="O217" s="137" t="s">
        <v>391</v>
      </c>
      <c r="P217" s="77" t="s">
        <v>13</v>
      </c>
      <c r="Q217" s="78" t="s">
        <v>390</v>
      </c>
      <c r="R217" s="78" t="s">
        <v>390</v>
      </c>
      <c r="S217" s="78" t="s">
        <v>390</v>
      </c>
      <c r="T217" s="78" t="s">
        <v>390</v>
      </c>
      <c r="U217" s="78" t="s">
        <v>390</v>
      </c>
      <c r="V217" s="78" t="s">
        <v>390</v>
      </c>
      <c r="W217" s="77" t="s">
        <v>13</v>
      </c>
      <c r="X217" s="78" t="s">
        <v>390</v>
      </c>
      <c r="Y217" s="78" t="s">
        <v>390</v>
      </c>
      <c r="Z217" s="78" t="s">
        <v>390</v>
      </c>
      <c r="AA217" s="78" t="s">
        <v>390</v>
      </c>
      <c r="AB217" s="78" t="s">
        <v>390</v>
      </c>
      <c r="AC217" s="78" t="s">
        <v>390</v>
      </c>
      <c r="AD217" s="77" t="s">
        <v>13</v>
      </c>
      <c r="AE217" s="78" t="s">
        <v>390</v>
      </c>
      <c r="AF217" s="78" t="s">
        <v>390</v>
      </c>
      <c r="AG217" s="78" t="s">
        <v>390</v>
      </c>
      <c r="AH217" s="78" t="s">
        <v>390</v>
      </c>
      <c r="AI217" s="78" t="s">
        <v>390</v>
      </c>
      <c r="AJ217" s="78" t="s">
        <v>390</v>
      </c>
      <c r="AK217" s="77" t="s">
        <v>13</v>
      </c>
      <c r="AL217" s="106">
        <f t="shared" si="15"/>
        <v>18</v>
      </c>
      <c r="AM217" s="106">
        <f t="shared" si="16"/>
        <v>0</v>
      </c>
      <c r="AN217" s="106">
        <f t="shared" si="17"/>
        <v>0</v>
      </c>
      <c r="AO217" s="106">
        <f t="shared" si="18"/>
        <v>18</v>
      </c>
      <c r="AP217" s="106">
        <f t="shared" si="19"/>
        <v>5</v>
      </c>
      <c r="AQ217" s="134"/>
      <c r="AR217" s="134"/>
      <c r="AS217" s="134"/>
      <c r="AT217" s="135"/>
      <c r="AU217" s="106" t="s">
        <v>427</v>
      </c>
      <c r="AV217" s="100"/>
      <c r="AW217" s="100"/>
    </row>
    <row r="218" spans="1:49" x14ac:dyDescent="0.25">
      <c r="A218" s="96">
        <v>218</v>
      </c>
      <c r="B218" s="148">
        <v>2322</v>
      </c>
      <c r="C218" s="32" t="s">
        <v>266</v>
      </c>
      <c r="D218" s="32" t="s">
        <v>77</v>
      </c>
      <c r="E218" s="32" t="s">
        <v>130</v>
      </c>
      <c r="F218" s="32" t="s">
        <v>267</v>
      </c>
      <c r="G218" s="69">
        <v>45434</v>
      </c>
      <c r="H218" s="75" t="s">
        <v>12</v>
      </c>
      <c r="I218" s="75" t="s">
        <v>13</v>
      </c>
      <c r="J218" s="84" t="s">
        <v>390</v>
      </c>
      <c r="K218" s="84" t="s">
        <v>390</v>
      </c>
      <c r="L218" s="84" t="s">
        <v>390</v>
      </c>
      <c r="M218" s="84" t="s">
        <v>390</v>
      </c>
      <c r="N218" s="84" t="s">
        <v>390</v>
      </c>
      <c r="O218" s="82" t="s">
        <v>391</v>
      </c>
      <c r="P218" s="75" t="s">
        <v>13</v>
      </c>
      <c r="Q218" s="84" t="s">
        <v>390</v>
      </c>
      <c r="R218" s="84" t="s">
        <v>390</v>
      </c>
      <c r="S218" s="84" t="s">
        <v>390</v>
      </c>
      <c r="T218" s="84" t="s">
        <v>390</v>
      </c>
      <c r="U218" s="84" t="s">
        <v>390</v>
      </c>
      <c r="V218" s="138" t="s">
        <v>390</v>
      </c>
      <c r="W218" s="75" t="s">
        <v>13</v>
      </c>
      <c r="X218" s="84" t="s">
        <v>390</v>
      </c>
      <c r="Y218" s="84" t="s">
        <v>390</v>
      </c>
      <c r="Z218" s="83" t="s">
        <v>14</v>
      </c>
      <c r="AA218" s="84" t="s">
        <v>390</v>
      </c>
      <c r="AB218" s="84" t="s">
        <v>390</v>
      </c>
      <c r="AC218" s="84" t="s">
        <v>390</v>
      </c>
      <c r="AD218" s="75" t="s">
        <v>13</v>
      </c>
      <c r="AE218" s="84" t="s">
        <v>390</v>
      </c>
      <c r="AF218" s="84" t="s">
        <v>390</v>
      </c>
      <c r="AG218" s="84" t="s">
        <v>390</v>
      </c>
      <c r="AH218" s="84" t="s">
        <v>390</v>
      </c>
      <c r="AI218" s="84" t="s">
        <v>390</v>
      </c>
      <c r="AJ218" s="84" t="s">
        <v>390</v>
      </c>
      <c r="AK218" s="75" t="s">
        <v>13</v>
      </c>
      <c r="AL218" s="106">
        <f t="shared" si="15"/>
        <v>22</v>
      </c>
      <c r="AM218" s="106">
        <f t="shared" si="16"/>
        <v>0</v>
      </c>
      <c r="AN218" s="106">
        <f t="shared" si="17"/>
        <v>0</v>
      </c>
      <c r="AO218" s="106">
        <f t="shared" si="18"/>
        <v>22</v>
      </c>
      <c r="AP218" s="106">
        <f t="shared" si="19"/>
        <v>1</v>
      </c>
      <c r="AQ218" s="134"/>
      <c r="AR218" s="134"/>
      <c r="AS218" s="134"/>
      <c r="AT218" s="135"/>
      <c r="AU218" s="106" t="s">
        <v>427</v>
      </c>
      <c r="AV218" s="110" t="s">
        <v>402</v>
      </c>
      <c r="AW218" s="100"/>
    </row>
    <row r="219" spans="1:49" x14ac:dyDescent="0.25">
      <c r="A219" s="96">
        <v>219</v>
      </c>
      <c r="B219" s="148">
        <v>2323</v>
      </c>
      <c r="C219" s="32" t="s">
        <v>35</v>
      </c>
      <c r="D219" s="32" t="s">
        <v>44</v>
      </c>
      <c r="E219" s="30" t="s">
        <v>28</v>
      </c>
      <c r="F219" s="32" t="s">
        <v>107</v>
      </c>
      <c r="G219" s="60">
        <v>45499</v>
      </c>
      <c r="H219" s="77" t="s">
        <v>389</v>
      </c>
      <c r="I219" s="77" t="s">
        <v>13</v>
      </c>
      <c r="J219" s="78" t="s">
        <v>390</v>
      </c>
      <c r="K219" s="78" t="s">
        <v>390</v>
      </c>
      <c r="L219" s="78" t="s">
        <v>390</v>
      </c>
      <c r="M219" s="78" t="s">
        <v>390</v>
      </c>
      <c r="N219" s="78" t="s">
        <v>390</v>
      </c>
      <c r="O219" s="78" t="s">
        <v>390</v>
      </c>
      <c r="P219" s="77" t="s">
        <v>13</v>
      </c>
      <c r="Q219" s="78" t="s">
        <v>390</v>
      </c>
      <c r="R219" s="78" t="s">
        <v>390</v>
      </c>
      <c r="S219" s="78" t="s">
        <v>390</v>
      </c>
      <c r="T219" s="78" t="s">
        <v>390</v>
      </c>
      <c r="U219" s="78" t="s">
        <v>390</v>
      </c>
      <c r="V219" s="79" t="s">
        <v>391</v>
      </c>
      <c r="W219" s="77" t="s">
        <v>13</v>
      </c>
      <c r="X219" s="78" t="s">
        <v>390</v>
      </c>
      <c r="Y219" s="78" t="s">
        <v>390</v>
      </c>
      <c r="Z219" s="78" t="s">
        <v>390</v>
      </c>
      <c r="AA219" s="78" t="s">
        <v>390</v>
      </c>
      <c r="AB219" s="78" t="s">
        <v>390</v>
      </c>
      <c r="AC219" s="78" t="s">
        <v>390</v>
      </c>
      <c r="AD219" s="89" t="s">
        <v>378</v>
      </c>
      <c r="AE219" s="78" t="s">
        <v>390</v>
      </c>
      <c r="AF219" s="78" t="s">
        <v>390</v>
      </c>
      <c r="AG219" s="78" t="s">
        <v>390</v>
      </c>
      <c r="AH219" s="78" t="s">
        <v>390</v>
      </c>
      <c r="AI219" s="78" t="s">
        <v>390</v>
      </c>
      <c r="AJ219" s="78" t="s">
        <v>390</v>
      </c>
      <c r="AK219" s="89" t="s">
        <v>378</v>
      </c>
      <c r="AL219" s="106">
        <f t="shared" si="15"/>
        <v>23</v>
      </c>
      <c r="AM219" s="106">
        <f t="shared" si="16"/>
        <v>2</v>
      </c>
      <c r="AN219" s="106">
        <f t="shared" si="17"/>
        <v>0</v>
      </c>
      <c r="AO219" s="106">
        <f t="shared" si="18"/>
        <v>25</v>
      </c>
      <c r="AP219" s="106">
        <f t="shared" si="19"/>
        <v>0</v>
      </c>
      <c r="AQ219" s="134"/>
      <c r="AR219" s="134"/>
      <c r="AS219" s="134"/>
      <c r="AT219" s="135"/>
      <c r="AU219" s="106" t="s">
        <v>427</v>
      </c>
      <c r="AV219" s="100"/>
      <c r="AW219" s="100"/>
    </row>
    <row r="220" spans="1:49" x14ac:dyDescent="0.25">
      <c r="A220" s="96">
        <v>220</v>
      </c>
      <c r="B220" s="148">
        <v>2325</v>
      </c>
      <c r="C220" s="32" t="s">
        <v>268</v>
      </c>
      <c r="D220" s="32" t="s">
        <v>44</v>
      </c>
      <c r="E220" s="32" t="s">
        <v>39</v>
      </c>
      <c r="F220" s="32" t="s">
        <v>107</v>
      </c>
      <c r="G220" s="60">
        <v>45499</v>
      </c>
      <c r="H220" s="77" t="s">
        <v>389</v>
      </c>
      <c r="I220" s="77" t="s">
        <v>13</v>
      </c>
      <c r="J220" s="78" t="s">
        <v>390</v>
      </c>
      <c r="K220" s="80" t="s">
        <v>14</v>
      </c>
      <c r="L220" s="78" t="s">
        <v>390</v>
      </c>
      <c r="M220" s="78" t="s">
        <v>390</v>
      </c>
      <c r="N220" s="78" t="s">
        <v>390</v>
      </c>
      <c r="O220" s="80" t="s">
        <v>14</v>
      </c>
      <c r="P220" s="77" t="s">
        <v>13</v>
      </c>
      <c r="Q220" s="78" t="s">
        <v>390</v>
      </c>
      <c r="R220" s="78" t="s">
        <v>390</v>
      </c>
      <c r="S220" s="78" t="s">
        <v>390</v>
      </c>
      <c r="T220" s="80" t="s">
        <v>14</v>
      </c>
      <c r="U220" s="78" t="s">
        <v>390</v>
      </c>
      <c r="V220" s="137" t="s">
        <v>391</v>
      </c>
      <c r="W220" s="77" t="s">
        <v>13</v>
      </c>
      <c r="X220" s="78" t="s">
        <v>390</v>
      </c>
      <c r="Y220" s="78" t="s">
        <v>390</v>
      </c>
      <c r="Z220" s="78" t="s">
        <v>390</v>
      </c>
      <c r="AA220" s="78" t="s">
        <v>390</v>
      </c>
      <c r="AB220" s="78" t="s">
        <v>390</v>
      </c>
      <c r="AC220" s="80" t="s">
        <v>14</v>
      </c>
      <c r="AD220" s="77" t="s">
        <v>13</v>
      </c>
      <c r="AE220" s="78" t="s">
        <v>390</v>
      </c>
      <c r="AF220" s="78" t="s">
        <v>390</v>
      </c>
      <c r="AG220" s="78" t="s">
        <v>390</v>
      </c>
      <c r="AH220" s="78" t="s">
        <v>390</v>
      </c>
      <c r="AI220" s="78" t="s">
        <v>390</v>
      </c>
      <c r="AJ220" s="80" t="s">
        <v>14</v>
      </c>
      <c r="AK220" s="77" t="s">
        <v>13</v>
      </c>
      <c r="AL220" s="106">
        <f t="shared" si="15"/>
        <v>18</v>
      </c>
      <c r="AM220" s="106">
        <f t="shared" si="16"/>
        <v>0</v>
      </c>
      <c r="AN220" s="106">
        <f t="shared" si="17"/>
        <v>0</v>
      </c>
      <c r="AO220" s="106">
        <f t="shared" si="18"/>
        <v>18</v>
      </c>
      <c r="AP220" s="106">
        <f t="shared" si="19"/>
        <v>5</v>
      </c>
      <c r="AQ220" s="134"/>
      <c r="AR220" s="134"/>
      <c r="AS220" s="134"/>
      <c r="AT220" s="135"/>
      <c r="AU220" s="106" t="s">
        <v>427</v>
      </c>
      <c r="AV220" s="100"/>
      <c r="AW220" s="100"/>
    </row>
    <row r="221" spans="1:49" x14ac:dyDescent="0.25">
      <c r="A221" s="96">
        <v>221</v>
      </c>
      <c r="B221" s="148">
        <v>2326</v>
      </c>
      <c r="C221" s="32" t="s">
        <v>269</v>
      </c>
      <c r="D221" s="32" t="s">
        <v>136</v>
      </c>
      <c r="E221" s="32" t="s">
        <v>137</v>
      </c>
      <c r="F221" s="32" t="s">
        <v>107</v>
      </c>
      <c r="G221" s="60">
        <v>45551</v>
      </c>
      <c r="H221" s="85" t="s">
        <v>378</v>
      </c>
      <c r="I221" s="77" t="s">
        <v>13</v>
      </c>
      <c r="J221" s="80" t="s">
        <v>14</v>
      </c>
      <c r="K221" s="85" t="s">
        <v>378</v>
      </c>
      <c r="L221" s="85" t="s">
        <v>378</v>
      </c>
      <c r="M221" s="85" t="s">
        <v>378</v>
      </c>
      <c r="N221" s="85" t="s">
        <v>378</v>
      </c>
      <c r="O221" s="85" t="s">
        <v>378</v>
      </c>
      <c r="P221" s="77" t="s">
        <v>13</v>
      </c>
      <c r="Q221" s="85" t="s">
        <v>378</v>
      </c>
      <c r="R221" s="85" t="s">
        <v>378</v>
      </c>
      <c r="S221" s="85" t="s">
        <v>378</v>
      </c>
      <c r="T221" s="85" t="s">
        <v>378</v>
      </c>
      <c r="U221" s="85" t="s">
        <v>378</v>
      </c>
      <c r="V221" s="92" t="s">
        <v>391</v>
      </c>
      <c r="W221" s="77" t="s">
        <v>13</v>
      </c>
      <c r="X221" s="85" t="s">
        <v>378</v>
      </c>
      <c r="Y221" s="85" t="s">
        <v>378</v>
      </c>
      <c r="Z221" s="85" t="s">
        <v>378</v>
      </c>
      <c r="AA221" s="85" t="s">
        <v>378</v>
      </c>
      <c r="AB221" s="85" t="s">
        <v>378</v>
      </c>
      <c r="AC221" s="85" t="s">
        <v>378</v>
      </c>
      <c r="AD221" s="77" t="s">
        <v>13</v>
      </c>
      <c r="AE221" s="78" t="s">
        <v>390</v>
      </c>
      <c r="AF221" s="78" t="s">
        <v>390</v>
      </c>
      <c r="AG221" s="78" t="s">
        <v>390</v>
      </c>
      <c r="AH221" s="78" t="s">
        <v>390</v>
      </c>
      <c r="AI221" s="80" t="s">
        <v>14</v>
      </c>
      <c r="AJ221" s="80" t="s">
        <v>14</v>
      </c>
      <c r="AK221" s="77" t="s">
        <v>13</v>
      </c>
      <c r="AL221" s="106">
        <f t="shared" si="15"/>
        <v>4</v>
      </c>
      <c r="AM221" s="106">
        <f t="shared" si="16"/>
        <v>17</v>
      </c>
      <c r="AN221" s="106">
        <f t="shared" si="17"/>
        <v>0</v>
      </c>
      <c r="AO221" s="106">
        <f t="shared" si="18"/>
        <v>21</v>
      </c>
      <c r="AP221" s="106">
        <f t="shared" si="19"/>
        <v>3</v>
      </c>
      <c r="AQ221" s="134"/>
      <c r="AR221" s="134"/>
      <c r="AS221" s="134"/>
      <c r="AT221" s="135"/>
      <c r="AU221" s="106" t="s">
        <v>427</v>
      </c>
      <c r="AV221" s="100"/>
      <c r="AW221" s="100"/>
    </row>
    <row r="222" spans="1:49" x14ac:dyDescent="0.25">
      <c r="A222" s="96">
        <v>222</v>
      </c>
      <c r="B222" s="148">
        <v>2328</v>
      </c>
      <c r="C222" s="32" t="s">
        <v>270</v>
      </c>
      <c r="D222" s="32" t="s">
        <v>136</v>
      </c>
      <c r="E222" s="32" t="s">
        <v>137</v>
      </c>
      <c r="F222" s="32" t="s">
        <v>107</v>
      </c>
      <c r="G222" s="67">
        <v>45568</v>
      </c>
      <c r="H222" s="91" t="s">
        <v>390</v>
      </c>
      <c r="I222" s="91" t="s">
        <v>390</v>
      </c>
      <c r="J222" s="91" t="s">
        <v>390</v>
      </c>
      <c r="K222" s="91" t="s">
        <v>390</v>
      </c>
      <c r="L222" s="91" t="s">
        <v>390</v>
      </c>
      <c r="M222" s="91" t="s">
        <v>390</v>
      </c>
      <c r="N222" s="78" t="s">
        <v>390</v>
      </c>
      <c r="O222" s="92" t="s">
        <v>391</v>
      </c>
      <c r="P222" s="93" t="s">
        <v>13</v>
      </c>
      <c r="Q222" s="91" t="s">
        <v>390</v>
      </c>
      <c r="R222" s="91" t="s">
        <v>390</v>
      </c>
      <c r="S222" s="91" t="s">
        <v>390</v>
      </c>
      <c r="T222" s="91" t="s">
        <v>390</v>
      </c>
      <c r="U222" s="91" t="s">
        <v>390</v>
      </c>
      <c r="V222" s="91" t="s">
        <v>390</v>
      </c>
      <c r="W222" s="93" t="s">
        <v>13</v>
      </c>
      <c r="X222" s="91" t="s">
        <v>390</v>
      </c>
      <c r="Y222" s="91" t="s">
        <v>390</v>
      </c>
      <c r="Z222" s="91" t="s">
        <v>390</v>
      </c>
      <c r="AA222" s="94" t="s">
        <v>378</v>
      </c>
      <c r="AB222" s="94" t="s">
        <v>378</v>
      </c>
      <c r="AC222" s="94" t="s">
        <v>378</v>
      </c>
      <c r="AD222" s="93" t="s">
        <v>13</v>
      </c>
      <c r="AE222" s="94" t="s">
        <v>378</v>
      </c>
      <c r="AF222" s="78" t="s">
        <v>390</v>
      </c>
      <c r="AG222" s="91" t="s">
        <v>390</v>
      </c>
      <c r="AH222" s="91" t="s">
        <v>390</v>
      </c>
      <c r="AI222" s="91" t="s">
        <v>390</v>
      </c>
      <c r="AJ222" s="91" t="s">
        <v>390</v>
      </c>
      <c r="AK222" s="93" t="s">
        <v>13</v>
      </c>
      <c r="AL222" s="106">
        <f t="shared" si="15"/>
        <v>21</v>
      </c>
      <c r="AM222" s="106">
        <f t="shared" si="16"/>
        <v>4</v>
      </c>
      <c r="AN222" s="106">
        <f t="shared" si="17"/>
        <v>0</v>
      </c>
      <c r="AO222" s="106">
        <f t="shared" si="18"/>
        <v>25</v>
      </c>
      <c r="AP222" s="106">
        <f t="shared" si="19"/>
        <v>0</v>
      </c>
      <c r="AQ222" s="134"/>
      <c r="AR222" s="134"/>
      <c r="AS222" s="134"/>
      <c r="AT222" s="135"/>
      <c r="AU222" s="106" t="s">
        <v>427</v>
      </c>
      <c r="AV222" s="100"/>
      <c r="AW222" s="100"/>
    </row>
    <row r="223" spans="1:49" x14ac:dyDescent="0.25">
      <c r="A223" s="96">
        <v>223</v>
      </c>
      <c r="B223" s="148">
        <v>2329</v>
      </c>
      <c r="C223" s="32" t="s">
        <v>271</v>
      </c>
      <c r="D223" s="32" t="s">
        <v>272</v>
      </c>
      <c r="E223" s="32" t="s">
        <v>24</v>
      </c>
      <c r="F223" s="32" t="s">
        <v>107</v>
      </c>
      <c r="G223" s="60">
        <v>45726</v>
      </c>
      <c r="H223" s="77" t="s">
        <v>389</v>
      </c>
      <c r="I223" s="77" t="s">
        <v>13</v>
      </c>
      <c r="J223" s="78" t="s">
        <v>390</v>
      </c>
      <c r="K223" s="78" t="s">
        <v>390</v>
      </c>
      <c r="L223" s="78" t="s">
        <v>390</v>
      </c>
      <c r="M223" s="78" t="s">
        <v>390</v>
      </c>
      <c r="N223" s="78" t="s">
        <v>390</v>
      </c>
      <c r="O223" s="78" t="s">
        <v>390</v>
      </c>
      <c r="P223" s="77" t="s">
        <v>13</v>
      </c>
      <c r="Q223" s="82" t="s">
        <v>391</v>
      </c>
      <c r="R223" s="78" t="s">
        <v>390</v>
      </c>
      <c r="S223" s="78" t="s">
        <v>390</v>
      </c>
      <c r="T223" s="78" t="s">
        <v>390</v>
      </c>
      <c r="U223" s="80" t="s">
        <v>14</v>
      </c>
      <c r="V223" s="78" t="s">
        <v>390</v>
      </c>
      <c r="W223" s="77" t="s">
        <v>13</v>
      </c>
      <c r="X223" s="78" t="s">
        <v>390</v>
      </c>
      <c r="Y223" s="78" t="s">
        <v>390</v>
      </c>
      <c r="Z223" s="78" t="s">
        <v>390</v>
      </c>
      <c r="AA223" s="78" t="s">
        <v>390</v>
      </c>
      <c r="AB223" s="78" t="s">
        <v>390</v>
      </c>
      <c r="AC223" s="80" t="s">
        <v>14</v>
      </c>
      <c r="AD223" s="77" t="s">
        <v>13</v>
      </c>
      <c r="AE223" s="78" t="s">
        <v>390</v>
      </c>
      <c r="AF223" s="78" t="s">
        <v>390</v>
      </c>
      <c r="AG223" s="78" t="s">
        <v>390</v>
      </c>
      <c r="AH223" s="78" t="s">
        <v>390</v>
      </c>
      <c r="AI223" s="78" t="s">
        <v>390</v>
      </c>
      <c r="AJ223" s="78" t="s">
        <v>390</v>
      </c>
      <c r="AK223" s="78" t="s">
        <v>390</v>
      </c>
      <c r="AL223" s="106">
        <f t="shared" si="15"/>
        <v>22</v>
      </c>
      <c r="AM223" s="106">
        <f t="shared" si="16"/>
        <v>0</v>
      </c>
      <c r="AN223" s="106">
        <f t="shared" si="17"/>
        <v>0</v>
      </c>
      <c r="AO223" s="106">
        <f t="shared" si="18"/>
        <v>22</v>
      </c>
      <c r="AP223" s="106">
        <f t="shared" si="19"/>
        <v>2</v>
      </c>
      <c r="AQ223" s="134"/>
      <c r="AR223" s="134"/>
      <c r="AS223" s="134"/>
      <c r="AT223" s="135"/>
      <c r="AU223" s="106" t="s">
        <v>427</v>
      </c>
      <c r="AV223" s="100"/>
      <c r="AW223" s="100"/>
    </row>
    <row r="224" spans="1:49" x14ac:dyDescent="0.25">
      <c r="A224" s="96">
        <v>224</v>
      </c>
      <c r="B224" s="148">
        <v>2330</v>
      </c>
      <c r="C224" s="32" t="s">
        <v>273</v>
      </c>
      <c r="D224" s="32" t="s">
        <v>31</v>
      </c>
      <c r="E224" s="32" t="s">
        <v>20</v>
      </c>
      <c r="F224" s="32" t="s">
        <v>107</v>
      </c>
      <c r="G224" s="60">
        <v>45726</v>
      </c>
      <c r="H224" s="77" t="s">
        <v>389</v>
      </c>
      <c r="I224" s="77" t="s">
        <v>13</v>
      </c>
      <c r="J224" s="78" t="s">
        <v>390</v>
      </c>
      <c r="K224" s="78" t="s">
        <v>390</v>
      </c>
      <c r="L224" s="78" t="s">
        <v>390</v>
      </c>
      <c r="M224" s="78" t="s">
        <v>390</v>
      </c>
      <c r="N224" s="78" t="s">
        <v>390</v>
      </c>
      <c r="O224" s="78" t="s">
        <v>390</v>
      </c>
      <c r="P224" s="77" t="s">
        <v>13</v>
      </c>
      <c r="Q224" s="78" t="s">
        <v>390</v>
      </c>
      <c r="R224" s="78" t="s">
        <v>390</v>
      </c>
      <c r="S224" s="78" t="s">
        <v>390</v>
      </c>
      <c r="T224" s="78" t="s">
        <v>390</v>
      </c>
      <c r="U224" s="78" t="s">
        <v>390</v>
      </c>
      <c r="V224" s="78" t="s">
        <v>390</v>
      </c>
      <c r="W224" s="77" t="s">
        <v>13</v>
      </c>
      <c r="X224" s="78" t="s">
        <v>390</v>
      </c>
      <c r="Y224" s="78" t="s">
        <v>390</v>
      </c>
      <c r="Z224" s="78" t="s">
        <v>390</v>
      </c>
      <c r="AA224" s="78" t="s">
        <v>390</v>
      </c>
      <c r="AB224" s="78" t="s">
        <v>390</v>
      </c>
      <c r="AC224" s="79" t="s">
        <v>391</v>
      </c>
      <c r="AD224" s="77" t="s">
        <v>13</v>
      </c>
      <c r="AE224" s="80" t="s">
        <v>14</v>
      </c>
      <c r="AF224" s="78" t="s">
        <v>390</v>
      </c>
      <c r="AG224" s="78" t="s">
        <v>390</v>
      </c>
      <c r="AH224" s="78" t="s">
        <v>390</v>
      </c>
      <c r="AI224" s="78" t="s">
        <v>390</v>
      </c>
      <c r="AJ224" s="78" t="s">
        <v>390</v>
      </c>
      <c r="AK224" s="77" t="s">
        <v>13</v>
      </c>
      <c r="AL224" s="106">
        <f t="shared" si="15"/>
        <v>22</v>
      </c>
      <c r="AM224" s="106">
        <f t="shared" si="16"/>
        <v>0</v>
      </c>
      <c r="AN224" s="106">
        <f t="shared" si="17"/>
        <v>0</v>
      </c>
      <c r="AO224" s="106">
        <f t="shared" si="18"/>
        <v>22</v>
      </c>
      <c r="AP224" s="106">
        <f t="shared" si="19"/>
        <v>1</v>
      </c>
      <c r="AQ224" s="134">
        <v>100</v>
      </c>
      <c r="AR224" s="134">
        <v>2900</v>
      </c>
      <c r="AS224" s="134">
        <v>1332</v>
      </c>
      <c r="AT224" s="135">
        <v>45.931034482758619</v>
      </c>
      <c r="AU224" s="106" t="s">
        <v>427</v>
      </c>
      <c r="AV224" s="100"/>
      <c r="AW224" s="100"/>
    </row>
    <row r="225" spans="1:49" x14ac:dyDescent="0.25">
      <c r="A225" s="96">
        <v>225</v>
      </c>
      <c r="B225" s="148">
        <v>2332</v>
      </c>
      <c r="C225" s="32" t="s">
        <v>274</v>
      </c>
      <c r="D225" s="32" t="s">
        <v>19</v>
      </c>
      <c r="E225" s="30" t="s">
        <v>28</v>
      </c>
      <c r="F225" s="32" t="s">
        <v>107</v>
      </c>
      <c r="G225" s="60">
        <v>45733</v>
      </c>
      <c r="H225" s="77" t="s">
        <v>389</v>
      </c>
      <c r="I225" s="77" t="s">
        <v>13</v>
      </c>
      <c r="J225" s="78" t="s">
        <v>390</v>
      </c>
      <c r="K225" s="78" t="s">
        <v>390</v>
      </c>
      <c r="L225" s="78" t="s">
        <v>390</v>
      </c>
      <c r="M225" s="78" t="s">
        <v>390</v>
      </c>
      <c r="N225" s="78" t="s">
        <v>390</v>
      </c>
      <c r="O225" s="78" t="s">
        <v>390</v>
      </c>
      <c r="P225" s="77" t="s">
        <v>13</v>
      </c>
      <c r="Q225" s="78" t="s">
        <v>390</v>
      </c>
      <c r="R225" s="78" t="s">
        <v>390</v>
      </c>
      <c r="S225" s="78" t="s">
        <v>390</v>
      </c>
      <c r="T225" s="78" t="s">
        <v>390</v>
      </c>
      <c r="U225" s="78" t="s">
        <v>390</v>
      </c>
      <c r="V225" s="79" t="s">
        <v>391</v>
      </c>
      <c r="W225" s="77" t="s">
        <v>13</v>
      </c>
      <c r="X225" s="78" t="s">
        <v>390</v>
      </c>
      <c r="Y225" s="78" t="s">
        <v>390</v>
      </c>
      <c r="Z225" s="78" t="s">
        <v>390</v>
      </c>
      <c r="AA225" s="78" t="s">
        <v>390</v>
      </c>
      <c r="AB225" s="78" t="s">
        <v>390</v>
      </c>
      <c r="AC225" s="78" t="s">
        <v>390</v>
      </c>
      <c r="AD225" s="77" t="s">
        <v>13</v>
      </c>
      <c r="AE225" s="78" t="s">
        <v>390</v>
      </c>
      <c r="AF225" s="78" t="s">
        <v>390</v>
      </c>
      <c r="AG225" s="78" t="s">
        <v>390</v>
      </c>
      <c r="AH225" s="78" t="s">
        <v>390</v>
      </c>
      <c r="AI225" s="78" t="s">
        <v>390</v>
      </c>
      <c r="AJ225" s="78" t="s">
        <v>390</v>
      </c>
      <c r="AK225" s="77" t="s">
        <v>13</v>
      </c>
      <c r="AL225" s="106">
        <f t="shared" si="15"/>
        <v>23</v>
      </c>
      <c r="AM225" s="106">
        <f t="shared" si="16"/>
        <v>0</v>
      </c>
      <c r="AN225" s="106">
        <f t="shared" si="17"/>
        <v>0</v>
      </c>
      <c r="AO225" s="106">
        <f t="shared" si="18"/>
        <v>23</v>
      </c>
      <c r="AP225" s="106">
        <f t="shared" si="19"/>
        <v>0</v>
      </c>
      <c r="AQ225" s="134">
        <v>18</v>
      </c>
      <c r="AR225" s="134">
        <v>468</v>
      </c>
      <c r="AS225" s="134">
        <v>504</v>
      </c>
      <c r="AT225" s="135">
        <v>107.69230769230769</v>
      </c>
      <c r="AU225" s="106" t="s">
        <v>427</v>
      </c>
      <c r="AV225" s="100"/>
      <c r="AW225" s="100"/>
    </row>
    <row r="226" spans="1:49" x14ac:dyDescent="0.25">
      <c r="A226" s="96">
        <v>226</v>
      </c>
      <c r="B226" s="148">
        <v>2334</v>
      </c>
      <c r="C226" s="32" t="s">
        <v>275</v>
      </c>
      <c r="D226" s="32" t="s">
        <v>23</v>
      </c>
      <c r="E226" s="32" t="s">
        <v>24</v>
      </c>
      <c r="F226" s="32" t="s">
        <v>89</v>
      </c>
      <c r="G226" s="60">
        <v>45734</v>
      </c>
      <c r="H226" s="77" t="s">
        <v>389</v>
      </c>
      <c r="I226" s="77" t="s">
        <v>13</v>
      </c>
      <c r="J226" s="78" t="s">
        <v>390</v>
      </c>
      <c r="K226" s="78" t="s">
        <v>390</v>
      </c>
      <c r="L226" s="78" t="s">
        <v>390</v>
      </c>
      <c r="M226" s="78" t="s">
        <v>390</v>
      </c>
      <c r="N226" s="78" t="s">
        <v>390</v>
      </c>
      <c r="O226" s="78" t="s">
        <v>390</v>
      </c>
      <c r="P226" s="77" t="s">
        <v>13</v>
      </c>
      <c r="Q226" s="78" t="s">
        <v>390</v>
      </c>
      <c r="R226" s="78" t="s">
        <v>390</v>
      </c>
      <c r="S226" s="78" t="s">
        <v>390</v>
      </c>
      <c r="T226" s="78" t="s">
        <v>390</v>
      </c>
      <c r="U226" s="78" t="s">
        <v>390</v>
      </c>
      <c r="V226" s="82" t="s">
        <v>391</v>
      </c>
      <c r="W226" s="77" t="s">
        <v>13</v>
      </c>
      <c r="X226" s="78" t="s">
        <v>390</v>
      </c>
      <c r="Y226" s="78" t="s">
        <v>390</v>
      </c>
      <c r="Z226" s="78" t="s">
        <v>390</v>
      </c>
      <c r="AA226" s="78" t="s">
        <v>390</v>
      </c>
      <c r="AB226" s="78" t="s">
        <v>390</v>
      </c>
      <c r="AC226" s="80" t="s">
        <v>14</v>
      </c>
      <c r="AD226" s="77" t="s">
        <v>13</v>
      </c>
      <c r="AE226" s="78" t="s">
        <v>390</v>
      </c>
      <c r="AF226" s="78" t="s">
        <v>390</v>
      </c>
      <c r="AG226" s="78" t="s">
        <v>390</v>
      </c>
      <c r="AH226" s="78" t="s">
        <v>390</v>
      </c>
      <c r="AI226" s="78" t="s">
        <v>390</v>
      </c>
      <c r="AJ226" s="78" t="s">
        <v>390</v>
      </c>
      <c r="AK226" s="77" t="s">
        <v>13</v>
      </c>
      <c r="AL226" s="106">
        <f t="shared" si="15"/>
        <v>22</v>
      </c>
      <c r="AM226" s="106">
        <f t="shared" si="16"/>
        <v>0</v>
      </c>
      <c r="AN226" s="106">
        <f t="shared" si="17"/>
        <v>0</v>
      </c>
      <c r="AO226" s="106">
        <f t="shared" si="18"/>
        <v>22</v>
      </c>
      <c r="AP226" s="106">
        <f t="shared" si="19"/>
        <v>1</v>
      </c>
      <c r="AQ226" s="134">
        <v>75</v>
      </c>
      <c r="AR226" s="134">
        <v>2025</v>
      </c>
      <c r="AS226" s="134">
        <v>1476</v>
      </c>
      <c r="AT226" s="135">
        <v>72.888888888888886</v>
      </c>
      <c r="AU226" s="106" t="s">
        <v>427</v>
      </c>
      <c r="AV226" s="100"/>
      <c r="AW226" s="100"/>
    </row>
    <row r="227" spans="1:49" x14ac:dyDescent="0.25">
      <c r="A227" s="96">
        <v>227</v>
      </c>
      <c r="B227" s="148">
        <v>2340</v>
      </c>
      <c r="C227" s="32" t="s">
        <v>276</v>
      </c>
      <c r="D227" s="32" t="s">
        <v>23</v>
      </c>
      <c r="E227" s="30" t="s">
        <v>28</v>
      </c>
      <c r="F227" s="32" t="s">
        <v>89</v>
      </c>
      <c r="G227" s="67">
        <v>45754</v>
      </c>
      <c r="H227" s="77" t="s">
        <v>389</v>
      </c>
      <c r="I227" s="77" t="s">
        <v>13</v>
      </c>
      <c r="J227" s="78" t="s">
        <v>390</v>
      </c>
      <c r="K227" s="78" t="s">
        <v>390</v>
      </c>
      <c r="L227" s="78" t="s">
        <v>390</v>
      </c>
      <c r="M227" s="78" t="s">
        <v>390</v>
      </c>
      <c r="N227" s="78" t="s">
        <v>390</v>
      </c>
      <c r="O227" s="78" t="s">
        <v>390</v>
      </c>
      <c r="P227" s="77" t="s">
        <v>13</v>
      </c>
      <c r="Q227" s="79" t="s">
        <v>391</v>
      </c>
      <c r="R227" s="78" t="s">
        <v>390</v>
      </c>
      <c r="S227" s="78" t="s">
        <v>390</v>
      </c>
      <c r="T227" s="78" t="s">
        <v>390</v>
      </c>
      <c r="U227" s="78" t="s">
        <v>390</v>
      </c>
      <c r="V227" s="78" t="s">
        <v>390</v>
      </c>
      <c r="W227" s="77" t="s">
        <v>13</v>
      </c>
      <c r="X227" s="78" t="s">
        <v>390</v>
      </c>
      <c r="Y227" s="78" t="s">
        <v>390</v>
      </c>
      <c r="Z227" s="78" t="s">
        <v>390</v>
      </c>
      <c r="AA227" s="78" t="s">
        <v>390</v>
      </c>
      <c r="AB227" s="78" t="s">
        <v>390</v>
      </c>
      <c r="AC227" s="78" t="s">
        <v>390</v>
      </c>
      <c r="AD227" s="77" t="s">
        <v>13</v>
      </c>
      <c r="AE227" s="78" t="s">
        <v>390</v>
      </c>
      <c r="AF227" s="78" t="s">
        <v>390</v>
      </c>
      <c r="AG227" s="78" t="s">
        <v>390</v>
      </c>
      <c r="AH227" s="78" t="s">
        <v>390</v>
      </c>
      <c r="AI227" s="78" t="s">
        <v>390</v>
      </c>
      <c r="AJ227" s="78" t="s">
        <v>390</v>
      </c>
      <c r="AK227" s="77" t="s">
        <v>13</v>
      </c>
      <c r="AL227" s="106">
        <f t="shared" si="15"/>
        <v>23</v>
      </c>
      <c r="AM227" s="106">
        <f t="shared" si="16"/>
        <v>0</v>
      </c>
      <c r="AN227" s="106">
        <f t="shared" si="17"/>
        <v>0</v>
      </c>
      <c r="AO227" s="106">
        <f t="shared" si="18"/>
        <v>23</v>
      </c>
      <c r="AP227" s="106">
        <f t="shared" si="19"/>
        <v>0</v>
      </c>
      <c r="AQ227" s="134">
        <v>70</v>
      </c>
      <c r="AR227" s="134">
        <v>1890</v>
      </c>
      <c r="AS227" s="134">
        <v>1170</v>
      </c>
      <c r="AT227" s="135">
        <v>61.904761904761905</v>
      </c>
      <c r="AU227" s="106" t="s">
        <v>427</v>
      </c>
      <c r="AV227" s="100"/>
      <c r="AW227" s="100"/>
    </row>
    <row r="228" spans="1:49" x14ac:dyDescent="0.25">
      <c r="A228" s="96">
        <v>228</v>
      </c>
      <c r="B228" s="148">
        <v>2342</v>
      </c>
      <c r="C228" s="32" t="s">
        <v>277</v>
      </c>
      <c r="D228" s="32" t="s">
        <v>23</v>
      </c>
      <c r="E228" s="32" t="s">
        <v>20</v>
      </c>
      <c r="F228" s="32" t="s">
        <v>89</v>
      </c>
      <c r="G228" s="67">
        <v>45755</v>
      </c>
      <c r="H228" s="77" t="s">
        <v>389</v>
      </c>
      <c r="I228" s="77" t="s">
        <v>13</v>
      </c>
      <c r="J228" s="78" t="s">
        <v>390</v>
      </c>
      <c r="K228" s="78" t="s">
        <v>390</v>
      </c>
      <c r="L228" s="78" t="s">
        <v>390</v>
      </c>
      <c r="M228" s="78" t="s">
        <v>390</v>
      </c>
      <c r="N228" s="78" t="s">
        <v>390</v>
      </c>
      <c r="O228" s="79" t="s">
        <v>391</v>
      </c>
      <c r="P228" s="77" t="s">
        <v>13</v>
      </c>
      <c r="Q228" s="78" t="s">
        <v>390</v>
      </c>
      <c r="R228" s="78" t="s">
        <v>390</v>
      </c>
      <c r="S228" s="78" t="s">
        <v>390</v>
      </c>
      <c r="T228" s="78" t="s">
        <v>390</v>
      </c>
      <c r="U228" s="78" t="s">
        <v>390</v>
      </c>
      <c r="V228" s="78" t="s">
        <v>390</v>
      </c>
      <c r="W228" s="77" t="s">
        <v>13</v>
      </c>
      <c r="X228" s="78" t="s">
        <v>390</v>
      </c>
      <c r="Y228" s="78" t="s">
        <v>390</v>
      </c>
      <c r="Z228" s="78" t="s">
        <v>390</v>
      </c>
      <c r="AA228" s="78" t="s">
        <v>390</v>
      </c>
      <c r="AB228" s="85" t="s">
        <v>378</v>
      </c>
      <c r="AC228" s="78" t="s">
        <v>390</v>
      </c>
      <c r="AD228" s="77" t="s">
        <v>13</v>
      </c>
      <c r="AE228" s="78" t="s">
        <v>390</v>
      </c>
      <c r="AF228" s="78" t="s">
        <v>390</v>
      </c>
      <c r="AG228" s="78" t="s">
        <v>390</v>
      </c>
      <c r="AH228" s="78" t="s">
        <v>390</v>
      </c>
      <c r="AI228" s="78" t="s">
        <v>390</v>
      </c>
      <c r="AJ228" s="78" t="s">
        <v>390</v>
      </c>
      <c r="AK228" s="77" t="s">
        <v>13</v>
      </c>
      <c r="AL228" s="106">
        <f t="shared" si="15"/>
        <v>22</v>
      </c>
      <c r="AM228" s="106">
        <f t="shared" si="16"/>
        <v>1</v>
      </c>
      <c r="AN228" s="106">
        <f t="shared" si="17"/>
        <v>0</v>
      </c>
      <c r="AO228" s="106">
        <f t="shared" si="18"/>
        <v>23</v>
      </c>
      <c r="AP228" s="106">
        <f t="shared" si="19"/>
        <v>0</v>
      </c>
      <c r="AQ228" s="134"/>
      <c r="AR228" s="134"/>
      <c r="AS228" s="134"/>
      <c r="AT228" s="135"/>
      <c r="AU228" s="106" t="s">
        <v>427</v>
      </c>
      <c r="AV228" s="100"/>
      <c r="AW228" s="100"/>
    </row>
    <row r="229" spans="1:49" x14ac:dyDescent="0.25">
      <c r="A229" s="96">
        <v>229</v>
      </c>
      <c r="B229" s="148">
        <v>2343</v>
      </c>
      <c r="C229" s="32" t="s">
        <v>278</v>
      </c>
      <c r="D229" s="32" t="s">
        <v>19</v>
      </c>
      <c r="E229" s="32" t="s">
        <v>9</v>
      </c>
      <c r="F229" s="32" t="s">
        <v>107</v>
      </c>
      <c r="G229" s="67">
        <v>45755</v>
      </c>
      <c r="H229" s="77" t="s">
        <v>389</v>
      </c>
      <c r="I229" s="77" t="s">
        <v>13</v>
      </c>
      <c r="J229" s="78" t="s">
        <v>390</v>
      </c>
      <c r="K229" s="78" t="s">
        <v>390</v>
      </c>
      <c r="L229" s="78" t="s">
        <v>390</v>
      </c>
      <c r="M229" s="78" t="s">
        <v>390</v>
      </c>
      <c r="N229" s="78" t="s">
        <v>390</v>
      </c>
      <c r="O229" s="79" t="s">
        <v>391</v>
      </c>
      <c r="P229" s="77" t="s">
        <v>13</v>
      </c>
      <c r="Q229" s="78" t="s">
        <v>390</v>
      </c>
      <c r="R229" s="78" t="s">
        <v>390</v>
      </c>
      <c r="S229" s="78" t="s">
        <v>390</v>
      </c>
      <c r="T229" s="78" t="s">
        <v>390</v>
      </c>
      <c r="U229" s="78" t="s">
        <v>390</v>
      </c>
      <c r="V229" s="78" t="s">
        <v>390</v>
      </c>
      <c r="W229" s="77" t="s">
        <v>13</v>
      </c>
      <c r="X229" s="78" t="s">
        <v>390</v>
      </c>
      <c r="Y229" s="78" t="s">
        <v>390</v>
      </c>
      <c r="Z229" s="78" t="s">
        <v>390</v>
      </c>
      <c r="AA229" s="78" t="s">
        <v>390</v>
      </c>
      <c r="AB229" s="78" t="s">
        <v>390</v>
      </c>
      <c r="AC229" s="78" t="s">
        <v>390</v>
      </c>
      <c r="AD229" s="77" t="s">
        <v>13</v>
      </c>
      <c r="AE229" s="78" t="s">
        <v>390</v>
      </c>
      <c r="AF229" s="78" t="s">
        <v>390</v>
      </c>
      <c r="AG229" s="78" t="s">
        <v>390</v>
      </c>
      <c r="AH229" s="136" t="s">
        <v>390</v>
      </c>
      <c r="AI229" s="78" t="s">
        <v>390</v>
      </c>
      <c r="AJ229" s="78" t="s">
        <v>390</v>
      </c>
      <c r="AK229" s="77" t="s">
        <v>13</v>
      </c>
      <c r="AL229" s="106">
        <f t="shared" si="15"/>
        <v>23</v>
      </c>
      <c r="AM229" s="106">
        <f t="shared" si="16"/>
        <v>0</v>
      </c>
      <c r="AN229" s="106">
        <f t="shared" si="17"/>
        <v>0</v>
      </c>
      <c r="AO229" s="106">
        <f t="shared" si="18"/>
        <v>23</v>
      </c>
      <c r="AP229" s="106">
        <f t="shared" si="19"/>
        <v>0</v>
      </c>
      <c r="AQ229" s="134">
        <v>10</v>
      </c>
      <c r="AR229" s="134">
        <v>260</v>
      </c>
      <c r="AS229" s="134">
        <v>1</v>
      </c>
      <c r="AT229" s="135">
        <v>0.38461538461538464</v>
      </c>
      <c r="AU229" s="106" t="s">
        <v>427</v>
      </c>
      <c r="AV229" s="100"/>
      <c r="AW229" s="100"/>
    </row>
    <row r="230" spans="1:49" x14ac:dyDescent="0.25">
      <c r="A230" s="96">
        <v>230</v>
      </c>
      <c r="B230" s="148">
        <v>2344</v>
      </c>
      <c r="C230" s="32" t="s">
        <v>279</v>
      </c>
      <c r="D230" s="32" t="s">
        <v>23</v>
      </c>
      <c r="E230" s="32" t="s">
        <v>20</v>
      </c>
      <c r="F230" s="32" t="s">
        <v>93</v>
      </c>
      <c r="G230" s="60">
        <v>45762</v>
      </c>
      <c r="H230" s="77" t="s">
        <v>389</v>
      </c>
      <c r="I230" s="77" t="s">
        <v>13</v>
      </c>
      <c r="J230" s="78" t="s">
        <v>390</v>
      </c>
      <c r="K230" s="78" t="s">
        <v>390</v>
      </c>
      <c r="L230" s="78" t="s">
        <v>390</v>
      </c>
      <c r="M230" s="78" t="s">
        <v>390</v>
      </c>
      <c r="N230" s="78" t="s">
        <v>390</v>
      </c>
      <c r="O230" s="79" t="s">
        <v>391</v>
      </c>
      <c r="P230" s="77" t="s">
        <v>13</v>
      </c>
      <c r="Q230" s="78" t="s">
        <v>390</v>
      </c>
      <c r="R230" s="78" t="s">
        <v>390</v>
      </c>
      <c r="S230" s="78" t="s">
        <v>390</v>
      </c>
      <c r="T230" s="78" t="s">
        <v>390</v>
      </c>
      <c r="U230" s="78" t="s">
        <v>390</v>
      </c>
      <c r="V230" s="78" t="s">
        <v>390</v>
      </c>
      <c r="W230" s="77" t="s">
        <v>13</v>
      </c>
      <c r="X230" s="78" t="s">
        <v>390</v>
      </c>
      <c r="Y230" s="78" t="s">
        <v>390</v>
      </c>
      <c r="Z230" s="85" t="s">
        <v>378</v>
      </c>
      <c r="AA230" s="78" t="s">
        <v>390</v>
      </c>
      <c r="AB230" s="78" t="s">
        <v>390</v>
      </c>
      <c r="AC230" s="78" t="s">
        <v>390</v>
      </c>
      <c r="AD230" s="77" t="s">
        <v>13</v>
      </c>
      <c r="AE230" s="78" t="s">
        <v>390</v>
      </c>
      <c r="AF230" s="78" t="s">
        <v>390</v>
      </c>
      <c r="AG230" s="78" t="s">
        <v>390</v>
      </c>
      <c r="AH230" s="78" t="s">
        <v>390</v>
      </c>
      <c r="AI230" s="78" t="s">
        <v>390</v>
      </c>
      <c r="AJ230" s="85" t="s">
        <v>378</v>
      </c>
      <c r="AK230" s="77" t="s">
        <v>13</v>
      </c>
      <c r="AL230" s="106">
        <f t="shared" si="15"/>
        <v>21</v>
      </c>
      <c r="AM230" s="106">
        <f t="shared" si="16"/>
        <v>2</v>
      </c>
      <c r="AN230" s="106">
        <f t="shared" si="17"/>
        <v>0</v>
      </c>
      <c r="AO230" s="106">
        <f t="shared" si="18"/>
        <v>23</v>
      </c>
      <c r="AP230" s="106">
        <f t="shared" si="19"/>
        <v>0</v>
      </c>
      <c r="AQ230" s="134">
        <v>60</v>
      </c>
      <c r="AR230" s="134">
        <v>1620</v>
      </c>
      <c r="AS230" s="134">
        <v>1315</v>
      </c>
      <c r="AT230" s="135">
        <v>81.172839506172849</v>
      </c>
      <c r="AU230" s="106" t="s">
        <v>427</v>
      </c>
      <c r="AV230" s="100"/>
      <c r="AW230" s="100"/>
    </row>
    <row r="231" spans="1:49" x14ac:dyDescent="0.25">
      <c r="A231" s="96">
        <v>231</v>
      </c>
      <c r="B231" s="148">
        <v>2345</v>
      </c>
      <c r="C231" s="32" t="s">
        <v>280</v>
      </c>
      <c r="D231" s="32" t="s">
        <v>19</v>
      </c>
      <c r="E231" s="32" t="s">
        <v>39</v>
      </c>
      <c r="F231" s="32" t="s">
        <v>107</v>
      </c>
      <c r="G231" s="60">
        <v>45773</v>
      </c>
      <c r="H231" s="77" t="s">
        <v>389</v>
      </c>
      <c r="I231" s="77" t="s">
        <v>13</v>
      </c>
      <c r="J231" s="78" t="s">
        <v>390</v>
      </c>
      <c r="K231" s="78" t="s">
        <v>390</v>
      </c>
      <c r="L231" s="78" t="s">
        <v>390</v>
      </c>
      <c r="M231" s="78" t="s">
        <v>390</v>
      </c>
      <c r="N231" s="78" t="s">
        <v>390</v>
      </c>
      <c r="O231" s="78" t="s">
        <v>390</v>
      </c>
      <c r="P231" s="77" t="s">
        <v>13</v>
      </c>
      <c r="Q231" s="78" t="s">
        <v>390</v>
      </c>
      <c r="R231" s="78" t="s">
        <v>390</v>
      </c>
      <c r="S231" s="78" t="s">
        <v>390</v>
      </c>
      <c r="T231" s="78" t="s">
        <v>390</v>
      </c>
      <c r="U231" s="78" t="s">
        <v>390</v>
      </c>
      <c r="V231" s="78" t="s">
        <v>390</v>
      </c>
      <c r="W231" s="77" t="s">
        <v>13</v>
      </c>
      <c r="X231" s="78" t="s">
        <v>390</v>
      </c>
      <c r="Y231" s="78" t="s">
        <v>390</v>
      </c>
      <c r="Z231" s="78" t="s">
        <v>390</v>
      </c>
      <c r="AA231" s="78" t="s">
        <v>390</v>
      </c>
      <c r="AB231" s="80" t="s">
        <v>14</v>
      </c>
      <c r="AC231" s="79" t="s">
        <v>391</v>
      </c>
      <c r="AD231" s="77" t="s">
        <v>13</v>
      </c>
      <c r="AE231" s="78" t="s">
        <v>390</v>
      </c>
      <c r="AF231" s="78" t="s">
        <v>390</v>
      </c>
      <c r="AG231" s="78" t="s">
        <v>390</v>
      </c>
      <c r="AH231" s="78" t="s">
        <v>390</v>
      </c>
      <c r="AI231" s="78" t="s">
        <v>390</v>
      </c>
      <c r="AJ231" s="78" t="s">
        <v>390</v>
      </c>
      <c r="AK231" s="77" t="s">
        <v>13</v>
      </c>
      <c r="AL231" s="106">
        <f t="shared" si="15"/>
        <v>22</v>
      </c>
      <c r="AM231" s="106">
        <f t="shared" si="16"/>
        <v>0</v>
      </c>
      <c r="AN231" s="106">
        <f t="shared" si="17"/>
        <v>0</v>
      </c>
      <c r="AO231" s="106">
        <f t="shared" si="18"/>
        <v>22</v>
      </c>
      <c r="AP231" s="106">
        <f t="shared" si="19"/>
        <v>1</v>
      </c>
      <c r="AQ231" s="134"/>
      <c r="AR231" s="134"/>
      <c r="AS231" s="134"/>
      <c r="AT231" s="135"/>
      <c r="AU231" s="106" t="s">
        <v>427</v>
      </c>
      <c r="AV231" s="100"/>
      <c r="AW231" s="100"/>
    </row>
    <row r="232" spans="1:49" x14ac:dyDescent="0.25">
      <c r="A232" s="96">
        <v>232</v>
      </c>
      <c r="B232" s="148">
        <v>2346</v>
      </c>
      <c r="C232" s="32" t="s">
        <v>281</v>
      </c>
      <c r="D232" s="32" t="s">
        <v>23</v>
      </c>
      <c r="E232" s="32" t="s">
        <v>24</v>
      </c>
      <c r="F232" s="32" t="s">
        <v>107</v>
      </c>
      <c r="G232" s="59" t="s">
        <v>282</v>
      </c>
      <c r="H232" s="77" t="s">
        <v>389</v>
      </c>
      <c r="I232" s="77" t="s">
        <v>13</v>
      </c>
      <c r="J232" s="78" t="s">
        <v>390</v>
      </c>
      <c r="K232" s="78" t="s">
        <v>390</v>
      </c>
      <c r="L232" s="78" t="s">
        <v>390</v>
      </c>
      <c r="M232" s="81" t="s">
        <v>392</v>
      </c>
      <c r="N232" s="78" t="s">
        <v>390</v>
      </c>
      <c r="O232" s="82" t="s">
        <v>391</v>
      </c>
      <c r="P232" s="77" t="s">
        <v>13</v>
      </c>
      <c r="Q232" s="78" t="s">
        <v>390</v>
      </c>
      <c r="R232" s="78" t="s">
        <v>390</v>
      </c>
      <c r="S232" s="80" t="s">
        <v>14</v>
      </c>
      <c r="T232" s="78" t="s">
        <v>390</v>
      </c>
      <c r="U232" s="78" t="s">
        <v>390</v>
      </c>
      <c r="V232" s="139" t="s">
        <v>14</v>
      </c>
      <c r="W232" s="77" t="s">
        <v>13</v>
      </c>
      <c r="X232" s="81" t="s">
        <v>392</v>
      </c>
      <c r="Y232" s="78" t="s">
        <v>390</v>
      </c>
      <c r="Z232" s="78" t="s">
        <v>390</v>
      </c>
      <c r="AA232" s="78" t="s">
        <v>390</v>
      </c>
      <c r="AB232" s="78" t="s">
        <v>390</v>
      </c>
      <c r="AC232" s="78" t="s">
        <v>390</v>
      </c>
      <c r="AD232" s="77" t="s">
        <v>13</v>
      </c>
      <c r="AE232" s="78" t="s">
        <v>390</v>
      </c>
      <c r="AF232" s="78" t="s">
        <v>390</v>
      </c>
      <c r="AG232" s="78" t="s">
        <v>390</v>
      </c>
      <c r="AH232" s="78" t="s">
        <v>390</v>
      </c>
      <c r="AI232" s="78" t="s">
        <v>390</v>
      </c>
      <c r="AJ232" s="78" t="s">
        <v>390</v>
      </c>
      <c r="AK232" s="77" t="s">
        <v>13</v>
      </c>
      <c r="AL232" s="106">
        <f t="shared" si="15"/>
        <v>19</v>
      </c>
      <c r="AM232" s="106">
        <f t="shared" si="16"/>
        <v>0</v>
      </c>
      <c r="AN232" s="106">
        <f t="shared" si="17"/>
        <v>1</v>
      </c>
      <c r="AO232" s="106">
        <f t="shared" si="18"/>
        <v>20</v>
      </c>
      <c r="AP232" s="106">
        <f t="shared" si="19"/>
        <v>3</v>
      </c>
      <c r="AQ232" s="134">
        <v>70</v>
      </c>
      <c r="AR232" s="134">
        <v>1890</v>
      </c>
      <c r="AS232" s="134">
        <v>1030</v>
      </c>
      <c r="AT232" s="135">
        <v>54.4973544973545</v>
      </c>
      <c r="AU232" s="106" t="s">
        <v>427</v>
      </c>
      <c r="AV232" s="100"/>
      <c r="AW232" s="100"/>
    </row>
    <row r="233" spans="1:49" x14ac:dyDescent="0.25">
      <c r="A233" s="96">
        <v>233</v>
      </c>
      <c r="B233" s="148">
        <v>2347</v>
      </c>
      <c r="C233" s="32" t="s">
        <v>283</v>
      </c>
      <c r="D233" s="32" t="s">
        <v>44</v>
      </c>
      <c r="E233" s="32" t="s">
        <v>39</v>
      </c>
      <c r="F233" s="32" t="s">
        <v>107</v>
      </c>
      <c r="G233" s="59" t="s">
        <v>282</v>
      </c>
      <c r="H233" s="77" t="s">
        <v>389</v>
      </c>
      <c r="I233" s="77" t="s">
        <v>13</v>
      </c>
      <c r="J233" s="78" t="s">
        <v>390</v>
      </c>
      <c r="K233" s="78" t="s">
        <v>390</v>
      </c>
      <c r="L233" s="78" t="s">
        <v>390</v>
      </c>
      <c r="M233" s="78" t="s">
        <v>390</v>
      </c>
      <c r="N233" s="78" t="s">
        <v>390</v>
      </c>
      <c r="O233" s="79" t="s">
        <v>391</v>
      </c>
      <c r="P233" s="77" t="s">
        <v>13</v>
      </c>
      <c r="Q233" s="80" t="s">
        <v>14</v>
      </c>
      <c r="R233" s="80" t="s">
        <v>14</v>
      </c>
      <c r="S233" s="78" t="s">
        <v>390</v>
      </c>
      <c r="T233" s="78" t="s">
        <v>390</v>
      </c>
      <c r="U233" s="78" t="s">
        <v>390</v>
      </c>
      <c r="V233" s="78" t="s">
        <v>390</v>
      </c>
      <c r="W233" s="77" t="s">
        <v>13</v>
      </c>
      <c r="X233" s="78" t="s">
        <v>390</v>
      </c>
      <c r="Y233" s="78" t="s">
        <v>390</v>
      </c>
      <c r="Z233" s="78" t="s">
        <v>390</v>
      </c>
      <c r="AA233" s="78" t="s">
        <v>390</v>
      </c>
      <c r="AB233" s="78" t="s">
        <v>390</v>
      </c>
      <c r="AC233" s="78" t="s">
        <v>390</v>
      </c>
      <c r="AD233" s="77" t="s">
        <v>13</v>
      </c>
      <c r="AE233" s="78" t="s">
        <v>390</v>
      </c>
      <c r="AF233" s="78" t="s">
        <v>390</v>
      </c>
      <c r="AG233" s="78" t="s">
        <v>390</v>
      </c>
      <c r="AH233" s="78" t="s">
        <v>390</v>
      </c>
      <c r="AI233" s="78" t="s">
        <v>390</v>
      </c>
      <c r="AJ233" s="80" t="s">
        <v>14</v>
      </c>
      <c r="AK233" s="77" t="s">
        <v>13</v>
      </c>
      <c r="AL233" s="106">
        <f t="shared" si="15"/>
        <v>20</v>
      </c>
      <c r="AM233" s="106">
        <f t="shared" si="16"/>
        <v>0</v>
      </c>
      <c r="AN233" s="106">
        <f t="shared" si="17"/>
        <v>0</v>
      </c>
      <c r="AO233" s="106">
        <f t="shared" si="18"/>
        <v>20</v>
      </c>
      <c r="AP233" s="106">
        <f t="shared" si="19"/>
        <v>3</v>
      </c>
      <c r="AQ233" s="134"/>
      <c r="AR233" s="134"/>
      <c r="AS233" s="134"/>
      <c r="AT233" s="135"/>
      <c r="AU233" s="106" t="s">
        <v>427</v>
      </c>
      <c r="AV233" s="100"/>
      <c r="AW233" s="100"/>
    </row>
    <row r="234" spans="1:49" x14ac:dyDescent="0.25">
      <c r="A234" s="96">
        <v>234</v>
      </c>
      <c r="B234" s="148">
        <v>2350</v>
      </c>
      <c r="C234" s="32" t="s">
        <v>284</v>
      </c>
      <c r="D234" s="32" t="s">
        <v>23</v>
      </c>
      <c r="E234" s="32" t="s">
        <v>24</v>
      </c>
      <c r="F234" s="32" t="s">
        <v>89</v>
      </c>
      <c r="G234" s="61">
        <v>45779</v>
      </c>
      <c r="H234" s="77" t="s">
        <v>389</v>
      </c>
      <c r="I234" s="77" t="s">
        <v>13</v>
      </c>
      <c r="J234" s="78" t="s">
        <v>390</v>
      </c>
      <c r="K234" s="78" t="s">
        <v>390</v>
      </c>
      <c r="L234" s="78" t="s">
        <v>390</v>
      </c>
      <c r="M234" s="78" t="s">
        <v>390</v>
      </c>
      <c r="N234" s="78" t="s">
        <v>390</v>
      </c>
      <c r="O234" s="82" t="s">
        <v>391</v>
      </c>
      <c r="P234" s="77" t="s">
        <v>13</v>
      </c>
      <c r="Q234" s="78" t="s">
        <v>390</v>
      </c>
      <c r="R234" s="78" t="s">
        <v>390</v>
      </c>
      <c r="S234" s="78" t="s">
        <v>390</v>
      </c>
      <c r="T234" s="78" t="s">
        <v>390</v>
      </c>
      <c r="U234" s="78" t="s">
        <v>390</v>
      </c>
      <c r="V234" s="78" t="s">
        <v>390</v>
      </c>
      <c r="W234" s="77" t="s">
        <v>13</v>
      </c>
      <c r="X234" s="78" t="s">
        <v>390</v>
      </c>
      <c r="Y234" s="78" t="s">
        <v>390</v>
      </c>
      <c r="Z234" s="78" t="s">
        <v>390</v>
      </c>
      <c r="AA234" s="78" t="s">
        <v>390</v>
      </c>
      <c r="AB234" s="78" t="s">
        <v>390</v>
      </c>
      <c r="AC234" s="78" t="s">
        <v>390</v>
      </c>
      <c r="AD234" s="77" t="s">
        <v>13</v>
      </c>
      <c r="AE234" s="80" t="s">
        <v>14</v>
      </c>
      <c r="AF234" s="78" t="s">
        <v>390</v>
      </c>
      <c r="AG234" s="78" t="s">
        <v>390</v>
      </c>
      <c r="AH234" s="78" t="s">
        <v>390</v>
      </c>
      <c r="AI234" s="78" t="s">
        <v>390</v>
      </c>
      <c r="AJ234" s="78" t="s">
        <v>390</v>
      </c>
      <c r="AK234" s="78" t="s">
        <v>390</v>
      </c>
      <c r="AL234" s="106">
        <f t="shared" si="15"/>
        <v>23</v>
      </c>
      <c r="AM234" s="106">
        <f t="shared" si="16"/>
        <v>0</v>
      </c>
      <c r="AN234" s="106">
        <f t="shared" si="17"/>
        <v>0</v>
      </c>
      <c r="AO234" s="106">
        <f t="shared" si="18"/>
        <v>23</v>
      </c>
      <c r="AP234" s="106">
        <f t="shared" si="19"/>
        <v>1</v>
      </c>
      <c r="AQ234" s="134">
        <v>70</v>
      </c>
      <c r="AR234" s="134">
        <v>1890</v>
      </c>
      <c r="AS234" s="134">
        <v>1432</v>
      </c>
      <c r="AT234" s="135">
        <v>75.767195767195773</v>
      </c>
      <c r="AU234" s="106" t="s">
        <v>427</v>
      </c>
      <c r="AV234" s="100"/>
      <c r="AW234" s="100"/>
    </row>
    <row r="235" spans="1:49" x14ac:dyDescent="0.25">
      <c r="A235" s="96">
        <v>235</v>
      </c>
      <c r="B235" s="148">
        <v>2351</v>
      </c>
      <c r="C235" s="32" t="s">
        <v>285</v>
      </c>
      <c r="D235" s="32" t="s">
        <v>258</v>
      </c>
      <c r="E235" s="30" t="s">
        <v>28</v>
      </c>
      <c r="F235" s="32" t="s">
        <v>93</v>
      </c>
      <c r="G235" s="61">
        <v>45780</v>
      </c>
      <c r="H235" s="77" t="s">
        <v>389</v>
      </c>
      <c r="I235" s="77" t="s">
        <v>13</v>
      </c>
      <c r="J235" s="78" t="s">
        <v>390</v>
      </c>
      <c r="K235" s="78" t="s">
        <v>390</v>
      </c>
      <c r="L235" s="78" t="s">
        <v>390</v>
      </c>
      <c r="M235" s="78" t="s">
        <v>390</v>
      </c>
      <c r="N235" s="78" t="s">
        <v>390</v>
      </c>
      <c r="O235" s="78" t="s">
        <v>390</v>
      </c>
      <c r="P235" s="77" t="s">
        <v>13</v>
      </c>
      <c r="Q235" s="78" t="s">
        <v>390</v>
      </c>
      <c r="R235" s="78" t="s">
        <v>390</v>
      </c>
      <c r="S235" s="78" t="s">
        <v>390</v>
      </c>
      <c r="T235" s="78" t="s">
        <v>390</v>
      </c>
      <c r="U235" s="78" t="s">
        <v>390</v>
      </c>
      <c r="V235" s="79" t="s">
        <v>391</v>
      </c>
      <c r="W235" s="77" t="s">
        <v>13</v>
      </c>
      <c r="X235" s="80" t="s">
        <v>14</v>
      </c>
      <c r="Y235" s="78" t="s">
        <v>390</v>
      </c>
      <c r="Z235" s="78" t="s">
        <v>390</v>
      </c>
      <c r="AA235" s="78" t="s">
        <v>390</v>
      </c>
      <c r="AB235" s="78" t="s">
        <v>390</v>
      </c>
      <c r="AC235" s="85" t="s">
        <v>378</v>
      </c>
      <c r="AD235" s="77" t="s">
        <v>13</v>
      </c>
      <c r="AE235" s="85" t="s">
        <v>378</v>
      </c>
      <c r="AF235" s="78" t="s">
        <v>390</v>
      </c>
      <c r="AG235" s="78" t="s">
        <v>390</v>
      </c>
      <c r="AH235" s="78" t="s">
        <v>390</v>
      </c>
      <c r="AI235" s="78" t="s">
        <v>390</v>
      </c>
      <c r="AJ235" s="78" t="s">
        <v>390</v>
      </c>
      <c r="AK235" s="85" t="s">
        <v>378</v>
      </c>
      <c r="AL235" s="106">
        <f t="shared" si="15"/>
        <v>20</v>
      </c>
      <c r="AM235" s="106">
        <f t="shared" si="16"/>
        <v>3</v>
      </c>
      <c r="AN235" s="106">
        <f t="shared" si="17"/>
        <v>0</v>
      </c>
      <c r="AO235" s="106">
        <f t="shared" si="18"/>
        <v>23</v>
      </c>
      <c r="AP235" s="106">
        <f t="shared" si="19"/>
        <v>1</v>
      </c>
      <c r="AQ235" s="134">
        <v>70</v>
      </c>
      <c r="AR235" s="134">
        <v>1890</v>
      </c>
      <c r="AS235" s="134">
        <v>33</v>
      </c>
      <c r="AT235" s="135">
        <v>1.746031746031746</v>
      </c>
      <c r="AU235" s="106" t="s">
        <v>427</v>
      </c>
      <c r="AV235" s="100"/>
      <c r="AW235" s="100"/>
    </row>
    <row r="236" spans="1:49" x14ac:dyDescent="0.25">
      <c r="A236" s="96">
        <v>236</v>
      </c>
      <c r="B236" s="148">
        <v>2352</v>
      </c>
      <c r="C236" s="32" t="s">
        <v>286</v>
      </c>
      <c r="D236" s="32" t="s">
        <v>8</v>
      </c>
      <c r="E236" s="32" t="s">
        <v>9</v>
      </c>
      <c r="F236" s="32" t="s">
        <v>107</v>
      </c>
      <c r="G236" s="67">
        <v>45566</v>
      </c>
      <c r="H236" s="77" t="s">
        <v>389</v>
      </c>
      <c r="I236" s="77" t="s">
        <v>13</v>
      </c>
      <c r="J236" s="80" t="s">
        <v>14</v>
      </c>
      <c r="K236" s="78" t="s">
        <v>390</v>
      </c>
      <c r="L236" s="78" t="s">
        <v>390</v>
      </c>
      <c r="M236" s="78" t="s">
        <v>390</v>
      </c>
      <c r="N236" s="78" t="s">
        <v>390</v>
      </c>
      <c r="O236" s="79" t="s">
        <v>391</v>
      </c>
      <c r="P236" s="77" t="s">
        <v>13</v>
      </c>
      <c r="Q236" s="78" t="s">
        <v>390</v>
      </c>
      <c r="R236" s="78" t="s">
        <v>390</v>
      </c>
      <c r="S236" s="78" t="s">
        <v>390</v>
      </c>
      <c r="T236" s="78" t="s">
        <v>390</v>
      </c>
      <c r="U236" s="78" t="s">
        <v>390</v>
      </c>
      <c r="V236" s="78" t="s">
        <v>390</v>
      </c>
      <c r="W236" s="77" t="s">
        <v>13</v>
      </c>
      <c r="X236" s="78" t="s">
        <v>390</v>
      </c>
      <c r="Y236" s="78" t="s">
        <v>390</v>
      </c>
      <c r="Z236" s="78" t="s">
        <v>390</v>
      </c>
      <c r="AA236" s="78" t="s">
        <v>390</v>
      </c>
      <c r="AB236" s="78" t="s">
        <v>390</v>
      </c>
      <c r="AC236" s="78" t="s">
        <v>390</v>
      </c>
      <c r="AD236" s="77" t="s">
        <v>13</v>
      </c>
      <c r="AE236" s="78" t="s">
        <v>390</v>
      </c>
      <c r="AF236" s="86" t="s">
        <v>14</v>
      </c>
      <c r="AG236" s="86" t="s">
        <v>14</v>
      </c>
      <c r="AH236" s="86" t="s">
        <v>14</v>
      </c>
      <c r="AI236" s="78" t="s">
        <v>390</v>
      </c>
      <c r="AJ236" s="78" t="s">
        <v>390</v>
      </c>
      <c r="AK236" s="77" t="s">
        <v>13</v>
      </c>
      <c r="AL236" s="106">
        <f t="shared" si="15"/>
        <v>19</v>
      </c>
      <c r="AM236" s="106">
        <f t="shared" si="16"/>
        <v>0</v>
      </c>
      <c r="AN236" s="106">
        <f t="shared" si="17"/>
        <v>0</v>
      </c>
      <c r="AO236" s="106">
        <f t="shared" si="18"/>
        <v>19</v>
      </c>
      <c r="AP236" s="106">
        <f t="shared" si="19"/>
        <v>4</v>
      </c>
      <c r="AQ236" s="134"/>
      <c r="AR236" s="134"/>
      <c r="AS236" s="134"/>
      <c r="AT236" s="135"/>
      <c r="AU236" s="106" t="s">
        <v>427</v>
      </c>
      <c r="AV236" s="100"/>
      <c r="AW236" s="100"/>
    </row>
    <row r="237" spans="1:49" x14ac:dyDescent="0.25">
      <c r="A237" s="96">
        <v>237</v>
      </c>
      <c r="B237" s="148">
        <v>2353</v>
      </c>
      <c r="C237" s="32" t="s">
        <v>287</v>
      </c>
      <c r="D237" s="32" t="s">
        <v>88</v>
      </c>
      <c r="E237" s="32" t="s">
        <v>39</v>
      </c>
      <c r="F237" s="32" t="s">
        <v>107</v>
      </c>
      <c r="G237" s="60">
        <v>45525</v>
      </c>
      <c r="H237" s="77" t="s">
        <v>389</v>
      </c>
      <c r="I237" s="77" t="s">
        <v>13</v>
      </c>
      <c r="J237" s="78" t="s">
        <v>390</v>
      </c>
      <c r="K237" s="78" t="s">
        <v>390</v>
      </c>
      <c r="L237" s="78" t="s">
        <v>390</v>
      </c>
      <c r="M237" s="78" t="s">
        <v>390</v>
      </c>
      <c r="N237" s="78" t="s">
        <v>390</v>
      </c>
      <c r="O237" s="78" t="s">
        <v>390</v>
      </c>
      <c r="P237" s="77" t="s">
        <v>13</v>
      </c>
      <c r="Q237" s="78" t="s">
        <v>390</v>
      </c>
      <c r="R237" s="78" t="s">
        <v>390</v>
      </c>
      <c r="S237" s="78" t="s">
        <v>390</v>
      </c>
      <c r="T237" s="78" t="s">
        <v>390</v>
      </c>
      <c r="U237" s="78" t="s">
        <v>390</v>
      </c>
      <c r="V237" s="79" t="s">
        <v>391</v>
      </c>
      <c r="W237" s="77" t="s">
        <v>13</v>
      </c>
      <c r="X237" s="78" t="s">
        <v>390</v>
      </c>
      <c r="Y237" s="78" t="s">
        <v>390</v>
      </c>
      <c r="Z237" s="78" t="s">
        <v>390</v>
      </c>
      <c r="AA237" s="78" t="s">
        <v>390</v>
      </c>
      <c r="AB237" s="78" t="s">
        <v>390</v>
      </c>
      <c r="AC237" s="78" t="s">
        <v>390</v>
      </c>
      <c r="AD237" s="77" t="s">
        <v>13</v>
      </c>
      <c r="AE237" s="78" t="s">
        <v>390</v>
      </c>
      <c r="AF237" s="78" t="s">
        <v>390</v>
      </c>
      <c r="AG237" s="78" t="s">
        <v>390</v>
      </c>
      <c r="AH237" s="78" t="s">
        <v>390</v>
      </c>
      <c r="AI237" s="78" t="s">
        <v>390</v>
      </c>
      <c r="AJ237" s="78" t="s">
        <v>390</v>
      </c>
      <c r="AK237" s="77" t="s">
        <v>13</v>
      </c>
      <c r="AL237" s="106">
        <f t="shared" si="15"/>
        <v>23</v>
      </c>
      <c r="AM237" s="106">
        <f t="shared" si="16"/>
        <v>0</v>
      </c>
      <c r="AN237" s="106">
        <f t="shared" si="17"/>
        <v>0</v>
      </c>
      <c r="AO237" s="106">
        <f t="shared" si="18"/>
        <v>23</v>
      </c>
      <c r="AP237" s="106">
        <f t="shared" si="19"/>
        <v>0</v>
      </c>
      <c r="AQ237" s="134"/>
      <c r="AR237" s="134"/>
      <c r="AS237" s="134"/>
      <c r="AT237" s="135"/>
      <c r="AU237" s="106" t="s">
        <v>427</v>
      </c>
      <c r="AV237" s="100"/>
      <c r="AW237" s="100"/>
    </row>
    <row r="238" spans="1:49" x14ac:dyDescent="0.25">
      <c r="A238" s="96">
        <v>238</v>
      </c>
      <c r="B238" s="148">
        <v>2354</v>
      </c>
      <c r="C238" s="32" t="s">
        <v>288</v>
      </c>
      <c r="D238" s="32" t="s">
        <v>23</v>
      </c>
      <c r="E238" s="32" t="s">
        <v>39</v>
      </c>
      <c r="F238" s="32" t="s">
        <v>107</v>
      </c>
      <c r="G238" s="59" t="s">
        <v>289</v>
      </c>
      <c r="H238" s="77" t="s">
        <v>389</v>
      </c>
      <c r="I238" s="77" t="s">
        <v>13</v>
      </c>
      <c r="J238" s="78" t="s">
        <v>390</v>
      </c>
      <c r="K238" s="78" t="s">
        <v>390</v>
      </c>
      <c r="L238" s="78" t="s">
        <v>390</v>
      </c>
      <c r="M238" s="78" t="s">
        <v>390</v>
      </c>
      <c r="N238" s="78" t="s">
        <v>390</v>
      </c>
      <c r="O238" s="136" t="s">
        <v>390</v>
      </c>
      <c r="P238" s="77" t="s">
        <v>13</v>
      </c>
      <c r="Q238" s="78" t="s">
        <v>390</v>
      </c>
      <c r="R238" s="78" t="s">
        <v>390</v>
      </c>
      <c r="S238" s="78" t="s">
        <v>390</v>
      </c>
      <c r="T238" s="78" t="s">
        <v>390</v>
      </c>
      <c r="U238" s="78" t="s">
        <v>390</v>
      </c>
      <c r="V238" s="78" t="s">
        <v>390</v>
      </c>
      <c r="W238" s="77" t="s">
        <v>13</v>
      </c>
      <c r="X238" s="79" t="s">
        <v>391</v>
      </c>
      <c r="Y238" s="80" t="s">
        <v>14</v>
      </c>
      <c r="Z238" s="80" t="s">
        <v>14</v>
      </c>
      <c r="AA238" s="80" t="s">
        <v>14</v>
      </c>
      <c r="AB238" s="78" t="s">
        <v>390</v>
      </c>
      <c r="AC238" s="78" t="s">
        <v>390</v>
      </c>
      <c r="AD238" s="77" t="s">
        <v>13</v>
      </c>
      <c r="AE238" s="78" t="s">
        <v>390</v>
      </c>
      <c r="AF238" s="78" t="s">
        <v>390</v>
      </c>
      <c r="AG238" s="78" t="s">
        <v>390</v>
      </c>
      <c r="AH238" s="78" t="s">
        <v>390</v>
      </c>
      <c r="AI238" s="78" t="s">
        <v>390</v>
      </c>
      <c r="AJ238" s="78" t="s">
        <v>390</v>
      </c>
      <c r="AK238" s="77" t="s">
        <v>13</v>
      </c>
      <c r="AL238" s="106">
        <f t="shared" si="15"/>
        <v>20</v>
      </c>
      <c r="AM238" s="106">
        <f t="shared" si="16"/>
        <v>0</v>
      </c>
      <c r="AN238" s="106">
        <f t="shared" si="17"/>
        <v>0</v>
      </c>
      <c r="AO238" s="106">
        <f t="shared" si="18"/>
        <v>20</v>
      </c>
      <c r="AP238" s="106">
        <f t="shared" si="19"/>
        <v>3</v>
      </c>
      <c r="AQ238" s="134">
        <v>50</v>
      </c>
      <c r="AR238" s="134">
        <v>1350</v>
      </c>
      <c r="AS238" s="134">
        <v>976</v>
      </c>
      <c r="AT238" s="135">
        <v>72.296296296296291</v>
      </c>
      <c r="AU238" s="106" t="s">
        <v>427</v>
      </c>
      <c r="AV238" s="100"/>
      <c r="AW238" s="100"/>
    </row>
    <row r="239" spans="1:49" x14ac:dyDescent="0.25">
      <c r="A239" s="96">
        <v>239</v>
      </c>
      <c r="B239" s="148">
        <v>2358</v>
      </c>
      <c r="C239" s="32" t="s">
        <v>290</v>
      </c>
      <c r="D239" s="32" t="s">
        <v>16</v>
      </c>
      <c r="E239" s="32" t="s">
        <v>45</v>
      </c>
      <c r="F239" s="32" t="s">
        <v>107</v>
      </c>
      <c r="G239" s="59" t="s">
        <v>291</v>
      </c>
      <c r="H239" s="77" t="s">
        <v>389</v>
      </c>
      <c r="I239" s="77" t="s">
        <v>13</v>
      </c>
      <c r="J239" s="78" t="s">
        <v>390</v>
      </c>
      <c r="K239" s="85" t="s">
        <v>378</v>
      </c>
      <c r="L239" s="78" t="s">
        <v>390</v>
      </c>
      <c r="M239" s="78" t="s">
        <v>390</v>
      </c>
      <c r="N239" s="78" t="s">
        <v>390</v>
      </c>
      <c r="O239" s="136" t="s">
        <v>390</v>
      </c>
      <c r="P239" s="77" t="s">
        <v>13</v>
      </c>
      <c r="Q239" s="78" t="s">
        <v>390</v>
      </c>
      <c r="R239" s="80" t="s">
        <v>14</v>
      </c>
      <c r="S239" s="80" t="s">
        <v>14</v>
      </c>
      <c r="T239" s="80" t="s">
        <v>14</v>
      </c>
      <c r="U239" s="78" t="s">
        <v>390</v>
      </c>
      <c r="V239" s="87" t="s">
        <v>391</v>
      </c>
      <c r="W239" s="77" t="s">
        <v>13</v>
      </c>
      <c r="X239" s="78" t="s">
        <v>390</v>
      </c>
      <c r="Y239" s="78" t="s">
        <v>390</v>
      </c>
      <c r="Z239" s="78" t="s">
        <v>390</v>
      </c>
      <c r="AA239" s="78" t="s">
        <v>390</v>
      </c>
      <c r="AB239" s="78" t="s">
        <v>390</v>
      </c>
      <c r="AC239" s="78" t="s">
        <v>390</v>
      </c>
      <c r="AD239" s="77" t="s">
        <v>13</v>
      </c>
      <c r="AE239" s="78" t="s">
        <v>390</v>
      </c>
      <c r="AF239" s="78" t="s">
        <v>390</v>
      </c>
      <c r="AG239" s="78" t="s">
        <v>390</v>
      </c>
      <c r="AH239" s="78" t="s">
        <v>390</v>
      </c>
      <c r="AI239" s="78" t="s">
        <v>390</v>
      </c>
      <c r="AJ239" s="78" t="s">
        <v>390</v>
      </c>
      <c r="AK239" s="77" t="s">
        <v>13</v>
      </c>
      <c r="AL239" s="106">
        <f t="shared" si="15"/>
        <v>19</v>
      </c>
      <c r="AM239" s="106">
        <f t="shared" si="16"/>
        <v>1</v>
      </c>
      <c r="AN239" s="106">
        <f t="shared" si="17"/>
        <v>0</v>
      </c>
      <c r="AO239" s="106">
        <f t="shared" si="18"/>
        <v>20</v>
      </c>
      <c r="AP239" s="106">
        <f t="shared" si="19"/>
        <v>3</v>
      </c>
      <c r="AQ239" s="134"/>
      <c r="AR239" s="134"/>
      <c r="AS239" s="134"/>
      <c r="AT239" s="135"/>
      <c r="AU239" s="106" t="s">
        <v>427</v>
      </c>
      <c r="AV239" s="100"/>
      <c r="AW239" s="100"/>
    </row>
    <row r="240" spans="1:49" x14ac:dyDescent="0.25">
      <c r="A240" s="96">
        <v>240</v>
      </c>
      <c r="B240" s="148">
        <v>2359</v>
      </c>
      <c r="C240" s="32" t="s">
        <v>292</v>
      </c>
      <c r="D240" s="32" t="s">
        <v>176</v>
      </c>
      <c r="E240" s="32" t="s">
        <v>98</v>
      </c>
      <c r="F240" s="32" t="s">
        <v>125</v>
      </c>
      <c r="G240" s="61">
        <v>45810</v>
      </c>
      <c r="H240" s="76" t="s">
        <v>378</v>
      </c>
      <c r="I240" s="75" t="s">
        <v>13</v>
      </c>
      <c r="J240" s="84" t="s">
        <v>390</v>
      </c>
      <c r="K240" s="84" t="s">
        <v>390</v>
      </c>
      <c r="L240" s="76" t="s">
        <v>378</v>
      </c>
      <c r="M240" s="76" t="s">
        <v>378</v>
      </c>
      <c r="N240" s="83" t="s">
        <v>14</v>
      </c>
      <c r="O240" s="76" t="s">
        <v>378</v>
      </c>
      <c r="P240" s="75" t="s">
        <v>13</v>
      </c>
      <c r="Q240" s="84" t="s">
        <v>390</v>
      </c>
      <c r="R240" s="84" t="s">
        <v>390</v>
      </c>
      <c r="S240" s="76" t="s">
        <v>378</v>
      </c>
      <c r="T240" s="145" t="s">
        <v>14</v>
      </c>
      <c r="U240" s="83" t="s">
        <v>14</v>
      </c>
      <c r="V240" s="79" t="s">
        <v>391</v>
      </c>
      <c r="W240" s="75" t="s">
        <v>13</v>
      </c>
      <c r="X240" s="83" t="s">
        <v>14</v>
      </c>
      <c r="Y240" s="76" t="s">
        <v>378</v>
      </c>
      <c r="Z240" s="84" t="s">
        <v>390</v>
      </c>
      <c r="AA240" s="84" t="s">
        <v>390</v>
      </c>
      <c r="AB240" s="84" t="s">
        <v>390</v>
      </c>
      <c r="AC240" s="76" t="s">
        <v>378</v>
      </c>
      <c r="AD240" s="75" t="s">
        <v>13</v>
      </c>
      <c r="AE240" s="84" t="s">
        <v>390</v>
      </c>
      <c r="AF240" s="76" t="s">
        <v>378</v>
      </c>
      <c r="AG240" s="84" t="s">
        <v>390</v>
      </c>
      <c r="AH240" s="84" t="s">
        <v>390</v>
      </c>
      <c r="AI240" s="76" t="s">
        <v>378</v>
      </c>
      <c r="AJ240" s="83" t="s">
        <v>14</v>
      </c>
      <c r="AK240" s="75" t="s">
        <v>13</v>
      </c>
      <c r="AL240" s="106">
        <f t="shared" si="15"/>
        <v>10</v>
      </c>
      <c r="AM240" s="106">
        <f t="shared" si="16"/>
        <v>9</v>
      </c>
      <c r="AN240" s="106">
        <f t="shared" si="17"/>
        <v>0</v>
      </c>
      <c r="AO240" s="106">
        <f t="shared" si="18"/>
        <v>19</v>
      </c>
      <c r="AP240" s="106">
        <f t="shared" si="19"/>
        <v>5</v>
      </c>
      <c r="AQ240" s="134"/>
      <c r="AR240" s="134"/>
      <c r="AS240" s="134"/>
      <c r="AT240" s="135"/>
      <c r="AU240" s="106" t="s">
        <v>427</v>
      </c>
      <c r="AV240" s="100"/>
      <c r="AW240" s="100"/>
    </row>
    <row r="241" spans="1:49" x14ac:dyDescent="0.25">
      <c r="A241" s="96">
        <v>241</v>
      </c>
      <c r="B241" s="148">
        <v>2360</v>
      </c>
      <c r="C241" s="32" t="s">
        <v>293</v>
      </c>
      <c r="D241" s="32" t="s">
        <v>258</v>
      </c>
      <c r="E241" s="30" t="s">
        <v>28</v>
      </c>
      <c r="F241" s="32" t="s">
        <v>93</v>
      </c>
      <c r="G241" s="61">
        <v>45811</v>
      </c>
      <c r="H241" s="77" t="s">
        <v>389</v>
      </c>
      <c r="I241" s="77" t="s">
        <v>13</v>
      </c>
      <c r="J241" s="78" t="s">
        <v>390</v>
      </c>
      <c r="K241" s="78" t="s">
        <v>390</v>
      </c>
      <c r="L241" s="78" t="s">
        <v>390</v>
      </c>
      <c r="M241" s="78" t="s">
        <v>390</v>
      </c>
      <c r="N241" s="78" t="s">
        <v>390</v>
      </c>
      <c r="O241" s="85" t="s">
        <v>378</v>
      </c>
      <c r="P241" s="77" t="s">
        <v>13</v>
      </c>
      <c r="Q241" s="78" t="s">
        <v>390</v>
      </c>
      <c r="R241" s="85" t="s">
        <v>378</v>
      </c>
      <c r="S241" s="78" t="s">
        <v>390</v>
      </c>
      <c r="T241" s="80" t="s">
        <v>14</v>
      </c>
      <c r="U241" s="78" t="s">
        <v>390</v>
      </c>
      <c r="V241" s="79" t="s">
        <v>391</v>
      </c>
      <c r="W241" s="77" t="s">
        <v>13</v>
      </c>
      <c r="X241" s="78" t="s">
        <v>390</v>
      </c>
      <c r="Y241" s="78" t="s">
        <v>390</v>
      </c>
      <c r="Z241" s="78" t="s">
        <v>390</v>
      </c>
      <c r="AA241" s="78" t="s">
        <v>390</v>
      </c>
      <c r="AB241" s="78" t="s">
        <v>390</v>
      </c>
      <c r="AC241" s="78" t="s">
        <v>390</v>
      </c>
      <c r="AD241" s="77" t="s">
        <v>13</v>
      </c>
      <c r="AE241" s="78" t="s">
        <v>390</v>
      </c>
      <c r="AF241" s="78" t="s">
        <v>390</v>
      </c>
      <c r="AG241" s="78" t="s">
        <v>390</v>
      </c>
      <c r="AH241" s="78" t="s">
        <v>390</v>
      </c>
      <c r="AI241" s="78" t="s">
        <v>390</v>
      </c>
      <c r="AJ241" s="78" t="s">
        <v>390</v>
      </c>
      <c r="AK241" s="77" t="s">
        <v>13</v>
      </c>
      <c r="AL241" s="106">
        <f t="shared" si="15"/>
        <v>20</v>
      </c>
      <c r="AM241" s="106">
        <f t="shared" si="16"/>
        <v>2</v>
      </c>
      <c r="AN241" s="106">
        <f t="shared" si="17"/>
        <v>0</v>
      </c>
      <c r="AO241" s="106">
        <f t="shared" si="18"/>
        <v>22</v>
      </c>
      <c r="AP241" s="106">
        <f t="shared" si="19"/>
        <v>1</v>
      </c>
      <c r="AQ241" s="134"/>
      <c r="AR241" s="134"/>
      <c r="AS241" s="134"/>
      <c r="AT241" s="135"/>
      <c r="AU241" s="106" t="s">
        <v>427</v>
      </c>
      <c r="AV241" s="100"/>
      <c r="AW241" s="100"/>
    </row>
    <row r="242" spans="1:49" x14ac:dyDescent="0.25">
      <c r="A242" s="96">
        <v>242</v>
      </c>
      <c r="B242" s="148">
        <v>2362</v>
      </c>
      <c r="C242" s="32" t="s">
        <v>294</v>
      </c>
      <c r="D242" s="32" t="s">
        <v>23</v>
      </c>
      <c r="E242" s="32" t="s">
        <v>20</v>
      </c>
      <c r="F242" s="32" t="s">
        <v>107</v>
      </c>
      <c r="G242" s="61">
        <v>45817</v>
      </c>
      <c r="H242" s="77" t="s">
        <v>389</v>
      </c>
      <c r="I242" s="77" t="s">
        <v>13</v>
      </c>
      <c r="J242" s="78" t="s">
        <v>390</v>
      </c>
      <c r="K242" s="78" t="s">
        <v>390</v>
      </c>
      <c r="L242" s="78" t="s">
        <v>390</v>
      </c>
      <c r="M242" s="78" t="s">
        <v>390</v>
      </c>
      <c r="N242" s="78" t="s">
        <v>390</v>
      </c>
      <c r="O242" s="78" t="s">
        <v>390</v>
      </c>
      <c r="P242" s="77" t="s">
        <v>13</v>
      </c>
      <c r="Q242" s="78" t="s">
        <v>390</v>
      </c>
      <c r="R242" s="78" t="s">
        <v>390</v>
      </c>
      <c r="S242" s="78" t="s">
        <v>390</v>
      </c>
      <c r="T242" s="78" t="s">
        <v>390</v>
      </c>
      <c r="U242" s="78" t="s">
        <v>390</v>
      </c>
      <c r="V242" s="79" t="s">
        <v>391</v>
      </c>
      <c r="W242" s="77" t="s">
        <v>13</v>
      </c>
      <c r="X242" s="78" t="s">
        <v>390</v>
      </c>
      <c r="Y242" s="78" t="s">
        <v>390</v>
      </c>
      <c r="Z242" s="78" t="s">
        <v>390</v>
      </c>
      <c r="AA242" s="78" t="s">
        <v>390</v>
      </c>
      <c r="AB242" s="78" t="s">
        <v>390</v>
      </c>
      <c r="AC242" s="80" t="s">
        <v>14</v>
      </c>
      <c r="AD242" s="77" t="s">
        <v>13</v>
      </c>
      <c r="AE242" s="78" t="s">
        <v>390</v>
      </c>
      <c r="AF242" s="78" t="s">
        <v>390</v>
      </c>
      <c r="AG242" s="78" t="s">
        <v>390</v>
      </c>
      <c r="AH242" s="78" t="s">
        <v>390</v>
      </c>
      <c r="AI242" s="78" t="s">
        <v>390</v>
      </c>
      <c r="AJ242" s="136" t="s">
        <v>390</v>
      </c>
      <c r="AK242" s="77" t="s">
        <v>13</v>
      </c>
      <c r="AL242" s="106">
        <f t="shared" si="15"/>
        <v>22</v>
      </c>
      <c r="AM242" s="106">
        <f t="shared" si="16"/>
        <v>0</v>
      </c>
      <c r="AN242" s="106">
        <f t="shared" si="17"/>
        <v>0</v>
      </c>
      <c r="AO242" s="106">
        <f t="shared" si="18"/>
        <v>22</v>
      </c>
      <c r="AP242" s="106">
        <f t="shared" si="19"/>
        <v>1</v>
      </c>
      <c r="AQ242" s="134">
        <v>50</v>
      </c>
      <c r="AR242" s="134">
        <v>1450</v>
      </c>
      <c r="AS242" s="134">
        <v>1</v>
      </c>
      <c r="AT242" s="135">
        <v>6.8965517241379309E-2</v>
      </c>
      <c r="AU242" s="106" t="s">
        <v>427</v>
      </c>
      <c r="AV242" s="100"/>
      <c r="AW242" s="100"/>
    </row>
    <row r="243" spans="1:49" x14ac:dyDescent="0.25">
      <c r="A243" s="96">
        <v>244</v>
      </c>
      <c r="B243" s="148">
        <v>2364</v>
      </c>
      <c r="C243" s="32" t="s">
        <v>297</v>
      </c>
      <c r="D243" s="32" t="s">
        <v>258</v>
      </c>
      <c r="E243" s="32" t="s">
        <v>45</v>
      </c>
      <c r="F243" s="32" t="s">
        <v>107</v>
      </c>
      <c r="G243" s="59" t="s">
        <v>296</v>
      </c>
      <c r="H243" s="77" t="s">
        <v>389</v>
      </c>
      <c r="I243" s="77" t="s">
        <v>13</v>
      </c>
      <c r="J243" s="78" t="s">
        <v>390</v>
      </c>
      <c r="K243" s="78" t="s">
        <v>390</v>
      </c>
      <c r="L243" s="78" t="s">
        <v>390</v>
      </c>
      <c r="M243" s="136" t="s">
        <v>390</v>
      </c>
      <c r="N243" s="78" t="s">
        <v>390</v>
      </c>
      <c r="O243" s="87" t="s">
        <v>391</v>
      </c>
      <c r="P243" s="77" t="s">
        <v>13</v>
      </c>
      <c r="Q243" s="78" t="s">
        <v>390</v>
      </c>
      <c r="R243" s="78" t="s">
        <v>390</v>
      </c>
      <c r="S243" s="78" t="s">
        <v>390</v>
      </c>
      <c r="T243" s="78" t="s">
        <v>390</v>
      </c>
      <c r="U243" s="78" t="s">
        <v>390</v>
      </c>
      <c r="V243" s="87" t="s">
        <v>391</v>
      </c>
      <c r="W243" s="77" t="s">
        <v>13</v>
      </c>
      <c r="X243" s="78" t="s">
        <v>390</v>
      </c>
      <c r="Y243" s="78" t="s">
        <v>390</v>
      </c>
      <c r="Z243" s="78" t="s">
        <v>390</v>
      </c>
      <c r="AA243" s="78" t="s">
        <v>390</v>
      </c>
      <c r="AB243" s="78" t="s">
        <v>390</v>
      </c>
      <c r="AC243" s="87" t="s">
        <v>391</v>
      </c>
      <c r="AD243" s="77" t="s">
        <v>13</v>
      </c>
      <c r="AE243" s="78" t="s">
        <v>390</v>
      </c>
      <c r="AF243" s="78" t="s">
        <v>390</v>
      </c>
      <c r="AG243" s="78" t="s">
        <v>390</v>
      </c>
      <c r="AH243" s="78" t="s">
        <v>390</v>
      </c>
      <c r="AI243" s="78" t="s">
        <v>390</v>
      </c>
      <c r="AJ243" s="87" t="s">
        <v>391</v>
      </c>
      <c r="AK243" s="77" t="s">
        <v>13</v>
      </c>
      <c r="AL243" s="106">
        <f t="shared" si="15"/>
        <v>20</v>
      </c>
      <c r="AM243" s="106">
        <f t="shared" si="16"/>
        <v>0</v>
      </c>
      <c r="AN243" s="106">
        <f t="shared" si="17"/>
        <v>0</v>
      </c>
      <c r="AO243" s="106">
        <f t="shared" si="18"/>
        <v>20</v>
      </c>
      <c r="AP243" s="106">
        <f t="shared" si="19"/>
        <v>0</v>
      </c>
      <c r="AQ243" s="134"/>
      <c r="AR243" s="134"/>
      <c r="AS243" s="134"/>
      <c r="AT243" s="135"/>
      <c r="AU243" s="113" t="s">
        <v>393</v>
      </c>
      <c r="AV243" s="110" t="s">
        <v>403</v>
      </c>
      <c r="AW243" s="100"/>
    </row>
    <row r="244" spans="1:49" x14ac:dyDescent="0.25">
      <c r="A244" s="96">
        <v>245</v>
      </c>
      <c r="B244" s="148">
        <v>2365</v>
      </c>
      <c r="C244" s="32" t="s">
        <v>298</v>
      </c>
      <c r="D244" s="32" t="s">
        <v>16</v>
      </c>
      <c r="E244" s="32" t="s">
        <v>45</v>
      </c>
      <c r="F244" s="32" t="s">
        <v>107</v>
      </c>
      <c r="G244" s="59" t="s">
        <v>299</v>
      </c>
      <c r="H244" s="77" t="s">
        <v>389</v>
      </c>
      <c r="I244" s="77" t="s">
        <v>13</v>
      </c>
      <c r="J244" s="78" t="s">
        <v>390</v>
      </c>
      <c r="K244" s="78" t="s">
        <v>390</v>
      </c>
      <c r="L244" s="80" t="s">
        <v>14</v>
      </c>
      <c r="M244" s="80" t="s">
        <v>14</v>
      </c>
      <c r="N244" s="78" t="s">
        <v>390</v>
      </c>
      <c r="O244" s="78" t="s">
        <v>390</v>
      </c>
      <c r="P244" s="77" t="s">
        <v>13</v>
      </c>
      <c r="Q244" s="78" t="s">
        <v>390</v>
      </c>
      <c r="R244" s="80" t="s">
        <v>14</v>
      </c>
      <c r="S244" s="81" t="s">
        <v>392</v>
      </c>
      <c r="T244" s="78" t="s">
        <v>390</v>
      </c>
      <c r="U244" s="78" t="s">
        <v>390</v>
      </c>
      <c r="V244" s="80" t="s">
        <v>14</v>
      </c>
      <c r="W244" s="77" t="s">
        <v>13</v>
      </c>
      <c r="X244" s="78" t="s">
        <v>390</v>
      </c>
      <c r="Y244" s="78" t="s">
        <v>390</v>
      </c>
      <c r="Z244" s="78" t="s">
        <v>390</v>
      </c>
      <c r="AA244" s="78" t="s">
        <v>390</v>
      </c>
      <c r="AB244" s="78" t="s">
        <v>390</v>
      </c>
      <c r="AC244" s="78" t="s">
        <v>390</v>
      </c>
      <c r="AD244" s="77" t="s">
        <v>13</v>
      </c>
      <c r="AE244" s="78" t="s">
        <v>390</v>
      </c>
      <c r="AF244" s="78" t="s">
        <v>390</v>
      </c>
      <c r="AG244" s="78" t="s">
        <v>390</v>
      </c>
      <c r="AH244" s="80" t="s">
        <v>14</v>
      </c>
      <c r="AI244" s="80" t="s">
        <v>14</v>
      </c>
      <c r="AJ244" s="80" t="s">
        <v>14</v>
      </c>
      <c r="AK244" s="80" t="s">
        <v>14</v>
      </c>
      <c r="AL244" s="106">
        <f t="shared" si="15"/>
        <v>16</v>
      </c>
      <c r="AM244" s="106">
        <f t="shared" si="16"/>
        <v>0</v>
      </c>
      <c r="AN244" s="106">
        <f t="shared" si="17"/>
        <v>0.5</v>
      </c>
      <c r="AO244" s="106">
        <f t="shared" si="18"/>
        <v>16.5</v>
      </c>
      <c r="AP244" s="106">
        <f t="shared" si="19"/>
        <v>8.5</v>
      </c>
      <c r="AQ244" s="134"/>
      <c r="AR244" s="134"/>
      <c r="AS244" s="134"/>
      <c r="AT244" s="135"/>
      <c r="AU244" s="113" t="s">
        <v>393</v>
      </c>
      <c r="AV244" s="111" t="s">
        <v>397</v>
      </c>
      <c r="AW244" s="100"/>
    </row>
    <row r="245" spans="1:49" x14ac:dyDescent="0.25">
      <c r="A245" s="96">
        <v>246</v>
      </c>
      <c r="B245" s="148">
        <v>2366</v>
      </c>
      <c r="C245" s="32" t="s">
        <v>300</v>
      </c>
      <c r="D245" s="32" t="s">
        <v>258</v>
      </c>
      <c r="E245" s="32" t="s">
        <v>39</v>
      </c>
      <c r="F245" s="32" t="s">
        <v>301</v>
      </c>
      <c r="G245" s="61">
        <v>45664</v>
      </c>
      <c r="H245" s="77" t="s">
        <v>389</v>
      </c>
      <c r="I245" s="77" t="s">
        <v>13</v>
      </c>
      <c r="J245" s="78" t="s">
        <v>390</v>
      </c>
      <c r="K245" s="80" t="s">
        <v>14</v>
      </c>
      <c r="L245" s="78" t="s">
        <v>390</v>
      </c>
      <c r="M245" s="85" t="s">
        <v>378</v>
      </c>
      <c r="N245" s="78" t="s">
        <v>390</v>
      </c>
      <c r="O245" s="80" t="s">
        <v>14</v>
      </c>
      <c r="P245" s="77" t="s">
        <v>13</v>
      </c>
      <c r="Q245" s="85" t="s">
        <v>378</v>
      </c>
      <c r="R245" s="78" t="s">
        <v>390</v>
      </c>
      <c r="S245" s="78" t="s">
        <v>390</v>
      </c>
      <c r="T245" s="78" t="s">
        <v>390</v>
      </c>
      <c r="U245" s="85" t="s">
        <v>378</v>
      </c>
      <c r="V245" s="85" t="s">
        <v>378</v>
      </c>
      <c r="W245" s="77" t="s">
        <v>13</v>
      </c>
      <c r="X245" s="78" t="s">
        <v>390</v>
      </c>
      <c r="Y245" s="78" t="s">
        <v>390</v>
      </c>
      <c r="Z245" s="85" t="s">
        <v>378</v>
      </c>
      <c r="AA245" s="78" t="s">
        <v>390</v>
      </c>
      <c r="AB245" s="81" t="s">
        <v>392</v>
      </c>
      <c r="AC245" s="81" t="s">
        <v>392</v>
      </c>
      <c r="AD245" s="77" t="s">
        <v>13</v>
      </c>
      <c r="AE245" s="78" t="s">
        <v>390</v>
      </c>
      <c r="AF245" s="80" t="s">
        <v>14</v>
      </c>
      <c r="AG245" s="80" t="s">
        <v>14</v>
      </c>
      <c r="AH245" s="80" t="s">
        <v>14</v>
      </c>
      <c r="AI245" s="80" t="s">
        <v>14</v>
      </c>
      <c r="AJ245" s="139" t="s">
        <v>14</v>
      </c>
      <c r="AK245" s="80" t="s">
        <v>14</v>
      </c>
      <c r="AL245" s="106">
        <f t="shared" si="15"/>
        <v>10</v>
      </c>
      <c r="AM245" s="106">
        <f t="shared" si="16"/>
        <v>5</v>
      </c>
      <c r="AN245" s="106">
        <f t="shared" si="17"/>
        <v>1</v>
      </c>
      <c r="AO245" s="106">
        <f t="shared" si="18"/>
        <v>16</v>
      </c>
      <c r="AP245" s="106">
        <f t="shared" si="19"/>
        <v>9</v>
      </c>
      <c r="AQ245" s="134"/>
      <c r="AR245" s="134"/>
      <c r="AS245" s="134"/>
      <c r="AT245" s="135"/>
      <c r="AU245" s="113" t="s">
        <v>393</v>
      </c>
      <c r="AV245" s="111" t="s">
        <v>397</v>
      </c>
      <c r="AW245" s="100"/>
    </row>
    <row r="246" spans="1:49" x14ac:dyDescent="0.25">
      <c r="A246" s="96">
        <v>247</v>
      </c>
      <c r="B246" s="148">
        <v>2368</v>
      </c>
      <c r="C246" s="32" t="s">
        <v>253</v>
      </c>
      <c r="D246" s="32" t="s">
        <v>38</v>
      </c>
      <c r="E246" s="32" t="s">
        <v>24</v>
      </c>
      <c r="F246" s="32" t="s">
        <v>107</v>
      </c>
      <c r="G246" s="61">
        <v>45664</v>
      </c>
      <c r="H246" s="77" t="s">
        <v>389</v>
      </c>
      <c r="I246" s="77" t="s">
        <v>13</v>
      </c>
      <c r="J246" s="80" t="s">
        <v>14</v>
      </c>
      <c r="K246" s="80" t="s">
        <v>14</v>
      </c>
      <c r="L246" s="78" t="s">
        <v>390</v>
      </c>
      <c r="M246" s="78" t="s">
        <v>390</v>
      </c>
      <c r="N246" s="78" t="s">
        <v>390</v>
      </c>
      <c r="O246" s="82" t="s">
        <v>391</v>
      </c>
      <c r="P246" s="77" t="s">
        <v>13</v>
      </c>
      <c r="Q246" s="78" t="s">
        <v>390</v>
      </c>
      <c r="R246" s="78" t="s">
        <v>390</v>
      </c>
      <c r="S246" s="78" t="s">
        <v>390</v>
      </c>
      <c r="T246" s="78" t="s">
        <v>390</v>
      </c>
      <c r="U246" s="78" t="s">
        <v>390</v>
      </c>
      <c r="V246" s="78" t="s">
        <v>390</v>
      </c>
      <c r="W246" s="77" t="s">
        <v>13</v>
      </c>
      <c r="X246" s="80" t="s">
        <v>14</v>
      </c>
      <c r="Y246" s="78" t="s">
        <v>390</v>
      </c>
      <c r="Z246" s="78" t="s">
        <v>390</v>
      </c>
      <c r="AA246" s="78" t="s">
        <v>390</v>
      </c>
      <c r="AB246" s="78" t="s">
        <v>390</v>
      </c>
      <c r="AC246" s="78" t="s">
        <v>390</v>
      </c>
      <c r="AD246" s="77" t="s">
        <v>13</v>
      </c>
      <c r="AE246" s="78" t="s">
        <v>390</v>
      </c>
      <c r="AF246" s="78" t="s">
        <v>390</v>
      </c>
      <c r="AG246" s="81" t="s">
        <v>392</v>
      </c>
      <c r="AH246" s="80" t="s">
        <v>14</v>
      </c>
      <c r="AI246" s="80" t="s">
        <v>14</v>
      </c>
      <c r="AJ246" s="80" t="s">
        <v>14</v>
      </c>
      <c r="AK246" s="77" t="s">
        <v>13</v>
      </c>
      <c r="AL246" s="106">
        <f t="shared" si="15"/>
        <v>16</v>
      </c>
      <c r="AM246" s="106">
        <f t="shared" si="16"/>
        <v>0</v>
      </c>
      <c r="AN246" s="106">
        <f t="shared" si="17"/>
        <v>0.5</v>
      </c>
      <c r="AO246" s="106">
        <f t="shared" si="18"/>
        <v>16.5</v>
      </c>
      <c r="AP246" s="106">
        <f t="shared" si="19"/>
        <v>6.5</v>
      </c>
      <c r="AQ246" s="134">
        <v>70</v>
      </c>
      <c r="AR246" s="134">
        <v>1890</v>
      </c>
      <c r="AS246" s="134">
        <v>620</v>
      </c>
      <c r="AT246" s="135">
        <v>32.804232804232804</v>
      </c>
      <c r="AU246" s="106" t="s">
        <v>427</v>
      </c>
      <c r="AV246" s="100"/>
      <c r="AW246" s="100"/>
    </row>
    <row r="247" spans="1:49" x14ac:dyDescent="0.25">
      <c r="A247" s="96">
        <v>248</v>
      </c>
      <c r="B247" s="148">
        <v>2369</v>
      </c>
      <c r="C247" s="32" t="s">
        <v>302</v>
      </c>
      <c r="D247" s="32" t="s">
        <v>38</v>
      </c>
      <c r="E247" s="32" t="s">
        <v>39</v>
      </c>
      <c r="F247" s="32" t="s">
        <v>107</v>
      </c>
      <c r="G247" s="61">
        <v>45842</v>
      </c>
      <c r="H247" s="77" t="s">
        <v>389</v>
      </c>
      <c r="I247" s="77" t="s">
        <v>13</v>
      </c>
      <c r="J247" s="78" t="s">
        <v>390</v>
      </c>
      <c r="K247" s="78" t="s">
        <v>390</v>
      </c>
      <c r="L247" s="78" t="s">
        <v>390</v>
      </c>
      <c r="M247" s="78" t="s">
        <v>390</v>
      </c>
      <c r="N247" s="78" t="s">
        <v>390</v>
      </c>
      <c r="O247" s="80" t="s">
        <v>14</v>
      </c>
      <c r="P247" s="77" t="s">
        <v>13</v>
      </c>
      <c r="Q247" s="78" t="s">
        <v>390</v>
      </c>
      <c r="R247" s="80" t="s">
        <v>14</v>
      </c>
      <c r="S247" s="80" t="s">
        <v>14</v>
      </c>
      <c r="T247" s="80" t="s">
        <v>14</v>
      </c>
      <c r="U247" s="80" t="s">
        <v>14</v>
      </c>
      <c r="V247" s="80" t="s">
        <v>14</v>
      </c>
      <c r="W247" s="77" t="s">
        <v>13</v>
      </c>
      <c r="X247" s="80" t="s">
        <v>14</v>
      </c>
      <c r="Y247" s="80" t="s">
        <v>14</v>
      </c>
      <c r="Z247" s="80" t="s">
        <v>14</v>
      </c>
      <c r="AA247" s="80" t="s">
        <v>14</v>
      </c>
      <c r="AB247" s="80" t="s">
        <v>14</v>
      </c>
      <c r="AC247" s="80" t="s">
        <v>14</v>
      </c>
      <c r="AD247" s="77" t="s">
        <v>13</v>
      </c>
      <c r="AE247" s="80" t="s">
        <v>14</v>
      </c>
      <c r="AF247" s="80" t="s">
        <v>14</v>
      </c>
      <c r="AG247" s="80" t="s">
        <v>14</v>
      </c>
      <c r="AH247" s="80" t="s">
        <v>14</v>
      </c>
      <c r="AI247" s="80" t="s">
        <v>14</v>
      </c>
      <c r="AJ247" s="80" t="s">
        <v>14</v>
      </c>
      <c r="AK247" s="80" t="s">
        <v>14</v>
      </c>
      <c r="AL247" s="106">
        <f t="shared" si="15"/>
        <v>6</v>
      </c>
      <c r="AM247" s="106">
        <f t="shared" si="16"/>
        <v>0</v>
      </c>
      <c r="AN247" s="106">
        <f t="shared" si="17"/>
        <v>0</v>
      </c>
      <c r="AO247" s="106">
        <f t="shared" si="18"/>
        <v>6</v>
      </c>
      <c r="AP247" s="106">
        <f t="shared" si="19"/>
        <v>19</v>
      </c>
      <c r="AQ247" s="134"/>
      <c r="AR247" s="134"/>
      <c r="AS247" s="134"/>
      <c r="AT247" s="135"/>
      <c r="AU247" s="113" t="s">
        <v>393</v>
      </c>
      <c r="AV247" s="111" t="s">
        <v>397</v>
      </c>
      <c r="AW247" s="100"/>
    </row>
    <row r="248" spans="1:49" x14ac:dyDescent="0.25">
      <c r="A248" s="96">
        <v>249</v>
      </c>
      <c r="B248" s="148">
        <v>2371</v>
      </c>
      <c r="C248" s="32" t="s">
        <v>226</v>
      </c>
      <c r="D248" s="32" t="s">
        <v>303</v>
      </c>
      <c r="E248" s="32" t="s">
        <v>124</v>
      </c>
      <c r="F248" s="32" t="s">
        <v>177</v>
      </c>
      <c r="G248" s="61">
        <v>45845</v>
      </c>
      <c r="H248" s="75" t="s">
        <v>12</v>
      </c>
      <c r="I248" s="75" t="s">
        <v>13</v>
      </c>
      <c r="J248" s="84" t="s">
        <v>390</v>
      </c>
      <c r="K248" s="84" t="s">
        <v>390</v>
      </c>
      <c r="L248" s="84" t="s">
        <v>390</v>
      </c>
      <c r="M248" s="84" t="s">
        <v>390</v>
      </c>
      <c r="N248" s="84" t="s">
        <v>390</v>
      </c>
      <c r="O248" s="84" t="s">
        <v>390</v>
      </c>
      <c r="P248" s="75" t="s">
        <v>13</v>
      </c>
      <c r="Q248" s="84" t="s">
        <v>390</v>
      </c>
      <c r="R248" s="84" t="s">
        <v>390</v>
      </c>
      <c r="S248" s="84" t="s">
        <v>390</v>
      </c>
      <c r="T248" s="84" t="s">
        <v>390</v>
      </c>
      <c r="U248" s="84" t="s">
        <v>390</v>
      </c>
      <c r="V248" s="84" t="s">
        <v>390</v>
      </c>
      <c r="W248" s="75" t="s">
        <v>13</v>
      </c>
      <c r="X248" s="84" t="s">
        <v>390</v>
      </c>
      <c r="Y248" s="84" t="s">
        <v>390</v>
      </c>
      <c r="Z248" s="84" t="s">
        <v>390</v>
      </c>
      <c r="AA248" s="84" t="s">
        <v>390</v>
      </c>
      <c r="AB248" s="84" t="s">
        <v>390</v>
      </c>
      <c r="AC248" s="84" t="s">
        <v>390</v>
      </c>
      <c r="AD248" s="75" t="s">
        <v>13</v>
      </c>
      <c r="AE248" s="84" t="s">
        <v>390</v>
      </c>
      <c r="AF248" s="84" t="s">
        <v>390</v>
      </c>
      <c r="AG248" s="84" t="s">
        <v>390</v>
      </c>
      <c r="AH248" s="84" t="s">
        <v>390</v>
      </c>
      <c r="AI248" s="84" t="s">
        <v>390</v>
      </c>
      <c r="AJ248" s="79" t="s">
        <v>391</v>
      </c>
      <c r="AK248" s="75" t="s">
        <v>13</v>
      </c>
      <c r="AL248" s="106">
        <f t="shared" si="15"/>
        <v>23</v>
      </c>
      <c r="AM248" s="106">
        <f t="shared" si="16"/>
        <v>0</v>
      </c>
      <c r="AN248" s="106">
        <f t="shared" si="17"/>
        <v>0</v>
      </c>
      <c r="AO248" s="106">
        <f t="shared" si="18"/>
        <v>23</v>
      </c>
      <c r="AP248" s="106">
        <f t="shared" si="19"/>
        <v>0</v>
      </c>
      <c r="AQ248" s="134"/>
      <c r="AR248" s="134"/>
      <c r="AS248" s="134"/>
      <c r="AT248" s="135"/>
      <c r="AU248" s="106" t="s">
        <v>427</v>
      </c>
      <c r="AV248" s="100"/>
      <c r="AW248" s="100"/>
    </row>
    <row r="249" spans="1:49" x14ac:dyDescent="0.25">
      <c r="A249" s="96">
        <v>250</v>
      </c>
      <c r="B249" s="148">
        <v>2372</v>
      </c>
      <c r="C249" s="32" t="s">
        <v>304</v>
      </c>
      <c r="D249" s="32" t="s">
        <v>38</v>
      </c>
      <c r="E249" s="32" t="s">
        <v>24</v>
      </c>
      <c r="F249" s="32" t="s">
        <v>107</v>
      </c>
      <c r="G249" s="61">
        <v>45848</v>
      </c>
      <c r="H249" s="77" t="s">
        <v>389</v>
      </c>
      <c r="I249" s="77" t="s">
        <v>13</v>
      </c>
      <c r="J249" s="78" t="s">
        <v>390</v>
      </c>
      <c r="K249" s="78" t="s">
        <v>390</v>
      </c>
      <c r="L249" s="78" t="s">
        <v>390</v>
      </c>
      <c r="M249" s="78" t="s">
        <v>390</v>
      </c>
      <c r="N249" s="78" t="s">
        <v>390</v>
      </c>
      <c r="O249" s="78" t="s">
        <v>390</v>
      </c>
      <c r="P249" s="77" t="s">
        <v>13</v>
      </c>
      <c r="Q249" s="78" t="s">
        <v>390</v>
      </c>
      <c r="R249" s="78" t="s">
        <v>390</v>
      </c>
      <c r="S249" s="78" t="s">
        <v>390</v>
      </c>
      <c r="T249" s="78" t="s">
        <v>390</v>
      </c>
      <c r="U249" s="78" t="s">
        <v>390</v>
      </c>
      <c r="V249" s="82" t="s">
        <v>391</v>
      </c>
      <c r="W249" s="77" t="s">
        <v>13</v>
      </c>
      <c r="X249" s="78" t="s">
        <v>390</v>
      </c>
      <c r="Y249" s="78" t="s">
        <v>390</v>
      </c>
      <c r="Z249" s="78" t="s">
        <v>390</v>
      </c>
      <c r="AA249" s="78" t="s">
        <v>390</v>
      </c>
      <c r="AB249" s="78" t="s">
        <v>390</v>
      </c>
      <c r="AC249" s="78" t="s">
        <v>390</v>
      </c>
      <c r="AD249" s="77" t="s">
        <v>13</v>
      </c>
      <c r="AE249" s="78" t="s">
        <v>390</v>
      </c>
      <c r="AF249" s="78" t="s">
        <v>390</v>
      </c>
      <c r="AG249" s="78" t="s">
        <v>390</v>
      </c>
      <c r="AH249" s="78" t="s">
        <v>390</v>
      </c>
      <c r="AI249" s="78" t="s">
        <v>390</v>
      </c>
      <c r="AJ249" s="78" t="s">
        <v>390</v>
      </c>
      <c r="AK249" s="78" t="s">
        <v>390</v>
      </c>
      <c r="AL249" s="106">
        <f t="shared" si="15"/>
        <v>24</v>
      </c>
      <c r="AM249" s="106">
        <f t="shared" si="16"/>
        <v>0</v>
      </c>
      <c r="AN249" s="106">
        <f t="shared" si="17"/>
        <v>0</v>
      </c>
      <c r="AO249" s="106">
        <f t="shared" si="18"/>
        <v>24</v>
      </c>
      <c r="AP249" s="106">
        <f t="shared" si="19"/>
        <v>0</v>
      </c>
      <c r="AQ249" s="134">
        <v>80</v>
      </c>
      <c r="AR249" s="134">
        <v>2160</v>
      </c>
      <c r="AS249" s="134">
        <v>401</v>
      </c>
      <c r="AT249" s="135">
        <v>18.564814814814813</v>
      </c>
      <c r="AU249" s="106" t="s">
        <v>427</v>
      </c>
      <c r="AV249" s="100"/>
      <c r="AW249" s="100"/>
    </row>
    <row r="250" spans="1:49" x14ac:dyDescent="0.25">
      <c r="A250" s="96">
        <v>251</v>
      </c>
      <c r="B250" s="148">
        <v>2373</v>
      </c>
      <c r="C250" s="32" t="s">
        <v>305</v>
      </c>
      <c r="D250" s="32" t="s">
        <v>176</v>
      </c>
      <c r="E250" s="32" t="s">
        <v>98</v>
      </c>
      <c r="F250" s="32" t="s">
        <v>95</v>
      </c>
      <c r="G250" s="59" t="s">
        <v>47</v>
      </c>
      <c r="H250" s="75" t="s">
        <v>12</v>
      </c>
      <c r="I250" s="75" t="s">
        <v>13</v>
      </c>
      <c r="J250" s="80" t="s">
        <v>14</v>
      </c>
      <c r="K250" s="83" t="s">
        <v>14</v>
      </c>
      <c r="L250" s="84" t="s">
        <v>390</v>
      </c>
      <c r="M250" s="83" t="s">
        <v>14</v>
      </c>
      <c r="N250" s="83" t="s">
        <v>14</v>
      </c>
      <c r="O250" s="83" t="s">
        <v>14</v>
      </c>
      <c r="P250" s="83" t="s">
        <v>14</v>
      </c>
      <c r="Q250" s="83" t="s">
        <v>14</v>
      </c>
      <c r="R250" s="83" t="s">
        <v>14</v>
      </c>
      <c r="S250" s="83" t="s">
        <v>14</v>
      </c>
      <c r="T250" s="83" t="s">
        <v>14</v>
      </c>
      <c r="U250" s="83" t="s">
        <v>14</v>
      </c>
      <c r="V250" s="83" t="s">
        <v>14</v>
      </c>
      <c r="W250" s="83" t="s">
        <v>14</v>
      </c>
      <c r="X250" s="83" t="s">
        <v>14</v>
      </c>
      <c r="Y250" s="83" t="s">
        <v>14</v>
      </c>
      <c r="Z250" s="83" t="s">
        <v>14</v>
      </c>
      <c r="AA250" s="83" t="s">
        <v>14</v>
      </c>
      <c r="AB250" s="83" t="s">
        <v>14</v>
      </c>
      <c r="AC250" s="83" t="s">
        <v>14</v>
      </c>
      <c r="AD250" s="83" t="s">
        <v>14</v>
      </c>
      <c r="AE250" s="83" t="s">
        <v>14</v>
      </c>
      <c r="AF250" s="83" t="s">
        <v>14</v>
      </c>
      <c r="AG250" s="83" t="s">
        <v>14</v>
      </c>
      <c r="AH250" s="83" t="s">
        <v>14</v>
      </c>
      <c r="AI250" s="83" t="s">
        <v>14</v>
      </c>
      <c r="AJ250" s="83" t="s">
        <v>14</v>
      </c>
      <c r="AK250" s="83" t="s">
        <v>14</v>
      </c>
      <c r="AL250" s="106">
        <f t="shared" si="15"/>
        <v>1</v>
      </c>
      <c r="AM250" s="106">
        <f t="shared" si="16"/>
        <v>0</v>
      </c>
      <c r="AN250" s="106">
        <f t="shared" si="17"/>
        <v>0</v>
      </c>
      <c r="AO250" s="106">
        <f t="shared" si="18"/>
        <v>1</v>
      </c>
      <c r="AP250" s="106">
        <f t="shared" si="19"/>
        <v>27</v>
      </c>
      <c r="AQ250" s="134"/>
      <c r="AR250" s="134"/>
      <c r="AS250" s="134"/>
      <c r="AT250" s="135"/>
      <c r="AU250" s="113" t="s">
        <v>393</v>
      </c>
      <c r="AV250" s="111" t="s">
        <v>397</v>
      </c>
      <c r="AW250" s="100"/>
    </row>
    <row r="251" spans="1:49" x14ac:dyDescent="0.25">
      <c r="A251" s="96">
        <v>252</v>
      </c>
      <c r="B251" s="148">
        <v>2374</v>
      </c>
      <c r="C251" s="32" t="s">
        <v>306</v>
      </c>
      <c r="D251" s="32" t="s">
        <v>258</v>
      </c>
      <c r="E251" s="32" t="s">
        <v>39</v>
      </c>
      <c r="F251" s="32" t="s">
        <v>107</v>
      </c>
      <c r="G251" s="59" t="s">
        <v>307</v>
      </c>
      <c r="H251" s="77" t="s">
        <v>389</v>
      </c>
      <c r="I251" s="77" t="s">
        <v>13</v>
      </c>
      <c r="J251" s="78" t="s">
        <v>390</v>
      </c>
      <c r="K251" s="78" t="s">
        <v>390</v>
      </c>
      <c r="L251" s="78" t="s">
        <v>390</v>
      </c>
      <c r="M251" s="78" t="s">
        <v>390</v>
      </c>
      <c r="N251" s="78" t="s">
        <v>390</v>
      </c>
      <c r="O251" s="78" t="s">
        <v>390</v>
      </c>
      <c r="P251" s="77" t="s">
        <v>13</v>
      </c>
      <c r="Q251" s="78" t="s">
        <v>390</v>
      </c>
      <c r="R251" s="78" t="s">
        <v>390</v>
      </c>
      <c r="S251" s="78" t="s">
        <v>390</v>
      </c>
      <c r="T251" s="78" t="s">
        <v>390</v>
      </c>
      <c r="U251" s="78" t="s">
        <v>390</v>
      </c>
      <c r="V251" s="78" t="s">
        <v>390</v>
      </c>
      <c r="W251" s="77" t="s">
        <v>13</v>
      </c>
      <c r="X251" s="78" t="s">
        <v>390</v>
      </c>
      <c r="Y251" s="78" t="s">
        <v>390</v>
      </c>
      <c r="Z251" s="78" t="s">
        <v>390</v>
      </c>
      <c r="AA251" s="78" t="s">
        <v>390</v>
      </c>
      <c r="AB251" s="78" t="s">
        <v>390</v>
      </c>
      <c r="AC251" s="79" t="s">
        <v>391</v>
      </c>
      <c r="AD251" s="77" t="s">
        <v>13</v>
      </c>
      <c r="AE251" s="78" t="s">
        <v>390</v>
      </c>
      <c r="AF251" s="78" t="s">
        <v>390</v>
      </c>
      <c r="AG251" s="78" t="s">
        <v>390</v>
      </c>
      <c r="AH251" s="78" t="s">
        <v>390</v>
      </c>
      <c r="AI251" s="78" t="s">
        <v>390</v>
      </c>
      <c r="AJ251" s="78" t="s">
        <v>390</v>
      </c>
      <c r="AK251" s="77" t="s">
        <v>13</v>
      </c>
      <c r="AL251" s="106">
        <f t="shared" si="15"/>
        <v>23</v>
      </c>
      <c r="AM251" s="106">
        <f t="shared" si="16"/>
        <v>0</v>
      </c>
      <c r="AN251" s="106">
        <f t="shared" si="17"/>
        <v>0</v>
      </c>
      <c r="AO251" s="106">
        <f t="shared" si="18"/>
        <v>23</v>
      </c>
      <c r="AP251" s="106">
        <f t="shared" si="19"/>
        <v>0</v>
      </c>
      <c r="AQ251" s="134"/>
      <c r="AR251" s="134"/>
      <c r="AS251" s="134"/>
      <c r="AT251" s="135"/>
      <c r="AU251" s="106" t="s">
        <v>427</v>
      </c>
      <c r="AV251" s="100"/>
      <c r="AW251" s="100"/>
    </row>
    <row r="252" spans="1:49" x14ac:dyDescent="0.25">
      <c r="A252" s="96">
        <v>253</v>
      </c>
      <c r="B252" s="148">
        <v>2375</v>
      </c>
      <c r="C252" s="32" t="s">
        <v>308</v>
      </c>
      <c r="D252" s="32" t="s">
        <v>258</v>
      </c>
      <c r="E252" s="32" t="s">
        <v>39</v>
      </c>
      <c r="F252" s="32" t="s">
        <v>107</v>
      </c>
      <c r="G252" s="61">
        <v>45870</v>
      </c>
      <c r="H252" s="77" t="s">
        <v>389</v>
      </c>
      <c r="I252" s="77" t="s">
        <v>13</v>
      </c>
      <c r="J252" s="78" t="s">
        <v>390</v>
      </c>
      <c r="K252" s="79" t="s">
        <v>391</v>
      </c>
      <c r="L252" s="78" t="s">
        <v>390</v>
      </c>
      <c r="M252" s="78" t="s">
        <v>390</v>
      </c>
      <c r="N252" s="78" t="s">
        <v>390</v>
      </c>
      <c r="O252" s="78" t="s">
        <v>390</v>
      </c>
      <c r="P252" s="77" t="s">
        <v>13</v>
      </c>
      <c r="Q252" s="78" t="s">
        <v>390</v>
      </c>
      <c r="R252" s="78" t="s">
        <v>390</v>
      </c>
      <c r="S252" s="78" t="s">
        <v>390</v>
      </c>
      <c r="T252" s="78" t="s">
        <v>390</v>
      </c>
      <c r="U252" s="78" t="s">
        <v>390</v>
      </c>
      <c r="V252" s="78" t="s">
        <v>390</v>
      </c>
      <c r="W252" s="77" t="s">
        <v>13</v>
      </c>
      <c r="X252" s="78" t="s">
        <v>390</v>
      </c>
      <c r="Y252" s="78" t="s">
        <v>390</v>
      </c>
      <c r="Z252" s="78" t="s">
        <v>390</v>
      </c>
      <c r="AA252" s="78" t="s">
        <v>390</v>
      </c>
      <c r="AB252" s="78" t="s">
        <v>390</v>
      </c>
      <c r="AC252" s="78" t="s">
        <v>390</v>
      </c>
      <c r="AD252" s="77" t="s">
        <v>13</v>
      </c>
      <c r="AE252" s="78" t="s">
        <v>390</v>
      </c>
      <c r="AF252" s="78" t="s">
        <v>390</v>
      </c>
      <c r="AG252" s="80" t="s">
        <v>14</v>
      </c>
      <c r="AH252" s="80" t="s">
        <v>14</v>
      </c>
      <c r="AI252" s="80" t="s">
        <v>14</v>
      </c>
      <c r="AJ252" s="80" t="s">
        <v>14</v>
      </c>
      <c r="AK252" s="77" t="s">
        <v>13</v>
      </c>
      <c r="AL252" s="106">
        <f t="shared" si="15"/>
        <v>19</v>
      </c>
      <c r="AM252" s="106">
        <f t="shared" si="16"/>
        <v>0</v>
      </c>
      <c r="AN252" s="106">
        <f t="shared" si="17"/>
        <v>0</v>
      </c>
      <c r="AO252" s="106">
        <f t="shared" si="18"/>
        <v>19</v>
      </c>
      <c r="AP252" s="106">
        <f t="shared" si="19"/>
        <v>4</v>
      </c>
      <c r="AQ252" s="134">
        <v>10</v>
      </c>
      <c r="AR252" s="134">
        <v>260</v>
      </c>
      <c r="AS252" s="134">
        <v>198</v>
      </c>
      <c r="AT252" s="135">
        <v>76.153846153846146</v>
      </c>
      <c r="AU252" s="106" t="s">
        <v>427</v>
      </c>
      <c r="AV252" s="100"/>
      <c r="AW252" s="100"/>
    </row>
    <row r="253" spans="1:49" x14ac:dyDescent="0.25">
      <c r="A253" s="96">
        <v>254</v>
      </c>
      <c r="B253" s="148">
        <v>2378</v>
      </c>
      <c r="C253" s="32" t="s">
        <v>309</v>
      </c>
      <c r="D253" s="32" t="s">
        <v>44</v>
      </c>
      <c r="E253" s="32" t="s">
        <v>28</v>
      </c>
      <c r="F253" s="32" t="s">
        <v>107</v>
      </c>
      <c r="G253" s="61">
        <v>45870</v>
      </c>
      <c r="H253" s="77" t="s">
        <v>389</v>
      </c>
      <c r="I253" s="77" t="s">
        <v>13</v>
      </c>
      <c r="J253" s="81" t="s">
        <v>392</v>
      </c>
      <c r="K253" s="78" t="s">
        <v>390</v>
      </c>
      <c r="L253" s="78" t="s">
        <v>390</v>
      </c>
      <c r="M253" s="78" t="s">
        <v>390</v>
      </c>
      <c r="N253" s="78" t="s">
        <v>390</v>
      </c>
      <c r="O253" s="139" t="s">
        <v>14</v>
      </c>
      <c r="P253" s="77" t="s">
        <v>13</v>
      </c>
      <c r="Q253" s="78" t="s">
        <v>390</v>
      </c>
      <c r="R253" s="78" t="s">
        <v>390</v>
      </c>
      <c r="S253" s="80" t="s">
        <v>14</v>
      </c>
      <c r="T253" s="81" t="s">
        <v>392</v>
      </c>
      <c r="U253" s="78" t="s">
        <v>390</v>
      </c>
      <c r="V253" s="80" t="s">
        <v>14</v>
      </c>
      <c r="W253" s="77" t="s">
        <v>13</v>
      </c>
      <c r="X253" s="80" t="s">
        <v>14</v>
      </c>
      <c r="Y253" s="80" t="s">
        <v>14</v>
      </c>
      <c r="Z253" s="78" t="s">
        <v>390</v>
      </c>
      <c r="AA253" s="81" t="s">
        <v>392</v>
      </c>
      <c r="AB253" s="80" t="s">
        <v>14</v>
      </c>
      <c r="AC253" s="80" t="s">
        <v>14</v>
      </c>
      <c r="AD253" s="80" t="s">
        <v>14</v>
      </c>
      <c r="AE253" s="80" t="s">
        <v>14</v>
      </c>
      <c r="AF253" s="80" t="s">
        <v>14</v>
      </c>
      <c r="AG253" s="80" t="s">
        <v>14</v>
      </c>
      <c r="AH253" s="80" t="s">
        <v>14</v>
      </c>
      <c r="AI253" s="80" t="s">
        <v>14</v>
      </c>
      <c r="AJ253" s="80" t="s">
        <v>14</v>
      </c>
      <c r="AK253" s="80" t="s">
        <v>14</v>
      </c>
      <c r="AL253" s="106">
        <f t="shared" si="15"/>
        <v>8</v>
      </c>
      <c r="AM253" s="106">
        <f t="shared" si="16"/>
        <v>0</v>
      </c>
      <c r="AN253" s="106">
        <f t="shared" si="17"/>
        <v>1.5</v>
      </c>
      <c r="AO253" s="106">
        <f t="shared" si="18"/>
        <v>9.5</v>
      </c>
      <c r="AP253" s="106">
        <f t="shared" si="19"/>
        <v>16.5</v>
      </c>
      <c r="AQ253" s="134"/>
      <c r="AR253" s="134"/>
      <c r="AS253" s="134"/>
      <c r="AT253" s="135"/>
      <c r="AU253" s="113" t="s">
        <v>393</v>
      </c>
      <c r="AV253" s="111" t="s">
        <v>397</v>
      </c>
      <c r="AW253" s="100"/>
    </row>
    <row r="254" spans="1:49" x14ac:dyDescent="0.25">
      <c r="A254" s="96">
        <v>255</v>
      </c>
      <c r="B254" s="148">
        <v>2379</v>
      </c>
      <c r="C254" s="32" t="s">
        <v>310</v>
      </c>
      <c r="D254" s="32" t="s">
        <v>311</v>
      </c>
      <c r="E254" s="30" t="s">
        <v>28</v>
      </c>
      <c r="F254" s="32" t="s">
        <v>312</v>
      </c>
      <c r="G254" s="61">
        <v>45881</v>
      </c>
      <c r="H254" s="77" t="s">
        <v>389</v>
      </c>
      <c r="I254" s="77" t="s">
        <v>13</v>
      </c>
      <c r="J254" s="78" t="s">
        <v>390</v>
      </c>
      <c r="K254" s="78" t="s">
        <v>390</v>
      </c>
      <c r="L254" s="78" t="s">
        <v>390</v>
      </c>
      <c r="M254" s="78" t="s">
        <v>390</v>
      </c>
      <c r="N254" s="78" t="s">
        <v>390</v>
      </c>
      <c r="O254" s="78" t="s">
        <v>390</v>
      </c>
      <c r="P254" s="77" t="s">
        <v>13</v>
      </c>
      <c r="Q254" s="78" t="s">
        <v>390</v>
      </c>
      <c r="R254" s="80" t="s">
        <v>14</v>
      </c>
      <c r="S254" s="78" t="s">
        <v>390</v>
      </c>
      <c r="T254" s="78" t="s">
        <v>390</v>
      </c>
      <c r="U254" s="78" t="s">
        <v>390</v>
      </c>
      <c r="V254" s="78" t="s">
        <v>390</v>
      </c>
      <c r="W254" s="77" t="s">
        <v>13</v>
      </c>
      <c r="X254" s="78" t="s">
        <v>390</v>
      </c>
      <c r="Y254" s="80" t="s">
        <v>14</v>
      </c>
      <c r="Z254" s="78" t="s">
        <v>390</v>
      </c>
      <c r="AA254" s="78" t="s">
        <v>390</v>
      </c>
      <c r="AB254" s="78" t="s">
        <v>390</v>
      </c>
      <c r="AC254" s="79" t="s">
        <v>391</v>
      </c>
      <c r="AD254" s="77" t="s">
        <v>13</v>
      </c>
      <c r="AE254" s="78" t="s">
        <v>390</v>
      </c>
      <c r="AF254" s="78" t="s">
        <v>390</v>
      </c>
      <c r="AG254" s="78" t="s">
        <v>390</v>
      </c>
      <c r="AH254" s="78" t="s">
        <v>390</v>
      </c>
      <c r="AI254" s="78" t="s">
        <v>390</v>
      </c>
      <c r="AJ254" s="85" t="s">
        <v>378</v>
      </c>
      <c r="AK254" s="77" t="s">
        <v>13</v>
      </c>
      <c r="AL254" s="106">
        <f t="shared" si="15"/>
        <v>20</v>
      </c>
      <c r="AM254" s="106">
        <f t="shared" si="16"/>
        <v>1</v>
      </c>
      <c r="AN254" s="106">
        <f t="shared" si="17"/>
        <v>0</v>
      </c>
      <c r="AO254" s="106">
        <f t="shared" si="18"/>
        <v>21</v>
      </c>
      <c r="AP254" s="106">
        <f t="shared" si="19"/>
        <v>2</v>
      </c>
      <c r="AQ254" s="134"/>
      <c r="AR254" s="134"/>
      <c r="AS254" s="134"/>
      <c r="AT254" s="135"/>
      <c r="AU254" s="106" t="s">
        <v>427</v>
      </c>
      <c r="AV254" s="100"/>
      <c r="AW254" s="100"/>
    </row>
    <row r="255" spans="1:49" x14ac:dyDescent="0.25">
      <c r="A255" s="96">
        <v>256</v>
      </c>
      <c r="B255" s="148">
        <v>2381</v>
      </c>
      <c r="C255" s="32" t="s">
        <v>313</v>
      </c>
      <c r="D255" s="32" t="s">
        <v>314</v>
      </c>
      <c r="E255" s="32" t="s">
        <v>124</v>
      </c>
      <c r="F255" s="32" t="s">
        <v>315</v>
      </c>
      <c r="G255" s="59" t="s">
        <v>316</v>
      </c>
      <c r="H255" s="75" t="s">
        <v>12</v>
      </c>
      <c r="I255" s="75" t="s">
        <v>13</v>
      </c>
      <c r="J255" s="84" t="s">
        <v>390</v>
      </c>
      <c r="K255" s="84" t="s">
        <v>390</v>
      </c>
      <c r="L255" s="84" t="s">
        <v>390</v>
      </c>
      <c r="M255" s="84" t="s">
        <v>390</v>
      </c>
      <c r="N255" s="84" t="s">
        <v>390</v>
      </c>
      <c r="O255" s="84" t="s">
        <v>390</v>
      </c>
      <c r="P255" s="75" t="s">
        <v>13</v>
      </c>
      <c r="Q255" s="84" t="s">
        <v>390</v>
      </c>
      <c r="R255" s="84" t="s">
        <v>390</v>
      </c>
      <c r="S255" s="84" t="s">
        <v>390</v>
      </c>
      <c r="T255" s="84" t="s">
        <v>390</v>
      </c>
      <c r="U255" s="84" t="s">
        <v>390</v>
      </c>
      <c r="V255" s="82" t="s">
        <v>391</v>
      </c>
      <c r="W255" s="75" t="s">
        <v>13</v>
      </c>
      <c r="X255" s="84" t="s">
        <v>390</v>
      </c>
      <c r="Y255" s="84" t="s">
        <v>390</v>
      </c>
      <c r="Z255" s="84" t="s">
        <v>390</v>
      </c>
      <c r="AA255" s="84" t="s">
        <v>390</v>
      </c>
      <c r="AB255" s="76" t="s">
        <v>378</v>
      </c>
      <c r="AC255" s="76" t="s">
        <v>378</v>
      </c>
      <c r="AD255" s="75" t="s">
        <v>13</v>
      </c>
      <c r="AE255" s="83" t="s">
        <v>14</v>
      </c>
      <c r="AF255" s="83" t="s">
        <v>14</v>
      </c>
      <c r="AG255" s="83" t="s">
        <v>14</v>
      </c>
      <c r="AH255" s="83" t="s">
        <v>14</v>
      </c>
      <c r="AI255" s="83" t="s">
        <v>14</v>
      </c>
      <c r="AJ255" s="83" t="s">
        <v>14</v>
      </c>
      <c r="AK255" s="75" t="s">
        <v>13</v>
      </c>
      <c r="AL255" s="106">
        <f t="shared" si="15"/>
        <v>15</v>
      </c>
      <c r="AM255" s="106">
        <f t="shared" si="16"/>
        <v>2</v>
      </c>
      <c r="AN255" s="106">
        <f t="shared" si="17"/>
        <v>0</v>
      </c>
      <c r="AO255" s="106">
        <f t="shared" si="18"/>
        <v>17</v>
      </c>
      <c r="AP255" s="106">
        <f t="shared" si="19"/>
        <v>6</v>
      </c>
      <c r="AQ255" s="134"/>
      <c r="AR255" s="134"/>
      <c r="AS255" s="134"/>
      <c r="AT255" s="135"/>
      <c r="AU255" s="106" t="s">
        <v>427</v>
      </c>
      <c r="AV255" s="100"/>
      <c r="AW255" s="100"/>
    </row>
    <row r="256" spans="1:49" x14ac:dyDescent="0.25">
      <c r="A256" s="96">
        <v>257</v>
      </c>
      <c r="B256" s="148">
        <v>2382</v>
      </c>
      <c r="C256" s="32" t="s">
        <v>317</v>
      </c>
      <c r="D256" s="32" t="s">
        <v>38</v>
      </c>
      <c r="E256" s="32" t="s">
        <v>20</v>
      </c>
      <c r="F256" s="32" t="s">
        <v>107</v>
      </c>
      <c r="G256" s="59" t="s">
        <v>318</v>
      </c>
      <c r="H256" s="77" t="s">
        <v>389</v>
      </c>
      <c r="I256" s="77" t="s">
        <v>13</v>
      </c>
      <c r="J256" s="78" t="s">
        <v>390</v>
      </c>
      <c r="K256" s="78" t="s">
        <v>390</v>
      </c>
      <c r="L256" s="78" t="s">
        <v>390</v>
      </c>
      <c r="M256" s="78" t="s">
        <v>390</v>
      </c>
      <c r="N256" s="80" t="s">
        <v>14</v>
      </c>
      <c r="O256" s="78" t="s">
        <v>390</v>
      </c>
      <c r="P256" s="77" t="s">
        <v>13</v>
      </c>
      <c r="Q256" s="78" t="s">
        <v>390</v>
      </c>
      <c r="R256" s="80" t="s">
        <v>14</v>
      </c>
      <c r="S256" s="80" t="s">
        <v>14</v>
      </c>
      <c r="T256" s="80" t="s">
        <v>14</v>
      </c>
      <c r="U256" s="80" t="s">
        <v>14</v>
      </c>
      <c r="V256" s="80" t="s">
        <v>14</v>
      </c>
      <c r="W256" s="80" t="s">
        <v>14</v>
      </c>
      <c r="X256" s="80" t="s">
        <v>14</v>
      </c>
      <c r="Y256" s="80" t="s">
        <v>14</v>
      </c>
      <c r="Z256" s="80" t="s">
        <v>14</v>
      </c>
      <c r="AA256" s="80" t="s">
        <v>14</v>
      </c>
      <c r="AB256" s="80" t="s">
        <v>14</v>
      </c>
      <c r="AC256" s="80" t="s">
        <v>14</v>
      </c>
      <c r="AD256" s="80" t="s">
        <v>14</v>
      </c>
      <c r="AE256" s="80" t="s">
        <v>14</v>
      </c>
      <c r="AF256" s="80" t="s">
        <v>14</v>
      </c>
      <c r="AG256" s="80" t="s">
        <v>14</v>
      </c>
      <c r="AH256" s="80" t="s">
        <v>14</v>
      </c>
      <c r="AI256" s="80" t="s">
        <v>14</v>
      </c>
      <c r="AJ256" s="80" t="s">
        <v>14</v>
      </c>
      <c r="AK256" s="80" t="s">
        <v>14</v>
      </c>
      <c r="AL256" s="106">
        <f t="shared" ref="AL256:AL278" si="20">COUNTIF(H256:AK256,"P")</f>
        <v>6</v>
      </c>
      <c r="AM256" s="106">
        <f t="shared" ref="AM256:AM278" si="21">COUNTIF(H256:AK256,"WFH")</f>
        <v>0</v>
      </c>
      <c r="AN256" s="106">
        <f t="shared" ref="AN256:AN278" si="22">COUNTIF(H256:AK256,"HD")/2</f>
        <v>0</v>
      </c>
      <c r="AO256" s="106">
        <f t="shared" ref="AO256:AO278" si="23">AL256+AM256+AN256</f>
        <v>6</v>
      </c>
      <c r="AP256" s="106">
        <f t="shared" ref="AP256:AP278" si="24">COUNTIF(H256:AK256,"A")+AN256</f>
        <v>21</v>
      </c>
      <c r="AQ256" s="134"/>
      <c r="AR256" s="134"/>
      <c r="AS256" s="134"/>
      <c r="AT256" s="135"/>
      <c r="AU256" s="113" t="s">
        <v>393</v>
      </c>
      <c r="AV256" s="111" t="s">
        <v>397</v>
      </c>
      <c r="AW256" s="100"/>
    </row>
    <row r="257" spans="1:49" x14ac:dyDescent="0.25">
      <c r="A257" s="96">
        <v>258</v>
      </c>
      <c r="B257" s="148">
        <v>2383</v>
      </c>
      <c r="C257" s="32" t="s">
        <v>319</v>
      </c>
      <c r="D257" s="32" t="s">
        <v>136</v>
      </c>
      <c r="E257" s="32" t="s">
        <v>137</v>
      </c>
      <c r="F257" s="32" t="s">
        <v>107</v>
      </c>
      <c r="G257" s="61">
        <v>45881</v>
      </c>
      <c r="H257" s="91" t="s">
        <v>390</v>
      </c>
      <c r="I257" s="77" t="s">
        <v>13</v>
      </c>
      <c r="J257" s="91" t="s">
        <v>390</v>
      </c>
      <c r="K257" s="91" t="s">
        <v>390</v>
      </c>
      <c r="L257" s="91" t="s">
        <v>390</v>
      </c>
      <c r="M257" s="91" t="s">
        <v>390</v>
      </c>
      <c r="N257" s="91" t="s">
        <v>390</v>
      </c>
      <c r="O257" s="85" t="s">
        <v>378</v>
      </c>
      <c r="P257" s="77" t="s">
        <v>13</v>
      </c>
      <c r="Q257" s="91" t="s">
        <v>390</v>
      </c>
      <c r="R257" s="91" t="s">
        <v>390</v>
      </c>
      <c r="S257" s="91" t="s">
        <v>390</v>
      </c>
      <c r="T257" s="85" t="s">
        <v>378</v>
      </c>
      <c r="U257" s="91" t="s">
        <v>390</v>
      </c>
      <c r="V257" s="146" t="s">
        <v>390</v>
      </c>
      <c r="W257" s="77" t="s">
        <v>13</v>
      </c>
      <c r="X257" s="85" t="s">
        <v>378</v>
      </c>
      <c r="Y257" s="91" t="s">
        <v>390</v>
      </c>
      <c r="Z257" s="91" t="s">
        <v>390</v>
      </c>
      <c r="AA257" s="91" t="s">
        <v>390</v>
      </c>
      <c r="AB257" s="94" t="s">
        <v>378</v>
      </c>
      <c r="AC257" s="78" t="s">
        <v>390</v>
      </c>
      <c r="AD257" s="77" t="s">
        <v>13</v>
      </c>
      <c r="AE257" s="78" t="s">
        <v>390</v>
      </c>
      <c r="AF257" s="78" t="s">
        <v>390</v>
      </c>
      <c r="AG257" s="78" t="s">
        <v>390</v>
      </c>
      <c r="AH257" s="79" t="s">
        <v>391</v>
      </c>
      <c r="AI257" s="91" t="s">
        <v>390</v>
      </c>
      <c r="AJ257" s="85" t="s">
        <v>378</v>
      </c>
      <c r="AK257" s="77" t="s">
        <v>13</v>
      </c>
      <c r="AL257" s="106">
        <f t="shared" si="20"/>
        <v>19</v>
      </c>
      <c r="AM257" s="106">
        <f t="shared" si="21"/>
        <v>5</v>
      </c>
      <c r="AN257" s="106">
        <f t="shared" si="22"/>
        <v>0</v>
      </c>
      <c r="AO257" s="106">
        <f t="shared" si="23"/>
        <v>24</v>
      </c>
      <c r="AP257" s="106">
        <f t="shared" si="24"/>
        <v>0</v>
      </c>
      <c r="AQ257" s="134"/>
      <c r="AR257" s="134"/>
      <c r="AS257" s="134"/>
      <c r="AT257" s="135"/>
      <c r="AU257" s="106" t="s">
        <v>427</v>
      </c>
      <c r="AV257" s="100"/>
      <c r="AW257" s="100"/>
    </row>
    <row r="258" spans="1:49" x14ac:dyDescent="0.25">
      <c r="A258" s="96">
        <v>259</v>
      </c>
      <c r="B258" s="148">
        <v>2384</v>
      </c>
      <c r="C258" s="32" t="s">
        <v>163</v>
      </c>
      <c r="D258" s="32" t="s">
        <v>320</v>
      </c>
      <c r="E258" s="32" t="s">
        <v>39</v>
      </c>
      <c r="F258" s="32" t="s">
        <v>107</v>
      </c>
      <c r="G258" s="59" t="s">
        <v>321</v>
      </c>
      <c r="H258" s="77" t="s">
        <v>389</v>
      </c>
      <c r="I258" s="77" t="s">
        <v>13</v>
      </c>
      <c r="J258" s="78" t="s">
        <v>390</v>
      </c>
      <c r="K258" s="78" t="s">
        <v>390</v>
      </c>
      <c r="L258" s="78" t="s">
        <v>390</v>
      </c>
      <c r="M258" s="78" t="s">
        <v>390</v>
      </c>
      <c r="N258" s="78" t="s">
        <v>390</v>
      </c>
      <c r="O258" s="79" t="s">
        <v>391</v>
      </c>
      <c r="P258" s="77" t="s">
        <v>13</v>
      </c>
      <c r="Q258" s="78" t="s">
        <v>390</v>
      </c>
      <c r="R258" s="78" t="s">
        <v>390</v>
      </c>
      <c r="S258" s="78" t="s">
        <v>390</v>
      </c>
      <c r="T258" s="78" t="s">
        <v>390</v>
      </c>
      <c r="U258" s="78" t="s">
        <v>390</v>
      </c>
      <c r="V258" s="136" t="s">
        <v>390</v>
      </c>
      <c r="W258" s="77" t="s">
        <v>13</v>
      </c>
      <c r="X258" s="78" t="s">
        <v>390</v>
      </c>
      <c r="Y258" s="78" t="s">
        <v>390</v>
      </c>
      <c r="Z258" s="78" t="s">
        <v>390</v>
      </c>
      <c r="AA258" s="78" t="s">
        <v>390</v>
      </c>
      <c r="AB258" s="78" t="s">
        <v>390</v>
      </c>
      <c r="AC258" s="78" t="s">
        <v>390</v>
      </c>
      <c r="AD258" s="77" t="s">
        <v>13</v>
      </c>
      <c r="AE258" s="78" t="s">
        <v>390</v>
      </c>
      <c r="AF258" s="78" t="s">
        <v>390</v>
      </c>
      <c r="AG258" s="78" t="s">
        <v>390</v>
      </c>
      <c r="AH258" s="81" t="s">
        <v>392</v>
      </c>
      <c r="AI258" s="80" t="s">
        <v>14</v>
      </c>
      <c r="AJ258" s="80" t="s">
        <v>14</v>
      </c>
      <c r="AK258" s="77" t="s">
        <v>13</v>
      </c>
      <c r="AL258" s="106">
        <f t="shared" si="20"/>
        <v>20</v>
      </c>
      <c r="AM258" s="106">
        <f t="shared" si="21"/>
        <v>0</v>
      </c>
      <c r="AN258" s="106">
        <f t="shared" si="22"/>
        <v>0.5</v>
      </c>
      <c r="AO258" s="106">
        <f t="shared" si="23"/>
        <v>20.5</v>
      </c>
      <c r="AP258" s="106">
        <f t="shared" si="24"/>
        <v>2.5</v>
      </c>
      <c r="AQ258" s="134">
        <v>20</v>
      </c>
      <c r="AR258" s="134">
        <v>520</v>
      </c>
      <c r="AS258" s="134">
        <v>281</v>
      </c>
      <c r="AT258" s="135">
        <v>54.038461538461533</v>
      </c>
      <c r="AU258" s="106" t="s">
        <v>427</v>
      </c>
      <c r="AV258" s="100"/>
      <c r="AW258" s="100"/>
    </row>
    <row r="259" spans="1:49" x14ac:dyDescent="0.25">
      <c r="A259" s="96">
        <v>260</v>
      </c>
      <c r="B259" s="148">
        <v>2385</v>
      </c>
      <c r="C259" s="32" t="s">
        <v>322</v>
      </c>
      <c r="D259" s="32" t="s">
        <v>44</v>
      </c>
      <c r="E259" s="32" t="s">
        <v>39</v>
      </c>
      <c r="F259" s="32" t="s">
        <v>107</v>
      </c>
      <c r="G259" s="59" t="s">
        <v>321</v>
      </c>
      <c r="H259" s="77" t="s">
        <v>389</v>
      </c>
      <c r="I259" s="77" t="s">
        <v>13</v>
      </c>
      <c r="J259" s="78" t="s">
        <v>390</v>
      </c>
      <c r="K259" s="78" t="s">
        <v>390</v>
      </c>
      <c r="L259" s="78" t="s">
        <v>390</v>
      </c>
      <c r="M259" s="78" t="s">
        <v>390</v>
      </c>
      <c r="N259" s="78" t="s">
        <v>390</v>
      </c>
      <c r="O259" s="79" t="s">
        <v>391</v>
      </c>
      <c r="P259" s="77" t="s">
        <v>13</v>
      </c>
      <c r="Q259" s="78" t="s">
        <v>390</v>
      </c>
      <c r="R259" s="78" t="s">
        <v>390</v>
      </c>
      <c r="S259" s="78" t="s">
        <v>390</v>
      </c>
      <c r="T259" s="78" t="s">
        <v>390</v>
      </c>
      <c r="U259" s="78" t="s">
        <v>390</v>
      </c>
      <c r="V259" s="78" t="s">
        <v>390</v>
      </c>
      <c r="W259" s="77" t="s">
        <v>13</v>
      </c>
      <c r="X259" s="78" t="s">
        <v>390</v>
      </c>
      <c r="Y259" s="78" t="s">
        <v>390</v>
      </c>
      <c r="Z259" s="78" t="s">
        <v>390</v>
      </c>
      <c r="AA259" s="78" t="s">
        <v>390</v>
      </c>
      <c r="AB259" s="78" t="s">
        <v>390</v>
      </c>
      <c r="AC259" s="81" t="s">
        <v>392</v>
      </c>
      <c r="AD259" s="77" t="s">
        <v>13</v>
      </c>
      <c r="AE259" s="78" t="s">
        <v>390</v>
      </c>
      <c r="AF259" s="78" t="s">
        <v>390</v>
      </c>
      <c r="AG259" s="78" t="s">
        <v>390</v>
      </c>
      <c r="AH259" s="78" t="s">
        <v>390</v>
      </c>
      <c r="AI259" s="78" t="s">
        <v>390</v>
      </c>
      <c r="AJ259" s="80" t="s">
        <v>14</v>
      </c>
      <c r="AK259" s="77" t="s">
        <v>13</v>
      </c>
      <c r="AL259" s="106">
        <f t="shared" si="20"/>
        <v>21</v>
      </c>
      <c r="AM259" s="106">
        <f t="shared" si="21"/>
        <v>0</v>
      </c>
      <c r="AN259" s="106">
        <f t="shared" si="22"/>
        <v>0.5</v>
      </c>
      <c r="AO259" s="106">
        <f t="shared" si="23"/>
        <v>21.5</v>
      </c>
      <c r="AP259" s="106">
        <f t="shared" si="24"/>
        <v>1.5</v>
      </c>
      <c r="AQ259" s="134">
        <v>110</v>
      </c>
      <c r="AR259" s="134">
        <v>3190</v>
      </c>
      <c r="AS259" s="134">
        <v>1984</v>
      </c>
      <c r="AT259" s="135">
        <v>62.194357366771158</v>
      </c>
      <c r="AU259" s="106" t="s">
        <v>427</v>
      </c>
      <c r="AV259" s="100"/>
      <c r="AW259" s="100"/>
    </row>
    <row r="260" spans="1:49" x14ac:dyDescent="0.25">
      <c r="A260" s="96">
        <v>261</v>
      </c>
      <c r="B260" s="149">
        <v>2386</v>
      </c>
      <c r="C260" s="45" t="s">
        <v>45</v>
      </c>
      <c r="D260" s="45" t="s">
        <v>258</v>
      </c>
      <c r="E260" s="32" t="s">
        <v>85</v>
      </c>
      <c r="F260" s="45" t="s">
        <v>125</v>
      </c>
      <c r="G260" s="61">
        <v>45666</v>
      </c>
      <c r="H260" s="75" t="s">
        <v>12</v>
      </c>
      <c r="I260" s="75" t="s">
        <v>13</v>
      </c>
      <c r="J260" s="84" t="s">
        <v>390</v>
      </c>
      <c r="K260" s="84" t="s">
        <v>390</v>
      </c>
      <c r="L260" s="84" t="s">
        <v>390</v>
      </c>
      <c r="M260" s="84" t="s">
        <v>390</v>
      </c>
      <c r="N260" s="84" t="s">
        <v>390</v>
      </c>
      <c r="O260" s="82" t="s">
        <v>391</v>
      </c>
      <c r="P260" s="75" t="s">
        <v>13</v>
      </c>
      <c r="Q260" s="84" t="s">
        <v>390</v>
      </c>
      <c r="R260" s="76" t="s">
        <v>378</v>
      </c>
      <c r="S260" s="76" t="s">
        <v>378</v>
      </c>
      <c r="T260" s="84" t="s">
        <v>390</v>
      </c>
      <c r="U260" s="84" t="s">
        <v>390</v>
      </c>
      <c r="V260" s="84" t="s">
        <v>390</v>
      </c>
      <c r="W260" s="75" t="s">
        <v>13</v>
      </c>
      <c r="X260" s="76" t="s">
        <v>378</v>
      </c>
      <c r="Y260" s="76" t="s">
        <v>378</v>
      </c>
      <c r="Z260" s="83" t="s">
        <v>14</v>
      </c>
      <c r="AA260" s="76" t="s">
        <v>378</v>
      </c>
      <c r="AB260" s="76" t="s">
        <v>378</v>
      </c>
      <c r="AC260" s="76" t="s">
        <v>378</v>
      </c>
      <c r="AD260" s="75" t="s">
        <v>13</v>
      </c>
      <c r="AE260" s="76" t="s">
        <v>378</v>
      </c>
      <c r="AF260" s="83" t="s">
        <v>14</v>
      </c>
      <c r="AG260" s="84" t="s">
        <v>390</v>
      </c>
      <c r="AH260" s="76" t="s">
        <v>378</v>
      </c>
      <c r="AI260" s="84" t="s">
        <v>390</v>
      </c>
      <c r="AJ260" s="76" t="s">
        <v>378</v>
      </c>
      <c r="AK260" s="75" t="s">
        <v>13</v>
      </c>
      <c r="AL260" s="106">
        <f t="shared" si="20"/>
        <v>11</v>
      </c>
      <c r="AM260" s="106">
        <f t="shared" si="21"/>
        <v>10</v>
      </c>
      <c r="AN260" s="106">
        <f t="shared" si="22"/>
        <v>0</v>
      </c>
      <c r="AO260" s="106">
        <f t="shared" si="23"/>
        <v>21</v>
      </c>
      <c r="AP260" s="106">
        <f t="shared" si="24"/>
        <v>2</v>
      </c>
      <c r="AQ260" s="134"/>
      <c r="AR260" s="134"/>
      <c r="AS260" s="134"/>
      <c r="AT260" s="135"/>
      <c r="AU260" s="106" t="s">
        <v>427</v>
      </c>
      <c r="AV260" s="100"/>
      <c r="AW260" s="100"/>
    </row>
    <row r="261" spans="1:49" x14ac:dyDescent="0.25">
      <c r="A261" s="96">
        <v>262</v>
      </c>
      <c r="B261" s="149">
        <v>2387</v>
      </c>
      <c r="C261" s="45" t="s">
        <v>323</v>
      </c>
      <c r="D261" s="45" t="s">
        <v>38</v>
      </c>
      <c r="E261" s="32" t="s">
        <v>39</v>
      </c>
      <c r="F261" s="45" t="s">
        <v>107</v>
      </c>
      <c r="G261" s="61">
        <v>45697</v>
      </c>
      <c r="H261" s="77" t="s">
        <v>389</v>
      </c>
      <c r="I261" s="77" t="s">
        <v>13</v>
      </c>
      <c r="J261" s="78" t="s">
        <v>390</v>
      </c>
      <c r="K261" s="78" t="s">
        <v>390</v>
      </c>
      <c r="L261" s="78" t="s">
        <v>390</v>
      </c>
      <c r="M261" s="78" t="s">
        <v>390</v>
      </c>
      <c r="N261" s="78" t="s">
        <v>390</v>
      </c>
      <c r="O261" s="78" t="s">
        <v>390</v>
      </c>
      <c r="P261" s="77" t="s">
        <v>13</v>
      </c>
      <c r="Q261" s="78" t="s">
        <v>390</v>
      </c>
      <c r="R261" s="78" t="s">
        <v>390</v>
      </c>
      <c r="S261" s="78" t="s">
        <v>390</v>
      </c>
      <c r="T261" s="78" t="s">
        <v>390</v>
      </c>
      <c r="U261" s="78" t="s">
        <v>390</v>
      </c>
      <c r="V261" s="79" t="s">
        <v>391</v>
      </c>
      <c r="W261" s="77" t="s">
        <v>13</v>
      </c>
      <c r="X261" s="78" t="s">
        <v>390</v>
      </c>
      <c r="Y261" s="78" t="s">
        <v>390</v>
      </c>
      <c r="Z261" s="78" t="s">
        <v>390</v>
      </c>
      <c r="AA261" s="78" t="s">
        <v>390</v>
      </c>
      <c r="AB261" s="78" t="s">
        <v>390</v>
      </c>
      <c r="AC261" s="78" t="s">
        <v>390</v>
      </c>
      <c r="AD261" s="77" t="s">
        <v>13</v>
      </c>
      <c r="AE261" s="78" t="s">
        <v>390</v>
      </c>
      <c r="AF261" s="78" t="s">
        <v>390</v>
      </c>
      <c r="AG261" s="78" t="s">
        <v>390</v>
      </c>
      <c r="AH261" s="78" t="s">
        <v>390</v>
      </c>
      <c r="AI261" s="80" t="s">
        <v>14</v>
      </c>
      <c r="AJ261" s="78" t="s">
        <v>390</v>
      </c>
      <c r="AK261" s="77" t="s">
        <v>13</v>
      </c>
      <c r="AL261" s="106">
        <f t="shared" si="20"/>
        <v>22</v>
      </c>
      <c r="AM261" s="106">
        <f t="shared" si="21"/>
        <v>0</v>
      </c>
      <c r="AN261" s="106">
        <f t="shared" si="22"/>
        <v>0</v>
      </c>
      <c r="AO261" s="106">
        <f t="shared" si="23"/>
        <v>22</v>
      </c>
      <c r="AP261" s="106">
        <f t="shared" si="24"/>
        <v>1</v>
      </c>
      <c r="AQ261" s="134">
        <v>50</v>
      </c>
      <c r="AR261" s="134">
        <v>1350</v>
      </c>
      <c r="AS261" s="134">
        <v>727</v>
      </c>
      <c r="AT261" s="135">
        <v>53.851851851851848</v>
      </c>
      <c r="AU261" s="106" t="s">
        <v>427</v>
      </c>
      <c r="AV261" s="100"/>
      <c r="AW261" s="100"/>
    </row>
    <row r="262" spans="1:49" x14ac:dyDescent="0.25">
      <c r="A262" s="96">
        <v>263</v>
      </c>
      <c r="B262" s="149">
        <v>2388</v>
      </c>
      <c r="C262" s="45" t="s">
        <v>324</v>
      </c>
      <c r="D262" s="45" t="s">
        <v>303</v>
      </c>
      <c r="E262" s="32" t="s">
        <v>226</v>
      </c>
      <c r="F262" s="45" t="s">
        <v>315</v>
      </c>
      <c r="G262" s="61">
        <v>45878</v>
      </c>
      <c r="H262" s="75" t="s">
        <v>12</v>
      </c>
      <c r="I262" s="75" t="s">
        <v>13</v>
      </c>
      <c r="J262" s="84" t="s">
        <v>390</v>
      </c>
      <c r="K262" s="84" t="s">
        <v>390</v>
      </c>
      <c r="L262" s="84" t="s">
        <v>390</v>
      </c>
      <c r="M262" s="84" t="s">
        <v>390</v>
      </c>
      <c r="N262" s="76" t="s">
        <v>378</v>
      </c>
      <c r="O262" s="82" t="s">
        <v>391</v>
      </c>
      <c r="P262" s="75" t="s">
        <v>13</v>
      </c>
      <c r="Q262" s="84" t="s">
        <v>390</v>
      </c>
      <c r="R262" s="84" t="s">
        <v>390</v>
      </c>
      <c r="S262" s="76" t="s">
        <v>378</v>
      </c>
      <c r="T262" s="84" t="s">
        <v>390</v>
      </c>
      <c r="U262" s="84" t="s">
        <v>390</v>
      </c>
      <c r="V262" s="88" t="s">
        <v>392</v>
      </c>
      <c r="W262" s="75" t="s">
        <v>13</v>
      </c>
      <c r="X262" s="84" t="s">
        <v>390</v>
      </c>
      <c r="Y262" s="84" t="s">
        <v>390</v>
      </c>
      <c r="Z262" s="88" t="s">
        <v>392</v>
      </c>
      <c r="AA262" s="76" t="s">
        <v>378</v>
      </c>
      <c r="AB262" s="76" t="s">
        <v>378</v>
      </c>
      <c r="AC262" s="76" t="s">
        <v>378</v>
      </c>
      <c r="AD262" s="75" t="s">
        <v>13</v>
      </c>
      <c r="AE262" s="76" t="s">
        <v>378</v>
      </c>
      <c r="AF262" s="76" t="s">
        <v>378</v>
      </c>
      <c r="AG262" s="76" t="s">
        <v>378</v>
      </c>
      <c r="AH262" s="84" t="s">
        <v>390</v>
      </c>
      <c r="AI262" s="84" t="s">
        <v>390</v>
      </c>
      <c r="AJ262" s="88" t="s">
        <v>392</v>
      </c>
      <c r="AK262" s="75" t="s">
        <v>13</v>
      </c>
      <c r="AL262" s="106">
        <f t="shared" si="20"/>
        <v>12</v>
      </c>
      <c r="AM262" s="106">
        <f t="shared" si="21"/>
        <v>8</v>
      </c>
      <c r="AN262" s="106">
        <f t="shared" si="22"/>
        <v>1.5</v>
      </c>
      <c r="AO262" s="106">
        <f t="shared" si="23"/>
        <v>21.5</v>
      </c>
      <c r="AP262" s="106">
        <f t="shared" si="24"/>
        <v>1.5</v>
      </c>
      <c r="AQ262" s="134"/>
      <c r="AR262" s="134"/>
      <c r="AS262" s="134"/>
      <c r="AT262" s="135"/>
      <c r="AU262" s="106" t="s">
        <v>427</v>
      </c>
      <c r="AV262" s="100"/>
      <c r="AW262" s="100"/>
    </row>
    <row r="263" spans="1:49" x14ac:dyDescent="0.25">
      <c r="A263" s="96">
        <v>264</v>
      </c>
      <c r="B263" s="148">
        <v>2389</v>
      </c>
      <c r="C263" s="32" t="s">
        <v>325</v>
      </c>
      <c r="D263" s="32" t="s">
        <v>83</v>
      </c>
      <c r="E263" s="32" t="s">
        <v>39</v>
      </c>
      <c r="F263" s="45" t="s">
        <v>107</v>
      </c>
      <c r="G263" s="60">
        <v>45740</v>
      </c>
      <c r="H263" s="77" t="s">
        <v>389</v>
      </c>
      <c r="I263" s="77" t="s">
        <v>13</v>
      </c>
      <c r="J263" s="78" t="s">
        <v>390</v>
      </c>
      <c r="K263" s="78" t="s">
        <v>390</v>
      </c>
      <c r="L263" s="78" t="s">
        <v>390</v>
      </c>
      <c r="M263" s="78" t="s">
        <v>390</v>
      </c>
      <c r="N263" s="78" t="s">
        <v>390</v>
      </c>
      <c r="O263" s="78" t="s">
        <v>390</v>
      </c>
      <c r="P263" s="77" t="s">
        <v>13</v>
      </c>
      <c r="Q263" s="78" t="s">
        <v>390</v>
      </c>
      <c r="R263" s="78" t="s">
        <v>390</v>
      </c>
      <c r="S263" s="78" t="s">
        <v>390</v>
      </c>
      <c r="T263" s="78" t="s">
        <v>390</v>
      </c>
      <c r="U263" s="78" t="s">
        <v>390</v>
      </c>
      <c r="V263" s="79" t="s">
        <v>391</v>
      </c>
      <c r="W263" s="77" t="s">
        <v>13</v>
      </c>
      <c r="X263" s="78" t="s">
        <v>390</v>
      </c>
      <c r="Y263" s="78" t="s">
        <v>390</v>
      </c>
      <c r="Z263" s="78" t="s">
        <v>390</v>
      </c>
      <c r="AA263" s="78" t="s">
        <v>390</v>
      </c>
      <c r="AB263" s="78" t="s">
        <v>390</v>
      </c>
      <c r="AC263" s="78" t="s">
        <v>390</v>
      </c>
      <c r="AD263" s="77" t="s">
        <v>13</v>
      </c>
      <c r="AE263" s="80" t="s">
        <v>14</v>
      </c>
      <c r="AF263" s="78" t="s">
        <v>390</v>
      </c>
      <c r="AG263" s="78" t="s">
        <v>390</v>
      </c>
      <c r="AH263" s="78" t="s">
        <v>390</v>
      </c>
      <c r="AI263" s="78" t="s">
        <v>390</v>
      </c>
      <c r="AJ263" s="78" t="s">
        <v>390</v>
      </c>
      <c r="AK263" s="77" t="s">
        <v>13</v>
      </c>
      <c r="AL263" s="106">
        <f t="shared" si="20"/>
        <v>22</v>
      </c>
      <c r="AM263" s="106">
        <f t="shared" si="21"/>
        <v>0</v>
      </c>
      <c r="AN263" s="106">
        <f t="shared" si="22"/>
        <v>0</v>
      </c>
      <c r="AO263" s="106">
        <f t="shared" si="23"/>
        <v>22</v>
      </c>
      <c r="AP263" s="106">
        <f t="shared" si="24"/>
        <v>1</v>
      </c>
      <c r="AQ263" s="134"/>
      <c r="AR263" s="134"/>
      <c r="AS263" s="134"/>
      <c r="AT263" s="135"/>
      <c r="AU263" s="106" t="s">
        <v>427</v>
      </c>
      <c r="AV263" s="100"/>
      <c r="AW263" s="100"/>
    </row>
    <row r="264" spans="1:49" x14ac:dyDescent="0.25">
      <c r="A264" s="96">
        <v>265</v>
      </c>
      <c r="B264" s="148">
        <v>2390</v>
      </c>
      <c r="C264" s="32" t="s">
        <v>326</v>
      </c>
      <c r="D264" s="32" t="s">
        <v>303</v>
      </c>
      <c r="E264" s="32" t="s">
        <v>226</v>
      </c>
      <c r="F264" s="45" t="s">
        <v>107</v>
      </c>
      <c r="G264" s="63" t="s">
        <v>327</v>
      </c>
      <c r="H264" s="75" t="s">
        <v>12</v>
      </c>
      <c r="I264" s="75" t="s">
        <v>13</v>
      </c>
      <c r="J264" s="84" t="s">
        <v>390</v>
      </c>
      <c r="K264" s="84" t="s">
        <v>390</v>
      </c>
      <c r="L264" s="84" t="s">
        <v>390</v>
      </c>
      <c r="M264" s="84" t="s">
        <v>390</v>
      </c>
      <c r="N264" s="84" t="s">
        <v>390</v>
      </c>
      <c r="O264" s="82" t="s">
        <v>391</v>
      </c>
      <c r="P264" s="75" t="s">
        <v>13</v>
      </c>
      <c r="Q264" s="83" t="s">
        <v>14</v>
      </c>
      <c r="R264" s="84" t="s">
        <v>390</v>
      </c>
      <c r="S264" s="84" t="s">
        <v>390</v>
      </c>
      <c r="T264" s="84" t="s">
        <v>390</v>
      </c>
      <c r="U264" s="84" t="s">
        <v>390</v>
      </c>
      <c r="V264" s="88" t="s">
        <v>392</v>
      </c>
      <c r="W264" s="75" t="s">
        <v>13</v>
      </c>
      <c r="X264" s="84" t="s">
        <v>390</v>
      </c>
      <c r="Y264" s="84" t="s">
        <v>390</v>
      </c>
      <c r="Z264" s="84" t="s">
        <v>390</v>
      </c>
      <c r="AA264" s="84" t="s">
        <v>390</v>
      </c>
      <c r="AB264" s="84" t="s">
        <v>390</v>
      </c>
      <c r="AC264" s="84" t="s">
        <v>390</v>
      </c>
      <c r="AD264" s="75" t="s">
        <v>13</v>
      </c>
      <c r="AE264" s="84" t="s">
        <v>390</v>
      </c>
      <c r="AF264" s="84" t="s">
        <v>390</v>
      </c>
      <c r="AG264" s="84" t="s">
        <v>390</v>
      </c>
      <c r="AH264" s="83" t="s">
        <v>14</v>
      </c>
      <c r="AI264" s="84" t="s">
        <v>390</v>
      </c>
      <c r="AJ264" s="83" t="s">
        <v>14</v>
      </c>
      <c r="AK264" s="75" t="s">
        <v>13</v>
      </c>
      <c r="AL264" s="106">
        <f t="shared" si="20"/>
        <v>19</v>
      </c>
      <c r="AM264" s="106">
        <f t="shared" si="21"/>
        <v>0</v>
      </c>
      <c r="AN264" s="106">
        <f t="shared" si="22"/>
        <v>0.5</v>
      </c>
      <c r="AO264" s="106">
        <f t="shared" si="23"/>
        <v>19.5</v>
      </c>
      <c r="AP264" s="106">
        <f t="shared" si="24"/>
        <v>3.5</v>
      </c>
      <c r="AQ264" s="134"/>
      <c r="AR264" s="134"/>
      <c r="AS264" s="134"/>
      <c r="AT264" s="135"/>
      <c r="AU264" s="106" t="s">
        <v>427</v>
      </c>
      <c r="AV264" s="100"/>
      <c r="AW264" s="100"/>
    </row>
    <row r="265" spans="1:49" x14ac:dyDescent="0.25">
      <c r="A265" s="96">
        <v>266</v>
      </c>
      <c r="B265" s="149">
        <v>2391</v>
      </c>
      <c r="C265" s="45" t="s">
        <v>328</v>
      </c>
      <c r="D265" s="45" t="s">
        <v>31</v>
      </c>
      <c r="E265" s="32" t="s">
        <v>39</v>
      </c>
      <c r="F265" s="45" t="s">
        <v>107</v>
      </c>
      <c r="G265" s="63" t="s">
        <v>63</v>
      </c>
      <c r="H265" s="77" t="s">
        <v>389</v>
      </c>
      <c r="I265" s="77" t="s">
        <v>13</v>
      </c>
      <c r="J265" s="80" t="s">
        <v>14</v>
      </c>
      <c r="K265" s="78" t="s">
        <v>390</v>
      </c>
      <c r="L265" s="78" t="s">
        <v>390</v>
      </c>
      <c r="M265" s="78" t="s">
        <v>390</v>
      </c>
      <c r="N265" s="78" t="s">
        <v>390</v>
      </c>
      <c r="O265" s="78" t="s">
        <v>390</v>
      </c>
      <c r="P265" s="77" t="s">
        <v>13</v>
      </c>
      <c r="Q265" s="78" t="s">
        <v>390</v>
      </c>
      <c r="R265" s="78" t="s">
        <v>390</v>
      </c>
      <c r="S265" s="78" t="s">
        <v>390</v>
      </c>
      <c r="T265" s="78" t="s">
        <v>390</v>
      </c>
      <c r="U265" s="80" t="s">
        <v>14</v>
      </c>
      <c r="V265" s="78" t="s">
        <v>390</v>
      </c>
      <c r="W265" s="77" t="s">
        <v>13</v>
      </c>
      <c r="X265" s="78" t="s">
        <v>390</v>
      </c>
      <c r="Y265" s="78" t="s">
        <v>390</v>
      </c>
      <c r="Z265" s="78" t="s">
        <v>390</v>
      </c>
      <c r="AA265" s="78" t="s">
        <v>390</v>
      </c>
      <c r="AB265" s="78" t="s">
        <v>390</v>
      </c>
      <c r="AC265" s="80" t="s">
        <v>14</v>
      </c>
      <c r="AD265" s="77" t="s">
        <v>13</v>
      </c>
      <c r="AE265" s="78" t="s">
        <v>390</v>
      </c>
      <c r="AF265" s="78" t="s">
        <v>390</v>
      </c>
      <c r="AG265" s="78" t="s">
        <v>390</v>
      </c>
      <c r="AH265" s="79" t="s">
        <v>391</v>
      </c>
      <c r="AI265" s="78" t="s">
        <v>390</v>
      </c>
      <c r="AJ265" s="78" t="s">
        <v>390</v>
      </c>
      <c r="AK265" s="77" t="s">
        <v>13</v>
      </c>
      <c r="AL265" s="106">
        <f t="shared" si="20"/>
        <v>20</v>
      </c>
      <c r="AM265" s="106">
        <f t="shared" si="21"/>
        <v>0</v>
      </c>
      <c r="AN265" s="106">
        <f t="shared" si="22"/>
        <v>0</v>
      </c>
      <c r="AO265" s="106">
        <f t="shared" si="23"/>
        <v>20</v>
      </c>
      <c r="AP265" s="106">
        <f t="shared" si="24"/>
        <v>3</v>
      </c>
      <c r="AQ265" s="134">
        <v>50</v>
      </c>
      <c r="AR265" s="134">
        <v>1350</v>
      </c>
      <c r="AS265" s="134">
        <v>921</v>
      </c>
      <c r="AT265" s="135">
        <v>68.222222222222214</v>
      </c>
      <c r="AU265" s="106" t="s">
        <v>427</v>
      </c>
      <c r="AV265" s="100"/>
      <c r="AW265" s="100"/>
    </row>
    <row r="266" spans="1:49" x14ac:dyDescent="0.25">
      <c r="A266" s="96">
        <v>267</v>
      </c>
      <c r="B266" s="149">
        <v>2393</v>
      </c>
      <c r="C266" s="45" t="s">
        <v>329</v>
      </c>
      <c r="D266" s="45" t="s">
        <v>330</v>
      </c>
      <c r="E266" s="32" t="s">
        <v>45</v>
      </c>
      <c r="F266" s="45" t="s">
        <v>107</v>
      </c>
      <c r="G266" s="63" t="s">
        <v>331</v>
      </c>
      <c r="H266" s="77" t="s">
        <v>389</v>
      </c>
      <c r="I266" s="77" t="s">
        <v>13</v>
      </c>
      <c r="J266" s="78" t="s">
        <v>390</v>
      </c>
      <c r="K266" s="78" t="s">
        <v>390</v>
      </c>
      <c r="L266" s="78" t="s">
        <v>390</v>
      </c>
      <c r="M266" s="78" t="s">
        <v>390</v>
      </c>
      <c r="N266" s="78" t="s">
        <v>390</v>
      </c>
      <c r="O266" s="78" t="s">
        <v>390</v>
      </c>
      <c r="P266" s="77" t="s">
        <v>13</v>
      </c>
      <c r="Q266" s="78" t="s">
        <v>390</v>
      </c>
      <c r="R266" s="78" t="s">
        <v>390</v>
      </c>
      <c r="S266" s="78" t="s">
        <v>390</v>
      </c>
      <c r="T266" s="78" t="s">
        <v>390</v>
      </c>
      <c r="U266" s="78" t="s">
        <v>390</v>
      </c>
      <c r="V266" s="78" t="s">
        <v>390</v>
      </c>
      <c r="W266" s="77" t="s">
        <v>13</v>
      </c>
      <c r="X266" s="78" t="s">
        <v>390</v>
      </c>
      <c r="Y266" s="78" t="s">
        <v>390</v>
      </c>
      <c r="Z266" s="78" t="s">
        <v>390</v>
      </c>
      <c r="AA266" s="78" t="s">
        <v>390</v>
      </c>
      <c r="AB266" s="78" t="s">
        <v>390</v>
      </c>
      <c r="AC266" s="87" t="s">
        <v>391</v>
      </c>
      <c r="AD266" s="77" t="s">
        <v>13</v>
      </c>
      <c r="AE266" s="78" t="s">
        <v>390</v>
      </c>
      <c r="AF266" s="78" t="s">
        <v>390</v>
      </c>
      <c r="AG266" s="78" t="s">
        <v>390</v>
      </c>
      <c r="AH266" s="78" t="s">
        <v>390</v>
      </c>
      <c r="AI266" s="78" t="s">
        <v>390</v>
      </c>
      <c r="AJ266" s="78" t="s">
        <v>390</v>
      </c>
      <c r="AK266" s="77" t="s">
        <v>13</v>
      </c>
      <c r="AL266" s="106">
        <f t="shared" si="20"/>
        <v>23</v>
      </c>
      <c r="AM266" s="106">
        <f t="shared" si="21"/>
        <v>0</v>
      </c>
      <c r="AN266" s="106">
        <f t="shared" si="22"/>
        <v>0</v>
      </c>
      <c r="AO266" s="106">
        <f t="shared" si="23"/>
        <v>23</v>
      </c>
      <c r="AP266" s="106">
        <f t="shared" si="24"/>
        <v>0</v>
      </c>
      <c r="AQ266" s="134">
        <v>7</v>
      </c>
      <c r="AR266" s="134">
        <v>182</v>
      </c>
      <c r="AS266" s="134">
        <v>73</v>
      </c>
      <c r="AT266" s="135">
        <v>40.109890109890109</v>
      </c>
      <c r="AU266" s="106" t="s">
        <v>427</v>
      </c>
      <c r="AV266" s="100"/>
      <c r="AW266" s="100"/>
    </row>
    <row r="267" spans="1:49" x14ac:dyDescent="0.25">
      <c r="A267" s="96">
        <v>269</v>
      </c>
      <c r="B267" s="150">
        <v>2395</v>
      </c>
      <c r="C267" s="16" t="s">
        <v>333</v>
      </c>
      <c r="D267" s="16" t="s">
        <v>334</v>
      </c>
      <c r="E267" s="16" t="s">
        <v>9</v>
      </c>
      <c r="F267" s="16" t="s">
        <v>107</v>
      </c>
      <c r="G267" s="64">
        <v>45939</v>
      </c>
      <c r="H267" s="77" t="s">
        <v>389</v>
      </c>
      <c r="I267" s="77" t="s">
        <v>13</v>
      </c>
      <c r="J267" s="78" t="s">
        <v>390</v>
      </c>
      <c r="K267" s="78" t="s">
        <v>390</v>
      </c>
      <c r="L267" s="78" t="s">
        <v>390</v>
      </c>
      <c r="M267" s="78" t="s">
        <v>390</v>
      </c>
      <c r="N267" s="78" t="s">
        <v>390</v>
      </c>
      <c r="O267" s="78" t="s">
        <v>390</v>
      </c>
      <c r="P267" s="77" t="s">
        <v>13</v>
      </c>
      <c r="Q267" s="78" t="s">
        <v>390</v>
      </c>
      <c r="R267" s="78" t="s">
        <v>390</v>
      </c>
      <c r="S267" s="78" t="s">
        <v>390</v>
      </c>
      <c r="T267" s="78" t="s">
        <v>390</v>
      </c>
      <c r="U267" s="78" t="s">
        <v>390</v>
      </c>
      <c r="V267" s="79" t="s">
        <v>391</v>
      </c>
      <c r="W267" s="77" t="s">
        <v>13</v>
      </c>
      <c r="X267" s="78" t="s">
        <v>390</v>
      </c>
      <c r="Y267" s="78" t="s">
        <v>390</v>
      </c>
      <c r="Z267" s="78" t="s">
        <v>390</v>
      </c>
      <c r="AA267" s="78" t="s">
        <v>390</v>
      </c>
      <c r="AB267" s="78" t="s">
        <v>390</v>
      </c>
      <c r="AC267" s="78" t="s">
        <v>390</v>
      </c>
      <c r="AD267" s="77" t="s">
        <v>13</v>
      </c>
      <c r="AE267" s="78" t="s">
        <v>390</v>
      </c>
      <c r="AF267" s="78" t="s">
        <v>390</v>
      </c>
      <c r="AG267" s="78" t="s">
        <v>390</v>
      </c>
      <c r="AH267" s="78" t="s">
        <v>390</v>
      </c>
      <c r="AI267" s="78" t="s">
        <v>390</v>
      </c>
      <c r="AJ267" s="86" t="s">
        <v>14</v>
      </c>
      <c r="AK267" s="77" t="s">
        <v>13</v>
      </c>
      <c r="AL267" s="106">
        <f t="shared" si="20"/>
        <v>22</v>
      </c>
      <c r="AM267" s="106">
        <f t="shared" si="21"/>
        <v>0</v>
      </c>
      <c r="AN267" s="106">
        <f t="shared" si="22"/>
        <v>0</v>
      </c>
      <c r="AO267" s="106">
        <f t="shared" si="23"/>
        <v>22</v>
      </c>
      <c r="AP267" s="106">
        <f t="shared" si="24"/>
        <v>1</v>
      </c>
      <c r="AQ267" s="134">
        <v>10</v>
      </c>
      <c r="AR267" s="134">
        <v>260</v>
      </c>
      <c r="AS267" s="134">
        <v>65</v>
      </c>
      <c r="AT267" s="135">
        <v>25</v>
      </c>
      <c r="AU267" s="106" t="s">
        <v>427</v>
      </c>
      <c r="AV267" s="100"/>
      <c r="AW267" s="100"/>
    </row>
    <row r="268" spans="1:49" x14ac:dyDescent="0.25">
      <c r="A268" s="96">
        <v>271</v>
      </c>
      <c r="B268" s="150">
        <v>2397</v>
      </c>
      <c r="C268" s="16" t="s">
        <v>20</v>
      </c>
      <c r="D268" s="16" t="s">
        <v>258</v>
      </c>
      <c r="E268" s="32" t="s">
        <v>85</v>
      </c>
      <c r="F268" s="16" t="s">
        <v>125</v>
      </c>
      <c r="G268" s="65">
        <v>45953</v>
      </c>
      <c r="H268" s="75" t="s">
        <v>12</v>
      </c>
      <c r="I268" s="75" t="s">
        <v>13</v>
      </c>
      <c r="J268" s="84" t="s">
        <v>390</v>
      </c>
      <c r="K268" s="84" t="s">
        <v>390</v>
      </c>
      <c r="L268" s="84" t="s">
        <v>390</v>
      </c>
      <c r="M268" s="84" t="s">
        <v>390</v>
      </c>
      <c r="N268" s="84" t="s">
        <v>390</v>
      </c>
      <c r="O268" s="84" t="s">
        <v>390</v>
      </c>
      <c r="P268" s="75" t="s">
        <v>13</v>
      </c>
      <c r="Q268" s="84" t="s">
        <v>390</v>
      </c>
      <c r="R268" s="84" t="s">
        <v>390</v>
      </c>
      <c r="S268" s="84" t="s">
        <v>390</v>
      </c>
      <c r="T268" s="84" t="s">
        <v>390</v>
      </c>
      <c r="U268" s="84" t="s">
        <v>390</v>
      </c>
      <c r="V268" s="82" t="s">
        <v>391</v>
      </c>
      <c r="W268" s="75" t="s">
        <v>13</v>
      </c>
      <c r="X268" s="84" t="s">
        <v>390</v>
      </c>
      <c r="Y268" s="84" t="s">
        <v>390</v>
      </c>
      <c r="Z268" s="84" t="s">
        <v>390</v>
      </c>
      <c r="AA268" s="84" t="s">
        <v>390</v>
      </c>
      <c r="AB268" s="84" t="s">
        <v>390</v>
      </c>
      <c r="AC268" s="84" t="s">
        <v>390</v>
      </c>
      <c r="AD268" s="75" t="s">
        <v>13</v>
      </c>
      <c r="AE268" s="84" t="s">
        <v>390</v>
      </c>
      <c r="AF268" s="84" t="s">
        <v>390</v>
      </c>
      <c r="AG268" s="83" t="s">
        <v>14</v>
      </c>
      <c r="AH268" s="84" t="s">
        <v>390</v>
      </c>
      <c r="AI268" s="84" t="s">
        <v>390</v>
      </c>
      <c r="AJ268" s="84" t="s">
        <v>390</v>
      </c>
      <c r="AK268" s="75" t="s">
        <v>13</v>
      </c>
      <c r="AL268" s="106">
        <f t="shared" si="20"/>
        <v>22</v>
      </c>
      <c r="AM268" s="106">
        <f t="shared" si="21"/>
        <v>0</v>
      </c>
      <c r="AN268" s="106">
        <f t="shared" si="22"/>
        <v>0</v>
      </c>
      <c r="AO268" s="106">
        <f t="shared" si="23"/>
        <v>22</v>
      </c>
      <c r="AP268" s="106">
        <f t="shared" si="24"/>
        <v>1</v>
      </c>
      <c r="AQ268" s="134"/>
      <c r="AR268" s="134"/>
      <c r="AS268" s="134"/>
      <c r="AT268" s="135"/>
      <c r="AU268" s="106" t="s">
        <v>427</v>
      </c>
      <c r="AV268" s="100"/>
      <c r="AW268" s="100"/>
    </row>
    <row r="269" spans="1:49" x14ac:dyDescent="0.25">
      <c r="A269" s="96">
        <v>272</v>
      </c>
      <c r="B269" s="150">
        <v>2399</v>
      </c>
      <c r="C269" s="16" t="s">
        <v>337</v>
      </c>
      <c r="D269" s="16" t="s">
        <v>19</v>
      </c>
      <c r="E269" s="16" t="s">
        <v>20</v>
      </c>
      <c r="F269" s="16" t="s">
        <v>107</v>
      </c>
      <c r="G269" s="64">
        <v>45964</v>
      </c>
      <c r="H269" s="80" t="s">
        <v>14</v>
      </c>
      <c r="I269" s="80" t="s">
        <v>14</v>
      </c>
      <c r="J269" s="78" t="s">
        <v>390</v>
      </c>
      <c r="K269" s="78" t="s">
        <v>390</v>
      </c>
      <c r="L269" s="78" t="s">
        <v>390</v>
      </c>
      <c r="M269" s="78" t="s">
        <v>390</v>
      </c>
      <c r="N269" s="78" t="s">
        <v>390</v>
      </c>
      <c r="O269" s="78" t="s">
        <v>390</v>
      </c>
      <c r="P269" s="77" t="s">
        <v>13</v>
      </c>
      <c r="Q269" s="78" t="s">
        <v>390</v>
      </c>
      <c r="R269" s="78" t="s">
        <v>390</v>
      </c>
      <c r="S269" s="78" t="s">
        <v>390</v>
      </c>
      <c r="T269" s="78" t="s">
        <v>390</v>
      </c>
      <c r="U269" s="78" t="s">
        <v>390</v>
      </c>
      <c r="V269" s="79" t="s">
        <v>391</v>
      </c>
      <c r="W269" s="77" t="s">
        <v>13</v>
      </c>
      <c r="X269" s="78" t="s">
        <v>390</v>
      </c>
      <c r="Y269" s="78" t="s">
        <v>390</v>
      </c>
      <c r="Z269" s="78" t="s">
        <v>390</v>
      </c>
      <c r="AA269" s="78" t="s">
        <v>390</v>
      </c>
      <c r="AB269" s="78" t="s">
        <v>390</v>
      </c>
      <c r="AC269" s="78" t="s">
        <v>390</v>
      </c>
      <c r="AD269" s="77" t="s">
        <v>13</v>
      </c>
      <c r="AE269" s="78" t="s">
        <v>390</v>
      </c>
      <c r="AF269" s="78" t="s">
        <v>390</v>
      </c>
      <c r="AG269" s="78" t="s">
        <v>390</v>
      </c>
      <c r="AH269" s="78" t="s">
        <v>390</v>
      </c>
      <c r="AI269" s="78" t="s">
        <v>390</v>
      </c>
      <c r="AJ269" s="80" t="s">
        <v>14</v>
      </c>
      <c r="AK269" s="77" t="s">
        <v>13</v>
      </c>
      <c r="AL269" s="106">
        <f t="shared" si="20"/>
        <v>22</v>
      </c>
      <c r="AM269" s="106">
        <f t="shared" si="21"/>
        <v>0</v>
      </c>
      <c r="AN269" s="106">
        <f t="shared" si="22"/>
        <v>0</v>
      </c>
      <c r="AO269" s="106">
        <f t="shared" si="23"/>
        <v>22</v>
      </c>
      <c r="AP269" s="106">
        <f t="shared" si="24"/>
        <v>3</v>
      </c>
      <c r="AQ269" s="134">
        <v>12</v>
      </c>
      <c r="AR269" s="134">
        <v>312</v>
      </c>
      <c r="AS269" s="134">
        <v>32</v>
      </c>
      <c r="AT269" s="135">
        <v>10.256410256410255</v>
      </c>
      <c r="AU269" s="106" t="s">
        <v>427</v>
      </c>
      <c r="AV269" s="113"/>
      <c r="AW269" s="100"/>
    </row>
    <row r="270" spans="1:49" ht="15" x14ac:dyDescent="0.25">
      <c r="A270" s="96">
        <v>273</v>
      </c>
      <c r="B270" s="150">
        <v>2400</v>
      </c>
      <c r="C270" s="16" t="s">
        <v>338</v>
      </c>
      <c r="D270" s="16" t="s">
        <v>38</v>
      </c>
      <c r="E270" s="16" t="s">
        <v>39</v>
      </c>
      <c r="F270" s="16" t="s">
        <v>107</v>
      </c>
      <c r="G270" s="64">
        <v>45964</v>
      </c>
      <c r="H270" s="80" t="s">
        <v>14</v>
      </c>
      <c r="I270" s="80" t="s">
        <v>14</v>
      </c>
      <c r="J270" s="80" t="s">
        <v>14</v>
      </c>
      <c r="K270" s="80" t="s">
        <v>14</v>
      </c>
      <c r="L270" s="80" t="s">
        <v>14</v>
      </c>
      <c r="M270" s="80" t="s">
        <v>14</v>
      </c>
      <c r="N270" s="80" t="s">
        <v>14</v>
      </c>
      <c r="O270" s="80" t="s">
        <v>14</v>
      </c>
      <c r="P270" s="80" t="s">
        <v>14</v>
      </c>
      <c r="Q270" s="80" t="s">
        <v>14</v>
      </c>
      <c r="R270" s="80" t="s">
        <v>14</v>
      </c>
      <c r="S270" s="80" t="s">
        <v>14</v>
      </c>
      <c r="T270" s="80" t="s">
        <v>14</v>
      </c>
      <c r="U270" s="80" t="s">
        <v>14</v>
      </c>
      <c r="V270" s="80" t="s">
        <v>14</v>
      </c>
      <c r="W270" s="80" t="s">
        <v>14</v>
      </c>
      <c r="X270" s="80" t="s">
        <v>14</v>
      </c>
      <c r="Y270" s="80" t="s">
        <v>14</v>
      </c>
      <c r="Z270" s="80" t="s">
        <v>14</v>
      </c>
      <c r="AA270" s="80" t="s">
        <v>14</v>
      </c>
      <c r="AB270" s="80" t="s">
        <v>14</v>
      </c>
      <c r="AC270" s="80" t="s">
        <v>14</v>
      </c>
      <c r="AD270" s="80" t="s">
        <v>14</v>
      </c>
      <c r="AE270" s="80" t="s">
        <v>14</v>
      </c>
      <c r="AF270" s="80" t="s">
        <v>14</v>
      </c>
      <c r="AG270" s="80" t="s">
        <v>14</v>
      </c>
      <c r="AH270" s="80" t="s">
        <v>14</v>
      </c>
      <c r="AI270" s="80" t="s">
        <v>14</v>
      </c>
      <c r="AJ270" s="80" t="s">
        <v>14</v>
      </c>
      <c r="AK270" s="80" t="s">
        <v>14</v>
      </c>
      <c r="AL270" s="106">
        <f t="shared" si="20"/>
        <v>0</v>
      </c>
      <c r="AM270" s="106">
        <f t="shared" si="21"/>
        <v>0</v>
      </c>
      <c r="AN270" s="106">
        <f t="shared" si="22"/>
        <v>0</v>
      </c>
      <c r="AO270" s="106">
        <f t="shared" si="23"/>
        <v>0</v>
      </c>
      <c r="AP270" s="106">
        <f t="shared" si="24"/>
        <v>30</v>
      </c>
      <c r="AQ270" s="134">
        <v>80</v>
      </c>
      <c r="AR270" s="134">
        <v>2160</v>
      </c>
      <c r="AS270" s="134">
        <v>83</v>
      </c>
      <c r="AT270" s="135">
        <v>3.8425925925925926</v>
      </c>
      <c r="AU270" s="113" t="s">
        <v>393</v>
      </c>
      <c r="AV270" s="111" t="s">
        <v>394</v>
      </c>
      <c r="AW270" s="100"/>
    </row>
    <row r="271" spans="1:49" x14ac:dyDescent="0.25">
      <c r="A271" s="96">
        <v>274</v>
      </c>
      <c r="B271" s="150">
        <v>2401</v>
      </c>
      <c r="C271" s="16" t="s">
        <v>339</v>
      </c>
      <c r="D271" s="16" t="s">
        <v>38</v>
      </c>
      <c r="E271" s="16" t="s">
        <v>45</v>
      </c>
      <c r="F271" s="16" t="s">
        <v>107</v>
      </c>
      <c r="G271" s="64">
        <v>45964</v>
      </c>
      <c r="H271" s="80" t="s">
        <v>14</v>
      </c>
      <c r="I271" s="80" t="s">
        <v>14</v>
      </c>
      <c r="J271" s="78" t="s">
        <v>390</v>
      </c>
      <c r="K271" s="78" t="s">
        <v>390</v>
      </c>
      <c r="L271" s="78" t="s">
        <v>390</v>
      </c>
      <c r="M271" s="78" t="s">
        <v>390</v>
      </c>
      <c r="N271" s="78" t="s">
        <v>390</v>
      </c>
      <c r="O271" s="78" t="s">
        <v>390</v>
      </c>
      <c r="P271" s="77" t="s">
        <v>13</v>
      </c>
      <c r="Q271" s="78" t="s">
        <v>390</v>
      </c>
      <c r="R271" s="78" t="s">
        <v>390</v>
      </c>
      <c r="S271" s="78" t="s">
        <v>390</v>
      </c>
      <c r="T271" s="78" t="s">
        <v>390</v>
      </c>
      <c r="U271" s="78" t="s">
        <v>390</v>
      </c>
      <c r="V271" s="78" t="s">
        <v>390</v>
      </c>
      <c r="W271" s="77" t="s">
        <v>13</v>
      </c>
      <c r="X271" s="78" t="s">
        <v>390</v>
      </c>
      <c r="Y271" s="78" t="s">
        <v>390</v>
      </c>
      <c r="Z271" s="78" t="s">
        <v>390</v>
      </c>
      <c r="AA271" s="78" t="s">
        <v>390</v>
      </c>
      <c r="AB271" s="78" t="s">
        <v>390</v>
      </c>
      <c r="AC271" s="79" t="s">
        <v>391</v>
      </c>
      <c r="AD271" s="77" t="s">
        <v>13</v>
      </c>
      <c r="AE271" s="78" t="s">
        <v>390</v>
      </c>
      <c r="AF271" s="78" t="s">
        <v>390</v>
      </c>
      <c r="AG271" s="78" t="s">
        <v>390</v>
      </c>
      <c r="AH271" s="78" t="s">
        <v>390</v>
      </c>
      <c r="AI271" s="78" t="s">
        <v>390</v>
      </c>
      <c r="AJ271" s="78" t="s">
        <v>390</v>
      </c>
      <c r="AK271" s="77" t="s">
        <v>13</v>
      </c>
      <c r="AL271" s="106">
        <f t="shared" si="20"/>
        <v>23</v>
      </c>
      <c r="AM271" s="106">
        <f t="shared" si="21"/>
        <v>0</v>
      </c>
      <c r="AN271" s="106">
        <f t="shared" si="22"/>
        <v>0</v>
      </c>
      <c r="AO271" s="106">
        <f t="shared" si="23"/>
        <v>23</v>
      </c>
      <c r="AP271" s="106">
        <f t="shared" si="24"/>
        <v>2</v>
      </c>
      <c r="AQ271" s="134">
        <v>80</v>
      </c>
      <c r="AR271" s="134">
        <v>2160</v>
      </c>
      <c r="AS271" s="134">
        <v>227</v>
      </c>
      <c r="AT271" s="135">
        <v>10.50925925925926</v>
      </c>
      <c r="AU271" s="106" t="s">
        <v>427</v>
      </c>
      <c r="AV271" s="113"/>
      <c r="AW271" s="100"/>
    </row>
    <row r="272" spans="1:49" x14ac:dyDescent="0.25">
      <c r="A272" s="96">
        <v>275</v>
      </c>
      <c r="B272" s="150">
        <v>2403</v>
      </c>
      <c r="C272" s="16" t="s">
        <v>340</v>
      </c>
      <c r="D272" s="16" t="s">
        <v>44</v>
      </c>
      <c r="E272" s="30" t="s">
        <v>45</v>
      </c>
      <c r="F272" s="16" t="s">
        <v>107</v>
      </c>
      <c r="G272" s="64">
        <v>45967</v>
      </c>
      <c r="H272" s="80" t="s">
        <v>14</v>
      </c>
      <c r="I272" s="80" t="s">
        <v>14</v>
      </c>
      <c r="J272" s="80" t="s">
        <v>14</v>
      </c>
      <c r="K272" s="80" t="s">
        <v>14</v>
      </c>
      <c r="L272" s="80" t="s">
        <v>14</v>
      </c>
      <c r="M272" s="78" t="s">
        <v>390</v>
      </c>
      <c r="N272" s="78" t="s">
        <v>390</v>
      </c>
      <c r="O272" s="78" t="s">
        <v>390</v>
      </c>
      <c r="P272" s="77" t="s">
        <v>13</v>
      </c>
      <c r="Q272" s="80" t="s">
        <v>14</v>
      </c>
      <c r="R272" s="78" t="s">
        <v>390</v>
      </c>
      <c r="S272" s="78" t="s">
        <v>390</v>
      </c>
      <c r="T272" s="78" t="s">
        <v>390</v>
      </c>
      <c r="U272" s="78" t="s">
        <v>390</v>
      </c>
      <c r="V272" s="78" t="s">
        <v>390</v>
      </c>
      <c r="W272" s="77" t="s">
        <v>13</v>
      </c>
      <c r="X272" s="78" t="s">
        <v>390</v>
      </c>
      <c r="Y272" s="78" t="s">
        <v>390</v>
      </c>
      <c r="Z272" s="78" t="s">
        <v>390</v>
      </c>
      <c r="AA272" s="78" t="s">
        <v>390</v>
      </c>
      <c r="AB272" s="78" t="s">
        <v>390</v>
      </c>
      <c r="AC272" s="78" t="s">
        <v>390</v>
      </c>
      <c r="AD272" s="77" t="s">
        <v>13</v>
      </c>
      <c r="AE272" s="78" t="s">
        <v>390</v>
      </c>
      <c r="AF272" s="78" t="s">
        <v>390</v>
      </c>
      <c r="AG272" s="78" t="s">
        <v>390</v>
      </c>
      <c r="AH272" s="78" t="s">
        <v>390</v>
      </c>
      <c r="AI272" s="78" t="s">
        <v>390</v>
      </c>
      <c r="AJ272" s="87" t="s">
        <v>391</v>
      </c>
      <c r="AK272" s="77" t="s">
        <v>13</v>
      </c>
      <c r="AL272" s="106">
        <f t="shared" si="20"/>
        <v>19</v>
      </c>
      <c r="AM272" s="106">
        <f t="shared" si="21"/>
        <v>0</v>
      </c>
      <c r="AN272" s="106">
        <f t="shared" si="22"/>
        <v>0</v>
      </c>
      <c r="AO272" s="106">
        <f t="shared" si="23"/>
        <v>19</v>
      </c>
      <c r="AP272" s="106">
        <f t="shared" si="24"/>
        <v>6</v>
      </c>
      <c r="AQ272" s="134"/>
      <c r="AR272" s="134"/>
      <c r="AS272" s="134"/>
      <c r="AT272" s="135"/>
      <c r="AU272" s="106" t="s">
        <v>427</v>
      </c>
      <c r="AV272" s="113"/>
      <c r="AW272" s="100"/>
    </row>
    <row r="273" spans="1:49" x14ac:dyDescent="0.25">
      <c r="A273" s="96">
        <v>276</v>
      </c>
      <c r="B273" s="150">
        <v>2404</v>
      </c>
      <c r="C273" s="16" t="s">
        <v>341</v>
      </c>
      <c r="D273" s="16" t="s">
        <v>38</v>
      </c>
      <c r="E273" s="30" t="s">
        <v>28</v>
      </c>
      <c r="F273" s="16" t="s">
        <v>107</v>
      </c>
      <c r="G273" s="65">
        <v>45971</v>
      </c>
      <c r="H273" s="80" t="s">
        <v>14</v>
      </c>
      <c r="I273" s="80" t="s">
        <v>14</v>
      </c>
      <c r="J273" s="80" t="s">
        <v>14</v>
      </c>
      <c r="K273" s="80" t="s">
        <v>14</v>
      </c>
      <c r="L273" s="80" t="s">
        <v>14</v>
      </c>
      <c r="M273" s="80" t="s">
        <v>14</v>
      </c>
      <c r="N273" s="80" t="s">
        <v>14</v>
      </c>
      <c r="O273" s="80" t="s">
        <v>14</v>
      </c>
      <c r="P273" s="80" t="s">
        <v>14</v>
      </c>
      <c r="Q273" s="78" t="s">
        <v>390</v>
      </c>
      <c r="R273" s="78" t="s">
        <v>390</v>
      </c>
      <c r="S273" s="78" t="s">
        <v>390</v>
      </c>
      <c r="T273" s="78" t="s">
        <v>390</v>
      </c>
      <c r="U273" s="78" t="s">
        <v>390</v>
      </c>
      <c r="V273" s="81" t="s">
        <v>392</v>
      </c>
      <c r="W273" s="77" t="s">
        <v>13</v>
      </c>
      <c r="X273" s="79" t="s">
        <v>391</v>
      </c>
      <c r="Y273" s="78" t="s">
        <v>390</v>
      </c>
      <c r="Z273" s="78" t="s">
        <v>390</v>
      </c>
      <c r="AA273" s="78" t="s">
        <v>390</v>
      </c>
      <c r="AB273" s="81" t="s">
        <v>392</v>
      </c>
      <c r="AC273" s="136" t="s">
        <v>390</v>
      </c>
      <c r="AD273" s="77" t="s">
        <v>13</v>
      </c>
      <c r="AE273" s="78" t="s">
        <v>390</v>
      </c>
      <c r="AF273" s="78" t="s">
        <v>390</v>
      </c>
      <c r="AG273" s="78" t="s">
        <v>390</v>
      </c>
      <c r="AH273" s="78" t="s">
        <v>390</v>
      </c>
      <c r="AI273" s="78" t="s">
        <v>390</v>
      </c>
      <c r="AJ273" s="81" t="s">
        <v>392</v>
      </c>
      <c r="AK273" s="77" t="s">
        <v>13</v>
      </c>
      <c r="AL273" s="106">
        <f t="shared" si="20"/>
        <v>14</v>
      </c>
      <c r="AM273" s="106">
        <f t="shared" si="21"/>
        <v>0</v>
      </c>
      <c r="AN273" s="106">
        <f t="shared" si="22"/>
        <v>1.5</v>
      </c>
      <c r="AO273" s="106">
        <f t="shared" si="23"/>
        <v>15.5</v>
      </c>
      <c r="AP273" s="106">
        <f t="shared" si="24"/>
        <v>10.5</v>
      </c>
      <c r="AQ273" s="134">
        <v>80</v>
      </c>
      <c r="AR273" s="134">
        <v>2160</v>
      </c>
      <c r="AS273" s="134">
        <v>520</v>
      </c>
      <c r="AT273" s="135">
        <v>24.074074074074073</v>
      </c>
      <c r="AU273" s="106" t="s">
        <v>427</v>
      </c>
      <c r="AV273" s="113"/>
      <c r="AW273" s="100"/>
    </row>
    <row r="274" spans="1:49" x14ac:dyDescent="0.25">
      <c r="A274" s="96">
        <v>277</v>
      </c>
      <c r="B274" s="151">
        <v>2405</v>
      </c>
      <c r="C274" s="4" t="s">
        <v>342</v>
      </c>
      <c r="D274" s="4" t="s">
        <v>38</v>
      </c>
      <c r="E274" s="30" t="s">
        <v>28</v>
      </c>
      <c r="F274" s="4" t="s">
        <v>107</v>
      </c>
      <c r="G274" s="73">
        <v>45978</v>
      </c>
      <c r="H274" s="80" t="s">
        <v>14</v>
      </c>
      <c r="I274" s="80" t="s">
        <v>14</v>
      </c>
      <c r="J274" s="80" t="s">
        <v>14</v>
      </c>
      <c r="K274" s="80" t="s">
        <v>14</v>
      </c>
      <c r="L274" s="80" t="s">
        <v>14</v>
      </c>
      <c r="M274" s="80" t="s">
        <v>14</v>
      </c>
      <c r="N274" s="80" t="s">
        <v>14</v>
      </c>
      <c r="O274" s="80" t="s">
        <v>14</v>
      </c>
      <c r="P274" s="80" t="s">
        <v>14</v>
      </c>
      <c r="Q274" s="80" t="s">
        <v>14</v>
      </c>
      <c r="R274" s="80" t="s">
        <v>14</v>
      </c>
      <c r="S274" s="80" t="s">
        <v>14</v>
      </c>
      <c r="T274" s="80" t="s">
        <v>14</v>
      </c>
      <c r="U274" s="80" t="s">
        <v>14</v>
      </c>
      <c r="V274" s="80" t="s">
        <v>14</v>
      </c>
      <c r="W274" s="80" t="s">
        <v>14</v>
      </c>
      <c r="X274" s="78" t="s">
        <v>390</v>
      </c>
      <c r="Y274" s="78" t="s">
        <v>390</v>
      </c>
      <c r="Z274" s="78" t="s">
        <v>390</v>
      </c>
      <c r="AA274" s="80" t="s">
        <v>14</v>
      </c>
      <c r="AB274" s="79" t="s">
        <v>391</v>
      </c>
      <c r="AC274" s="78" t="s">
        <v>390</v>
      </c>
      <c r="AD274" s="77" t="s">
        <v>13</v>
      </c>
      <c r="AE274" s="78" t="s">
        <v>390</v>
      </c>
      <c r="AF274" s="78" t="s">
        <v>390</v>
      </c>
      <c r="AG274" s="78" t="s">
        <v>390</v>
      </c>
      <c r="AH274" s="78" t="s">
        <v>390</v>
      </c>
      <c r="AI274" s="78" t="s">
        <v>390</v>
      </c>
      <c r="AJ274" s="78" t="s">
        <v>390</v>
      </c>
      <c r="AK274" s="77" t="s">
        <v>13</v>
      </c>
      <c r="AL274" s="106">
        <f t="shared" si="20"/>
        <v>10</v>
      </c>
      <c r="AM274" s="106">
        <f t="shared" si="21"/>
        <v>0</v>
      </c>
      <c r="AN274" s="106">
        <f t="shared" si="22"/>
        <v>0</v>
      </c>
      <c r="AO274" s="106">
        <f t="shared" si="23"/>
        <v>10</v>
      </c>
      <c r="AP274" s="106">
        <f t="shared" si="24"/>
        <v>17</v>
      </c>
      <c r="AQ274" s="134">
        <v>50</v>
      </c>
      <c r="AR274" s="134">
        <v>1350</v>
      </c>
      <c r="AS274" s="134">
        <v>286</v>
      </c>
      <c r="AT274" s="135">
        <v>21.185185185185183</v>
      </c>
      <c r="AU274" s="106" t="s">
        <v>427</v>
      </c>
      <c r="AV274" s="113"/>
      <c r="AW274" s="100"/>
    </row>
    <row r="275" spans="1:49" x14ac:dyDescent="0.25">
      <c r="A275" s="96">
        <v>278</v>
      </c>
      <c r="B275" s="151">
        <v>2406</v>
      </c>
      <c r="C275" s="4" t="s">
        <v>343</v>
      </c>
      <c r="D275" s="4" t="s">
        <v>44</v>
      </c>
      <c r="E275" s="30" t="s">
        <v>28</v>
      </c>
      <c r="F275" s="4" t="s">
        <v>107</v>
      </c>
      <c r="G275" s="73">
        <v>45978</v>
      </c>
      <c r="H275" s="80" t="s">
        <v>14</v>
      </c>
      <c r="I275" s="80" t="s">
        <v>14</v>
      </c>
      <c r="J275" s="80" t="s">
        <v>14</v>
      </c>
      <c r="K275" s="80" t="s">
        <v>14</v>
      </c>
      <c r="L275" s="80" t="s">
        <v>14</v>
      </c>
      <c r="M275" s="80" t="s">
        <v>14</v>
      </c>
      <c r="N275" s="80" t="s">
        <v>14</v>
      </c>
      <c r="O275" s="80" t="s">
        <v>14</v>
      </c>
      <c r="P275" s="80" t="s">
        <v>14</v>
      </c>
      <c r="Q275" s="80" t="s">
        <v>14</v>
      </c>
      <c r="R275" s="80" t="s">
        <v>14</v>
      </c>
      <c r="S275" s="80" t="s">
        <v>14</v>
      </c>
      <c r="T275" s="80" t="s">
        <v>14</v>
      </c>
      <c r="U275" s="80" t="s">
        <v>14</v>
      </c>
      <c r="V275" s="80" t="s">
        <v>14</v>
      </c>
      <c r="W275" s="80" t="s">
        <v>14</v>
      </c>
      <c r="X275" s="78" t="s">
        <v>390</v>
      </c>
      <c r="Y275" s="78" t="s">
        <v>390</v>
      </c>
      <c r="Z275" s="78" t="s">
        <v>390</v>
      </c>
      <c r="AA275" s="78" t="s">
        <v>390</v>
      </c>
      <c r="AB275" s="78" t="s">
        <v>390</v>
      </c>
      <c r="AC275" s="78" t="s">
        <v>390</v>
      </c>
      <c r="AD275" s="77" t="s">
        <v>13</v>
      </c>
      <c r="AE275" s="78" t="s">
        <v>390</v>
      </c>
      <c r="AF275" s="78" t="s">
        <v>390</v>
      </c>
      <c r="AG275" s="78" t="s">
        <v>390</v>
      </c>
      <c r="AH275" s="78" t="s">
        <v>390</v>
      </c>
      <c r="AI275" s="78" t="s">
        <v>390</v>
      </c>
      <c r="AJ275" s="78" t="s">
        <v>390</v>
      </c>
      <c r="AK275" s="77" t="s">
        <v>13</v>
      </c>
      <c r="AL275" s="106">
        <f t="shared" si="20"/>
        <v>12</v>
      </c>
      <c r="AM275" s="106">
        <f t="shared" si="21"/>
        <v>0</v>
      </c>
      <c r="AN275" s="106">
        <f t="shared" si="22"/>
        <v>0</v>
      </c>
      <c r="AO275" s="106">
        <f t="shared" si="23"/>
        <v>12</v>
      </c>
      <c r="AP275" s="106">
        <f t="shared" si="24"/>
        <v>16</v>
      </c>
      <c r="AQ275" s="134"/>
      <c r="AR275" s="134"/>
      <c r="AS275" s="134"/>
      <c r="AT275" s="135"/>
      <c r="AU275" s="106" t="s">
        <v>427</v>
      </c>
      <c r="AV275" s="113"/>
      <c r="AW275" s="100"/>
    </row>
    <row r="276" spans="1:49" x14ac:dyDescent="0.25">
      <c r="A276" s="96">
        <v>279</v>
      </c>
      <c r="B276" s="151">
        <v>2407</v>
      </c>
      <c r="C276" s="4" t="s">
        <v>344</v>
      </c>
      <c r="D276" s="4" t="s">
        <v>19</v>
      </c>
      <c r="E276" s="31" t="s">
        <v>20</v>
      </c>
      <c r="F276" s="4" t="s">
        <v>107</v>
      </c>
      <c r="G276" s="73">
        <v>45979</v>
      </c>
      <c r="H276" s="80" t="s">
        <v>14</v>
      </c>
      <c r="I276" s="80" t="s">
        <v>14</v>
      </c>
      <c r="J276" s="80" t="s">
        <v>14</v>
      </c>
      <c r="K276" s="80" t="s">
        <v>14</v>
      </c>
      <c r="L276" s="80" t="s">
        <v>14</v>
      </c>
      <c r="M276" s="80" t="s">
        <v>14</v>
      </c>
      <c r="N276" s="80" t="s">
        <v>14</v>
      </c>
      <c r="O276" s="80" t="s">
        <v>14</v>
      </c>
      <c r="P276" s="80" t="s">
        <v>14</v>
      </c>
      <c r="Q276" s="80" t="s">
        <v>14</v>
      </c>
      <c r="R276" s="80" t="s">
        <v>14</v>
      </c>
      <c r="S276" s="80" t="s">
        <v>14</v>
      </c>
      <c r="T276" s="80" t="s">
        <v>14</v>
      </c>
      <c r="U276" s="80" t="s">
        <v>14</v>
      </c>
      <c r="V276" s="80" t="s">
        <v>14</v>
      </c>
      <c r="W276" s="80" t="s">
        <v>14</v>
      </c>
      <c r="X276" s="80" t="s">
        <v>14</v>
      </c>
      <c r="Y276" s="78" t="s">
        <v>390</v>
      </c>
      <c r="Z276" s="78" t="s">
        <v>390</v>
      </c>
      <c r="AA276" s="78" t="s">
        <v>390</v>
      </c>
      <c r="AB276" s="78" t="s">
        <v>390</v>
      </c>
      <c r="AC276" s="78" t="s">
        <v>390</v>
      </c>
      <c r="AD276" s="77" t="s">
        <v>13</v>
      </c>
      <c r="AE276" s="78" t="s">
        <v>390</v>
      </c>
      <c r="AF276" s="78" t="s">
        <v>390</v>
      </c>
      <c r="AG276" s="78" t="s">
        <v>390</v>
      </c>
      <c r="AH276" s="78" t="s">
        <v>390</v>
      </c>
      <c r="AI276" s="78" t="s">
        <v>390</v>
      </c>
      <c r="AJ276" s="80" t="s">
        <v>14</v>
      </c>
      <c r="AK276" s="77" t="s">
        <v>13</v>
      </c>
      <c r="AL276" s="106">
        <f t="shared" si="20"/>
        <v>10</v>
      </c>
      <c r="AM276" s="106">
        <f t="shared" si="21"/>
        <v>0</v>
      </c>
      <c r="AN276" s="106">
        <f t="shared" si="22"/>
        <v>0</v>
      </c>
      <c r="AO276" s="106">
        <f t="shared" si="23"/>
        <v>10</v>
      </c>
      <c r="AP276" s="106">
        <f t="shared" si="24"/>
        <v>18</v>
      </c>
      <c r="AQ276" s="134">
        <v>12</v>
      </c>
      <c r="AR276" s="134">
        <v>312</v>
      </c>
      <c r="AS276" s="134">
        <v>38</v>
      </c>
      <c r="AT276" s="135">
        <v>12.179487179487179</v>
      </c>
      <c r="AU276" s="106" t="s">
        <v>427</v>
      </c>
      <c r="AV276" s="113"/>
      <c r="AW276" s="100"/>
    </row>
    <row r="277" spans="1:49" x14ac:dyDescent="0.25">
      <c r="A277" s="96">
        <v>280</v>
      </c>
      <c r="B277" s="151">
        <v>2428</v>
      </c>
      <c r="C277" s="4" t="s">
        <v>373</v>
      </c>
      <c r="D277" s="4" t="s">
        <v>44</v>
      </c>
      <c r="E277" s="30" t="s">
        <v>28</v>
      </c>
      <c r="F277" s="4" t="s">
        <v>107</v>
      </c>
      <c r="G277" s="66">
        <v>45985</v>
      </c>
      <c r="H277" s="80" t="s">
        <v>14</v>
      </c>
      <c r="I277" s="80" t="s">
        <v>14</v>
      </c>
      <c r="J277" s="80" t="s">
        <v>14</v>
      </c>
      <c r="K277" s="80" t="s">
        <v>14</v>
      </c>
      <c r="L277" s="80" t="s">
        <v>14</v>
      </c>
      <c r="M277" s="80" t="s">
        <v>14</v>
      </c>
      <c r="N277" s="80" t="s">
        <v>14</v>
      </c>
      <c r="O277" s="80" t="s">
        <v>14</v>
      </c>
      <c r="P277" s="80" t="s">
        <v>14</v>
      </c>
      <c r="Q277" s="80" t="s">
        <v>14</v>
      </c>
      <c r="R277" s="80" t="s">
        <v>14</v>
      </c>
      <c r="S277" s="80" t="s">
        <v>14</v>
      </c>
      <c r="T277" s="80" t="s">
        <v>14</v>
      </c>
      <c r="U277" s="80" t="s">
        <v>14</v>
      </c>
      <c r="V277" s="80" t="s">
        <v>14</v>
      </c>
      <c r="W277" s="80" t="s">
        <v>14</v>
      </c>
      <c r="X277" s="80" t="s">
        <v>14</v>
      </c>
      <c r="Y277" s="80" t="s">
        <v>14</v>
      </c>
      <c r="Z277" s="80" t="s">
        <v>14</v>
      </c>
      <c r="AA277" s="80" t="s">
        <v>14</v>
      </c>
      <c r="AB277" s="80" t="s">
        <v>14</v>
      </c>
      <c r="AC277" s="80" t="s">
        <v>14</v>
      </c>
      <c r="AD277" s="80" t="s">
        <v>14</v>
      </c>
      <c r="AE277" s="78" t="s">
        <v>390</v>
      </c>
      <c r="AF277" s="78" t="s">
        <v>390</v>
      </c>
      <c r="AG277" s="78" t="s">
        <v>390</v>
      </c>
      <c r="AH277" s="78" t="s">
        <v>390</v>
      </c>
      <c r="AI277" s="78" t="s">
        <v>390</v>
      </c>
      <c r="AJ277" s="80" t="s">
        <v>14</v>
      </c>
      <c r="AK277" s="77" t="s">
        <v>13</v>
      </c>
      <c r="AL277" s="106">
        <f t="shared" si="20"/>
        <v>5</v>
      </c>
      <c r="AM277" s="106">
        <f t="shared" si="21"/>
        <v>0</v>
      </c>
      <c r="AN277" s="106">
        <f t="shared" si="22"/>
        <v>0</v>
      </c>
      <c r="AO277" s="106">
        <f t="shared" si="23"/>
        <v>5</v>
      </c>
      <c r="AP277" s="106">
        <f t="shared" si="24"/>
        <v>24</v>
      </c>
      <c r="AQ277" s="134">
        <v>50</v>
      </c>
      <c r="AR277" s="134">
        <v>1450</v>
      </c>
      <c r="AS277" s="134">
        <v>41</v>
      </c>
      <c r="AT277" s="135">
        <v>2.8275862068965516</v>
      </c>
      <c r="AU277" s="106" t="s">
        <v>427</v>
      </c>
      <c r="AV277" s="100"/>
      <c r="AW277" s="100"/>
    </row>
    <row r="278" spans="1:49" x14ac:dyDescent="0.25">
      <c r="A278" s="96">
        <v>281</v>
      </c>
      <c r="B278" s="151">
        <v>2429</v>
      </c>
      <c r="C278" s="4" t="s">
        <v>374</v>
      </c>
      <c r="D278" s="4" t="s">
        <v>375</v>
      </c>
      <c r="E278" s="4" t="s">
        <v>28</v>
      </c>
      <c r="F278" s="4" t="s">
        <v>107</v>
      </c>
      <c r="G278" s="66">
        <v>45988</v>
      </c>
      <c r="H278" s="80" t="s">
        <v>14</v>
      </c>
      <c r="I278" s="80" t="s">
        <v>14</v>
      </c>
      <c r="J278" s="80" t="s">
        <v>14</v>
      </c>
      <c r="K278" s="80" t="s">
        <v>14</v>
      </c>
      <c r="L278" s="80" t="s">
        <v>14</v>
      </c>
      <c r="M278" s="80" t="s">
        <v>14</v>
      </c>
      <c r="N278" s="80" t="s">
        <v>14</v>
      </c>
      <c r="O278" s="80" t="s">
        <v>14</v>
      </c>
      <c r="P278" s="80" t="s">
        <v>14</v>
      </c>
      <c r="Q278" s="80" t="s">
        <v>14</v>
      </c>
      <c r="R278" s="80" t="s">
        <v>14</v>
      </c>
      <c r="S278" s="80" t="s">
        <v>14</v>
      </c>
      <c r="T278" s="80" t="s">
        <v>14</v>
      </c>
      <c r="U278" s="80" t="s">
        <v>14</v>
      </c>
      <c r="V278" s="80" t="s">
        <v>14</v>
      </c>
      <c r="W278" s="80" t="s">
        <v>14</v>
      </c>
      <c r="X278" s="80" t="s">
        <v>14</v>
      </c>
      <c r="Y278" s="80" t="s">
        <v>14</v>
      </c>
      <c r="Z278" s="80" t="s">
        <v>14</v>
      </c>
      <c r="AA278" s="80" t="s">
        <v>14</v>
      </c>
      <c r="AB278" s="80" t="s">
        <v>14</v>
      </c>
      <c r="AC278" s="80" t="s">
        <v>14</v>
      </c>
      <c r="AD278" s="80" t="s">
        <v>14</v>
      </c>
      <c r="AE278" s="80" t="s">
        <v>14</v>
      </c>
      <c r="AF278" s="80" t="s">
        <v>14</v>
      </c>
      <c r="AG278" s="80" t="s">
        <v>14</v>
      </c>
      <c r="AH278" s="78" t="s">
        <v>390</v>
      </c>
      <c r="AI278" s="78" t="s">
        <v>390</v>
      </c>
      <c r="AJ278" s="78" t="s">
        <v>390</v>
      </c>
      <c r="AK278" s="77" t="s">
        <v>13</v>
      </c>
      <c r="AL278" s="106">
        <f t="shared" si="20"/>
        <v>3</v>
      </c>
      <c r="AM278" s="106">
        <f t="shared" si="21"/>
        <v>0</v>
      </c>
      <c r="AN278" s="106">
        <f t="shared" si="22"/>
        <v>0</v>
      </c>
      <c r="AO278" s="106">
        <f t="shared" si="23"/>
        <v>3</v>
      </c>
      <c r="AP278" s="106">
        <f t="shared" si="24"/>
        <v>26</v>
      </c>
      <c r="AQ278" s="134"/>
      <c r="AR278" s="134"/>
      <c r="AS278" s="134"/>
      <c r="AT278" s="135"/>
      <c r="AU278" s="106" t="s">
        <v>427</v>
      </c>
      <c r="AV278" s="100"/>
      <c r="AW278" s="100"/>
    </row>
    <row r="280" spans="1:49" ht="12.75" x14ac:dyDescent="0.2"/>
    <row r="281" spans="1:49" ht="12.75" x14ac:dyDescent="0.2"/>
    <row r="282" spans="1:49" ht="12.75" x14ac:dyDescent="0.2"/>
    <row r="283" spans="1:49" ht="12.75" x14ac:dyDescent="0.2"/>
    <row r="284" spans="1:49" ht="12.75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560"/>
  <sheetViews>
    <sheetView workbookViewId="0">
      <selection activeCell="K13" sqref="K13"/>
    </sheetView>
  </sheetViews>
  <sheetFormatPr defaultColWidth="12.7109375" defaultRowHeight="15.75" customHeight="1" x14ac:dyDescent="0.2"/>
  <cols>
    <col min="1" max="1" width="7.140625" customWidth="1"/>
    <col min="2" max="2" width="8.85546875" style="97" customWidth="1"/>
    <col min="3" max="3" width="21.7109375" customWidth="1"/>
    <col min="4" max="6" width="10.7109375" bestFit="1" customWidth="1"/>
    <col min="7" max="9" width="11.7109375" bestFit="1" customWidth="1"/>
    <col min="10" max="10" width="5.28515625" bestFit="1" customWidth="1"/>
    <col min="11" max="11" width="19.85546875" customWidth="1"/>
  </cols>
  <sheetData>
    <row r="1" spans="1:11" ht="15.75" customHeight="1" x14ac:dyDescent="0.25">
      <c r="A1" s="55" t="s">
        <v>0</v>
      </c>
      <c r="B1" s="95" t="s">
        <v>1</v>
      </c>
      <c r="C1" s="35" t="s">
        <v>2</v>
      </c>
      <c r="D1" s="36">
        <v>45962</v>
      </c>
      <c r="E1" s="36">
        <v>45963</v>
      </c>
      <c r="F1" s="36">
        <v>45970</v>
      </c>
      <c r="G1" s="36">
        <v>45977</v>
      </c>
      <c r="H1" s="36">
        <v>45984</v>
      </c>
      <c r="I1" s="36">
        <v>45991</v>
      </c>
      <c r="J1" s="56" t="s">
        <v>404</v>
      </c>
      <c r="K1" s="3"/>
    </row>
    <row r="2" spans="1:11" ht="15.75" customHeight="1" x14ac:dyDescent="0.25">
      <c r="A2" s="57">
        <v>1</v>
      </c>
      <c r="B2" s="156">
        <v>308</v>
      </c>
      <c r="C2" s="32" t="s">
        <v>32</v>
      </c>
      <c r="D2" s="38" t="s">
        <v>389</v>
      </c>
      <c r="E2" s="38" t="s">
        <v>13</v>
      </c>
      <c r="F2" s="38" t="s">
        <v>13</v>
      </c>
      <c r="G2" s="38" t="s">
        <v>13</v>
      </c>
      <c r="H2" s="38" t="s">
        <v>13</v>
      </c>
      <c r="I2" s="39" t="s">
        <v>390</v>
      </c>
      <c r="J2" s="21">
        <f t="shared" ref="J2:J47" si="0">COUNTIF(D2:I2,"P")+COUNTIF(D2:I2,"WFH")</f>
        <v>1</v>
      </c>
      <c r="K2" s="3"/>
    </row>
    <row r="3" spans="1:11" ht="15.75" customHeight="1" x14ac:dyDescent="0.25">
      <c r="A3" s="57">
        <v>2</v>
      </c>
      <c r="B3" s="156">
        <v>322</v>
      </c>
      <c r="C3" s="32" t="s">
        <v>43</v>
      </c>
      <c r="D3" s="40" t="s">
        <v>389</v>
      </c>
      <c r="E3" s="40" t="s">
        <v>13</v>
      </c>
      <c r="F3" s="40" t="s">
        <v>13</v>
      </c>
      <c r="G3" s="40" t="s">
        <v>13</v>
      </c>
      <c r="H3" s="40" t="s">
        <v>13</v>
      </c>
      <c r="I3" s="44" t="s">
        <v>378</v>
      </c>
      <c r="J3" s="21">
        <f t="shared" si="0"/>
        <v>1</v>
      </c>
      <c r="K3" s="3"/>
    </row>
    <row r="4" spans="1:11" ht="15.75" customHeight="1" x14ac:dyDescent="0.25">
      <c r="A4" s="57">
        <v>3</v>
      </c>
      <c r="B4" s="156">
        <v>339</v>
      </c>
      <c r="C4" s="32" t="s">
        <v>356</v>
      </c>
      <c r="D4" s="53" t="s">
        <v>390</v>
      </c>
      <c r="E4" s="53" t="s">
        <v>390</v>
      </c>
      <c r="F4" s="39" t="s">
        <v>390</v>
      </c>
      <c r="G4" s="38" t="s">
        <v>13</v>
      </c>
      <c r="H4" s="38" t="s">
        <v>13</v>
      </c>
      <c r="I4" s="38" t="s">
        <v>13</v>
      </c>
      <c r="J4" s="21">
        <f t="shared" si="0"/>
        <v>3</v>
      </c>
      <c r="K4" s="3"/>
    </row>
    <row r="5" spans="1:11" ht="15.75" customHeight="1" x14ac:dyDescent="0.25">
      <c r="A5" s="57">
        <v>4</v>
      </c>
      <c r="B5" s="156">
        <v>1076</v>
      </c>
      <c r="C5" s="32" t="s">
        <v>82</v>
      </c>
      <c r="D5" s="38" t="s">
        <v>389</v>
      </c>
      <c r="E5" s="38" t="s">
        <v>13</v>
      </c>
      <c r="F5" s="38" t="s">
        <v>13</v>
      </c>
      <c r="G5" s="38" t="s">
        <v>13</v>
      </c>
      <c r="H5" s="38" t="s">
        <v>13</v>
      </c>
      <c r="I5" s="39" t="s">
        <v>390</v>
      </c>
      <c r="J5" s="21">
        <f t="shared" si="0"/>
        <v>1</v>
      </c>
      <c r="K5" s="3"/>
    </row>
    <row r="6" spans="1:11" ht="15.75" customHeight="1" x14ac:dyDescent="0.25">
      <c r="A6" s="57">
        <v>5</v>
      </c>
      <c r="B6" s="156">
        <v>1273</v>
      </c>
      <c r="C6" s="32" t="s">
        <v>90</v>
      </c>
      <c r="D6" s="40" t="s">
        <v>389</v>
      </c>
      <c r="E6" s="40" t="s">
        <v>13</v>
      </c>
      <c r="F6" s="40" t="s">
        <v>13</v>
      </c>
      <c r="G6" s="40" t="s">
        <v>13</v>
      </c>
      <c r="H6" s="40" t="s">
        <v>13</v>
      </c>
      <c r="I6" s="41" t="s">
        <v>390</v>
      </c>
      <c r="J6" s="21">
        <f t="shared" si="0"/>
        <v>1</v>
      </c>
      <c r="K6" s="3"/>
    </row>
    <row r="7" spans="1:11" ht="15.75" customHeight="1" x14ac:dyDescent="0.25">
      <c r="A7" s="57">
        <v>6</v>
      </c>
      <c r="B7" s="156">
        <v>1291</v>
      </c>
      <c r="C7" s="32" t="s">
        <v>91</v>
      </c>
      <c r="D7" s="38" t="s">
        <v>389</v>
      </c>
      <c r="E7" s="38" t="s">
        <v>13</v>
      </c>
      <c r="F7" s="38" t="s">
        <v>13</v>
      </c>
      <c r="G7" s="38" t="s">
        <v>13</v>
      </c>
      <c r="H7" s="38" t="s">
        <v>13</v>
      </c>
      <c r="I7" s="47" t="s">
        <v>378</v>
      </c>
      <c r="J7" s="21">
        <f t="shared" si="0"/>
        <v>1</v>
      </c>
      <c r="K7" s="3"/>
    </row>
    <row r="8" spans="1:11" ht="15.75" customHeight="1" x14ac:dyDescent="0.25">
      <c r="A8" s="57">
        <v>7</v>
      </c>
      <c r="B8" s="156">
        <v>1414</v>
      </c>
      <c r="C8" s="32" t="s">
        <v>96</v>
      </c>
      <c r="D8" s="38" t="s">
        <v>389</v>
      </c>
      <c r="E8" s="38" t="s">
        <v>13</v>
      </c>
      <c r="F8" s="38" t="s">
        <v>13</v>
      </c>
      <c r="G8" s="38" t="s">
        <v>13</v>
      </c>
      <c r="H8" s="38" t="s">
        <v>13</v>
      </c>
      <c r="I8" s="47" t="s">
        <v>378</v>
      </c>
      <c r="J8" s="21">
        <f t="shared" si="0"/>
        <v>1</v>
      </c>
      <c r="K8" s="3"/>
    </row>
    <row r="9" spans="1:11" ht="15.75" customHeight="1" x14ac:dyDescent="0.25">
      <c r="A9" s="57">
        <v>8</v>
      </c>
      <c r="B9" s="156">
        <v>1441</v>
      </c>
      <c r="C9" s="32" t="s">
        <v>97</v>
      </c>
      <c r="D9" s="38" t="s">
        <v>389</v>
      </c>
      <c r="E9" s="38" t="s">
        <v>13</v>
      </c>
      <c r="F9" s="38" t="s">
        <v>13</v>
      </c>
      <c r="G9" s="38" t="s">
        <v>13</v>
      </c>
      <c r="H9" s="38" t="s">
        <v>13</v>
      </c>
      <c r="I9" s="39" t="s">
        <v>390</v>
      </c>
      <c r="J9" s="21">
        <f t="shared" si="0"/>
        <v>1</v>
      </c>
      <c r="K9" s="3"/>
    </row>
    <row r="10" spans="1:11" ht="15.75" customHeight="1" x14ac:dyDescent="0.25">
      <c r="A10" s="57">
        <v>9</v>
      </c>
      <c r="B10" s="156">
        <v>1486</v>
      </c>
      <c r="C10" s="32" t="s">
        <v>103</v>
      </c>
      <c r="D10" s="40" t="s">
        <v>389</v>
      </c>
      <c r="E10" s="40" t="s">
        <v>13</v>
      </c>
      <c r="F10" s="40" t="s">
        <v>13</v>
      </c>
      <c r="G10" s="40" t="s">
        <v>13</v>
      </c>
      <c r="H10" s="40" t="s">
        <v>13</v>
      </c>
      <c r="I10" s="41" t="s">
        <v>390</v>
      </c>
      <c r="J10" s="21">
        <f t="shared" si="0"/>
        <v>1</v>
      </c>
      <c r="K10" s="3"/>
    </row>
    <row r="11" spans="1:11" ht="15.75" customHeight="1" x14ac:dyDescent="0.25">
      <c r="A11" s="57">
        <v>10</v>
      </c>
      <c r="B11" s="156">
        <v>1509</v>
      </c>
      <c r="C11" s="32" t="s">
        <v>104</v>
      </c>
      <c r="D11" s="38" t="s">
        <v>389</v>
      </c>
      <c r="E11" s="38" t="s">
        <v>13</v>
      </c>
      <c r="F11" s="38" t="s">
        <v>13</v>
      </c>
      <c r="G11" s="38" t="s">
        <v>13</v>
      </c>
      <c r="H11" s="38" t="s">
        <v>13</v>
      </c>
      <c r="I11" s="47" t="s">
        <v>378</v>
      </c>
      <c r="J11" s="21">
        <f t="shared" si="0"/>
        <v>1</v>
      </c>
      <c r="K11" s="3"/>
    </row>
    <row r="12" spans="1:11" ht="15.75" customHeight="1" x14ac:dyDescent="0.25">
      <c r="A12" s="57">
        <v>11</v>
      </c>
      <c r="B12" s="156">
        <v>1636</v>
      </c>
      <c r="C12" s="32" t="s">
        <v>106</v>
      </c>
      <c r="D12" s="38" t="s">
        <v>389</v>
      </c>
      <c r="E12" s="38" t="s">
        <v>13</v>
      </c>
      <c r="F12" s="38" t="s">
        <v>13</v>
      </c>
      <c r="G12" s="38" t="s">
        <v>13</v>
      </c>
      <c r="H12" s="38" t="s">
        <v>13</v>
      </c>
      <c r="I12" s="47" t="s">
        <v>378</v>
      </c>
      <c r="J12" s="21">
        <f t="shared" si="0"/>
        <v>1</v>
      </c>
      <c r="K12" s="3"/>
    </row>
    <row r="13" spans="1:11" ht="15.75" customHeight="1" x14ac:dyDescent="0.25">
      <c r="A13" s="57">
        <v>12</v>
      </c>
      <c r="B13" s="156">
        <v>1687</v>
      </c>
      <c r="C13" s="32" t="s">
        <v>111</v>
      </c>
      <c r="D13" s="38" t="s">
        <v>389</v>
      </c>
      <c r="E13" s="38" t="s">
        <v>13</v>
      </c>
      <c r="F13" s="38" t="s">
        <v>13</v>
      </c>
      <c r="G13" s="38" t="s">
        <v>13</v>
      </c>
      <c r="H13" s="38" t="s">
        <v>13</v>
      </c>
      <c r="I13" s="39" t="s">
        <v>390</v>
      </c>
      <c r="J13" s="21">
        <f t="shared" si="0"/>
        <v>1</v>
      </c>
      <c r="K13" s="3"/>
    </row>
    <row r="14" spans="1:11" ht="15.75" customHeight="1" x14ac:dyDescent="0.25">
      <c r="A14" s="57">
        <v>13</v>
      </c>
      <c r="B14" s="156">
        <v>1733</v>
      </c>
      <c r="C14" s="32" t="s">
        <v>117</v>
      </c>
      <c r="D14" s="51" t="s">
        <v>12</v>
      </c>
      <c r="E14" s="51" t="s">
        <v>13</v>
      </c>
      <c r="F14" s="52" t="s">
        <v>378</v>
      </c>
      <c r="G14" s="51" t="s">
        <v>13</v>
      </c>
      <c r="H14" s="51" t="s">
        <v>13</v>
      </c>
      <c r="I14" s="51" t="s">
        <v>13</v>
      </c>
      <c r="J14" s="21">
        <f t="shared" si="0"/>
        <v>1</v>
      </c>
      <c r="K14" s="3"/>
    </row>
    <row r="15" spans="1:11" ht="15.75" customHeight="1" x14ac:dyDescent="0.25">
      <c r="A15" s="57">
        <v>14</v>
      </c>
      <c r="B15" s="156">
        <v>1738</v>
      </c>
      <c r="C15" s="32" t="s">
        <v>120</v>
      </c>
      <c r="D15" s="40" t="s">
        <v>389</v>
      </c>
      <c r="E15" s="40" t="s">
        <v>13</v>
      </c>
      <c r="F15" s="40" t="s">
        <v>13</v>
      </c>
      <c r="G15" s="40" t="s">
        <v>13</v>
      </c>
      <c r="H15" s="44" t="s">
        <v>378</v>
      </c>
      <c r="I15" s="44" t="s">
        <v>378</v>
      </c>
      <c r="J15" s="21">
        <f t="shared" si="0"/>
        <v>2</v>
      </c>
      <c r="K15" s="3"/>
    </row>
    <row r="16" spans="1:11" ht="15.75" customHeight="1" x14ac:dyDescent="0.25">
      <c r="A16" s="57">
        <v>15</v>
      </c>
      <c r="B16" s="156">
        <v>1768</v>
      </c>
      <c r="C16" s="32" t="s">
        <v>126</v>
      </c>
      <c r="D16" s="40" t="s">
        <v>389</v>
      </c>
      <c r="E16" s="40" t="s">
        <v>13</v>
      </c>
      <c r="F16" s="40" t="s">
        <v>13</v>
      </c>
      <c r="G16" s="41" t="s">
        <v>390</v>
      </c>
      <c r="H16" s="40" t="s">
        <v>13</v>
      </c>
      <c r="I16" s="41" t="s">
        <v>390</v>
      </c>
      <c r="J16" s="21">
        <f t="shared" si="0"/>
        <v>2</v>
      </c>
      <c r="K16" s="3"/>
    </row>
    <row r="17" spans="1:11" ht="15.75" customHeight="1" x14ac:dyDescent="0.25">
      <c r="A17" s="57">
        <v>16</v>
      </c>
      <c r="B17" s="156">
        <v>1826</v>
      </c>
      <c r="C17" s="32" t="s">
        <v>135</v>
      </c>
      <c r="D17" s="47" t="s">
        <v>378</v>
      </c>
      <c r="E17" s="38" t="s">
        <v>13</v>
      </c>
      <c r="F17" s="38" t="s">
        <v>13</v>
      </c>
      <c r="G17" s="38" t="s">
        <v>13</v>
      </c>
      <c r="H17" s="38" t="s">
        <v>13</v>
      </c>
      <c r="I17" s="38" t="s">
        <v>13</v>
      </c>
      <c r="J17" s="21">
        <f t="shared" si="0"/>
        <v>1</v>
      </c>
      <c r="K17" s="3"/>
    </row>
    <row r="18" spans="1:11" ht="15.75" customHeight="1" x14ac:dyDescent="0.25">
      <c r="A18" s="57">
        <v>17</v>
      </c>
      <c r="B18" s="156">
        <v>1854</v>
      </c>
      <c r="C18" s="32" t="s">
        <v>143</v>
      </c>
      <c r="D18" s="40" t="s">
        <v>389</v>
      </c>
      <c r="E18" s="40" t="s">
        <v>13</v>
      </c>
      <c r="F18" s="40" t="s">
        <v>13</v>
      </c>
      <c r="G18" s="40" t="s">
        <v>13</v>
      </c>
      <c r="H18" s="40" t="s">
        <v>13</v>
      </c>
      <c r="I18" s="41" t="s">
        <v>390</v>
      </c>
      <c r="J18" s="21">
        <f t="shared" si="0"/>
        <v>1</v>
      </c>
      <c r="K18" s="3"/>
    </row>
    <row r="19" spans="1:11" ht="15.75" customHeight="1" x14ac:dyDescent="0.25">
      <c r="A19" s="57">
        <v>18</v>
      </c>
      <c r="B19" s="156">
        <v>1883</v>
      </c>
      <c r="C19" s="32" t="s">
        <v>128</v>
      </c>
      <c r="D19" s="38" t="s">
        <v>389</v>
      </c>
      <c r="E19" s="38" t="s">
        <v>13</v>
      </c>
      <c r="F19" s="38" t="s">
        <v>13</v>
      </c>
      <c r="G19" s="38" t="s">
        <v>13</v>
      </c>
      <c r="H19" s="47" t="s">
        <v>378</v>
      </c>
      <c r="I19" s="47" t="s">
        <v>378</v>
      </c>
      <c r="J19" s="21">
        <f t="shared" si="0"/>
        <v>2</v>
      </c>
      <c r="K19" s="3"/>
    </row>
    <row r="20" spans="1:11" ht="15.75" customHeight="1" x14ac:dyDescent="0.25">
      <c r="A20" s="57">
        <v>19</v>
      </c>
      <c r="B20" s="156">
        <v>1894</v>
      </c>
      <c r="C20" s="32" t="s">
        <v>145</v>
      </c>
      <c r="D20" s="38" t="s">
        <v>389</v>
      </c>
      <c r="E20" s="38" t="s">
        <v>13</v>
      </c>
      <c r="F20" s="38" t="s">
        <v>13</v>
      </c>
      <c r="G20" s="38" t="s">
        <v>13</v>
      </c>
      <c r="H20" s="38" t="s">
        <v>13</v>
      </c>
      <c r="I20" s="39" t="s">
        <v>390</v>
      </c>
      <c r="J20" s="21">
        <f t="shared" si="0"/>
        <v>1</v>
      </c>
      <c r="K20" s="3"/>
    </row>
    <row r="21" spans="1:11" ht="15.75" customHeight="1" x14ac:dyDescent="0.25">
      <c r="A21" s="57">
        <v>20</v>
      </c>
      <c r="B21" s="156">
        <v>1896</v>
      </c>
      <c r="C21" s="32" t="s">
        <v>146</v>
      </c>
      <c r="D21" s="40" t="s">
        <v>389</v>
      </c>
      <c r="E21" s="40" t="s">
        <v>13</v>
      </c>
      <c r="F21" s="40" t="s">
        <v>13</v>
      </c>
      <c r="G21" s="40" t="s">
        <v>13</v>
      </c>
      <c r="H21" s="40" t="s">
        <v>13</v>
      </c>
      <c r="I21" s="155" t="s">
        <v>390</v>
      </c>
      <c r="J21" s="21">
        <f t="shared" si="0"/>
        <v>1</v>
      </c>
      <c r="K21" s="3"/>
    </row>
    <row r="22" spans="1:11" ht="15.75" customHeight="1" x14ac:dyDescent="0.25">
      <c r="A22" s="57">
        <v>21</v>
      </c>
      <c r="B22" s="156">
        <v>1922</v>
      </c>
      <c r="C22" s="32" t="s">
        <v>148</v>
      </c>
      <c r="D22" s="40" t="s">
        <v>389</v>
      </c>
      <c r="E22" s="40" t="s">
        <v>13</v>
      </c>
      <c r="F22" s="40" t="s">
        <v>13</v>
      </c>
      <c r="G22" s="40" t="s">
        <v>13</v>
      </c>
      <c r="H22" s="44" t="s">
        <v>378</v>
      </c>
      <c r="I22" s="48" t="s">
        <v>378</v>
      </c>
      <c r="J22" s="21">
        <f t="shared" si="0"/>
        <v>2</v>
      </c>
      <c r="K22" s="3"/>
    </row>
    <row r="23" spans="1:11" ht="15.75" customHeight="1" x14ac:dyDescent="0.25">
      <c r="A23" s="57">
        <v>22</v>
      </c>
      <c r="B23" s="156">
        <v>1925</v>
      </c>
      <c r="C23" s="32" t="s">
        <v>150</v>
      </c>
      <c r="D23" s="47" t="s">
        <v>378</v>
      </c>
      <c r="E23" s="38" t="s">
        <v>13</v>
      </c>
      <c r="F23" s="38" t="s">
        <v>13</v>
      </c>
      <c r="G23" s="38" t="s">
        <v>13</v>
      </c>
      <c r="H23" s="38" t="s">
        <v>13</v>
      </c>
      <c r="I23" s="38" t="s">
        <v>13</v>
      </c>
      <c r="J23" s="21">
        <f t="shared" si="0"/>
        <v>1</v>
      </c>
      <c r="K23" s="3"/>
    </row>
    <row r="24" spans="1:11" ht="15.75" customHeight="1" x14ac:dyDescent="0.25">
      <c r="A24" s="57">
        <v>23</v>
      </c>
      <c r="B24" s="156">
        <v>1930</v>
      </c>
      <c r="C24" s="32" t="s">
        <v>151</v>
      </c>
      <c r="D24" s="40" t="s">
        <v>389</v>
      </c>
      <c r="E24" s="40" t="s">
        <v>13</v>
      </c>
      <c r="F24" s="40" t="s">
        <v>13</v>
      </c>
      <c r="G24" s="40" t="s">
        <v>13</v>
      </c>
      <c r="H24" s="40" t="s">
        <v>13</v>
      </c>
      <c r="I24" s="44" t="s">
        <v>378</v>
      </c>
      <c r="J24" s="21">
        <f t="shared" si="0"/>
        <v>1</v>
      </c>
      <c r="K24" s="3"/>
    </row>
    <row r="25" spans="1:11" ht="15.75" customHeight="1" x14ac:dyDescent="0.25">
      <c r="A25" s="57">
        <v>24</v>
      </c>
      <c r="B25" s="156">
        <v>1950</v>
      </c>
      <c r="C25" s="32" t="s">
        <v>154</v>
      </c>
      <c r="D25" s="38" t="s">
        <v>389</v>
      </c>
      <c r="E25" s="38" t="s">
        <v>13</v>
      </c>
      <c r="F25" s="38" t="s">
        <v>13</v>
      </c>
      <c r="G25" s="39" t="s">
        <v>390</v>
      </c>
      <c r="H25" s="38" t="s">
        <v>13</v>
      </c>
      <c r="I25" s="39" t="s">
        <v>390</v>
      </c>
      <c r="J25" s="21">
        <f t="shared" si="0"/>
        <v>2</v>
      </c>
      <c r="K25" s="3"/>
    </row>
    <row r="26" spans="1:11" ht="15.75" customHeight="1" x14ac:dyDescent="0.25">
      <c r="A26" s="57">
        <v>25</v>
      </c>
      <c r="B26" s="156">
        <v>1983</v>
      </c>
      <c r="C26" s="32" t="s">
        <v>159</v>
      </c>
      <c r="D26" s="40" t="s">
        <v>389</v>
      </c>
      <c r="E26" s="40" t="s">
        <v>13</v>
      </c>
      <c r="F26" s="40" t="s">
        <v>13</v>
      </c>
      <c r="G26" s="40" t="s">
        <v>13</v>
      </c>
      <c r="H26" s="40" t="s">
        <v>13</v>
      </c>
      <c r="I26" s="41" t="s">
        <v>390</v>
      </c>
      <c r="J26" s="21">
        <f t="shared" si="0"/>
        <v>1</v>
      </c>
      <c r="K26" s="3"/>
    </row>
    <row r="27" spans="1:11" ht="15" x14ac:dyDescent="0.25">
      <c r="A27" s="57">
        <v>26</v>
      </c>
      <c r="B27" s="156">
        <v>2012</v>
      </c>
      <c r="C27" s="32" t="s">
        <v>166</v>
      </c>
      <c r="D27" s="40" t="s">
        <v>389</v>
      </c>
      <c r="E27" s="40" t="s">
        <v>13</v>
      </c>
      <c r="F27" s="40" t="s">
        <v>13</v>
      </c>
      <c r="G27" s="40" t="s">
        <v>13</v>
      </c>
      <c r="H27" s="49" t="s">
        <v>378</v>
      </c>
      <c r="I27" s="40" t="s">
        <v>13</v>
      </c>
      <c r="J27" s="21">
        <f t="shared" si="0"/>
        <v>1</v>
      </c>
      <c r="K27" s="3"/>
    </row>
    <row r="28" spans="1:11" x14ac:dyDescent="0.25">
      <c r="A28" s="57">
        <v>27</v>
      </c>
      <c r="B28" s="156">
        <v>2025</v>
      </c>
      <c r="C28" s="32" t="s">
        <v>168</v>
      </c>
      <c r="D28" s="38" t="s">
        <v>389</v>
      </c>
      <c r="E28" s="38" t="s">
        <v>13</v>
      </c>
      <c r="F28" s="38" t="s">
        <v>13</v>
      </c>
      <c r="G28" s="38" t="s">
        <v>13</v>
      </c>
      <c r="H28" s="47" t="s">
        <v>378</v>
      </c>
      <c r="I28" s="38" t="s">
        <v>13</v>
      </c>
      <c r="J28" s="21">
        <f t="shared" si="0"/>
        <v>1</v>
      </c>
      <c r="K28" s="3"/>
    </row>
    <row r="29" spans="1:11" x14ac:dyDescent="0.25">
      <c r="A29" s="57">
        <v>28</v>
      </c>
      <c r="B29" s="156">
        <v>2084</v>
      </c>
      <c r="C29" s="32" t="s">
        <v>183</v>
      </c>
      <c r="D29" s="38" t="s">
        <v>389</v>
      </c>
      <c r="E29" s="38" t="s">
        <v>13</v>
      </c>
      <c r="F29" s="38" t="s">
        <v>13</v>
      </c>
      <c r="G29" s="38" t="s">
        <v>13</v>
      </c>
      <c r="H29" s="38" t="s">
        <v>13</v>
      </c>
      <c r="I29" s="39" t="s">
        <v>390</v>
      </c>
      <c r="J29" s="21">
        <f t="shared" si="0"/>
        <v>1</v>
      </c>
      <c r="K29" s="3"/>
    </row>
    <row r="30" spans="1:11" x14ac:dyDescent="0.25">
      <c r="A30" s="57">
        <v>29</v>
      </c>
      <c r="B30" s="156">
        <v>2206</v>
      </c>
      <c r="C30" s="32" t="s">
        <v>212</v>
      </c>
      <c r="D30" s="40" t="s">
        <v>389</v>
      </c>
      <c r="E30" s="40" t="s">
        <v>13</v>
      </c>
      <c r="F30" s="40" t="s">
        <v>13</v>
      </c>
      <c r="G30" s="40" t="s">
        <v>13</v>
      </c>
      <c r="H30" s="40" t="s">
        <v>13</v>
      </c>
      <c r="I30" s="44" t="s">
        <v>378</v>
      </c>
      <c r="J30" s="21">
        <f t="shared" si="0"/>
        <v>1</v>
      </c>
      <c r="K30" s="3"/>
    </row>
    <row r="31" spans="1:11" x14ac:dyDescent="0.25">
      <c r="A31" s="57">
        <v>30</v>
      </c>
      <c r="B31" s="156">
        <v>2227</v>
      </c>
      <c r="C31" s="32" t="s">
        <v>220</v>
      </c>
      <c r="D31" s="6" t="s">
        <v>12</v>
      </c>
      <c r="E31" s="6" t="s">
        <v>13</v>
      </c>
      <c r="F31" s="6" t="s">
        <v>13</v>
      </c>
      <c r="G31" s="6" t="s">
        <v>13</v>
      </c>
      <c r="H31" s="6" t="s">
        <v>13</v>
      </c>
      <c r="I31" s="37" t="s">
        <v>378</v>
      </c>
      <c r="J31" s="21">
        <f t="shared" si="0"/>
        <v>1</v>
      </c>
      <c r="K31" s="3"/>
    </row>
    <row r="32" spans="1:11" x14ac:dyDescent="0.25">
      <c r="A32" s="57">
        <v>31</v>
      </c>
      <c r="B32" s="156">
        <v>2236</v>
      </c>
      <c r="C32" s="32" t="s">
        <v>228</v>
      </c>
      <c r="D32" s="38" t="s">
        <v>389</v>
      </c>
      <c r="E32" s="38" t="s">
        <v>13</v>
      </c>
      <c r="F32" s="38" t="s">
        <v>13</v>
      </c>
      <c r="G32" s="38" t="s">
        <v>13</v>
      </c>
      <c r="H32" s="38" t="s">
        <v>13</v>
      </c>
      <c r="I32" s="39" t="s">
        <v>390</v>
      </c>
      <c r="J32" s="21">
        <f t="shared" si="0"/>
        <v>1</v>
      </c>
      <c r="K32" s="3"/>
    </row>
    <row r="33" spans="1:11" x14ac:dyDescent="0.25">
      <c r="A33" s="57">
        <v>32</v>
      </c>
      <c r="B33" s="156">
        <v>2253</v>
      </c>
      <c r="C33" s="32" t="s">
        <v>236</v>
      </c>
      <c r="D33" s="38" t="s">
        <v>389</v>
      </c>
      <c r="E33" s="38" t="s">
        <v>13</v>
      </c>
      <c r="F33" s="38" t="s">
        <v>13</v>
      </c>
      <c r="G33" s="47" t="s">
        <v>378</v>
      </c>
      <c r="H33" s="38" t="s">
        <v>13</v>
      </c>
      <c r="I33" s="47" t="s">
        <v>378</v>
      </c>
      <c r="J33" s="21">
        <f t="shared" si="0"/>
        <v>2</v>
      </c>
      <c r="K33" s="3"/>
    </row>
    <row r="34" spans="1:11" x14ac:dyDescent="0.25">
      <c r="A34" s="57">
        <v>33</v>
      </c>
      <c r="B34" s="156">
        <v>2270</v>
      </c>
      <c r="C34" s="32" t="s">
        <v>241</v>
      </c>
      <c r="D34" s="38" t="s">
        <v>389</v>
      </c>
      <c r="E34" s="38" t="s">
        <v>13</v>
      </c>
      <c r="F34" s="38" t="s">
        <v>13</v>
      </c>
      <c r="G34" s="38" t="s">
        <v>13</v>
      </c>
      <c r="H34" s="38" t="s">
        <v>13</v>
      </c>
      <c r="I34" s="39" t="s">
        <v>390</v>
      </c>
      <c r="J34" s="21">
        <f t="shared" si="0"/>
        <v>1</v>
      </c>
      <c r="K34" s="3"/>
    </row>
    <row r="35" spans="1:11" x14ac:dyDescent="0.25">
      <c r="A35" s="57">
        <v>34</v>
      </c>
      <c r="B35" s="156">
        <v>2271</v>
      </c>
      <c r="C35" s="32" t="s">
        <v>242</v>
      </c>
      <c r="D35" s="40" t="s">
        <v>389</v>
      </c>
      <c r="E35" s="40" t="s">
        <v>13</v>
      </c>
      <c r="F35" s="40" t="s">
        <v>13</v>
      </c>
      <c r="G35" s="44" t="s">
        <v>378</v>
      </c>
      <c r="H35" s="40" t="s">
        <v>13</v>
      </c>
      <c r="I35" s="43" t="s">
        <v>13</v>
      </c>
      <c r="J35" s="21">
        <f t="shared" si="0"/>
        <v>1</v>
      </c>
      <c r="K35" s="3"/>
    </row>
    <row r="36" spans="1:11" x14ac:dyDescent="0.25">
      <c r="A36" s="57">
        <v>35</v>
      </c>
      <c r="B36" s="156">
        <v>2290</v>
      </c>
      <c r="C36" s="32" t="s">
        <v>28</v>
      </c>
      <c r="D36" s="6" t="s">
        <v>12</v>
      </c>
      <c r="E36" s="6" t="s">
        <v>13</v>
      </c>
      <c r="F36" s="6" t="s">
        <v>13</v>
      </c>
      <c r="G36" s="6" t="s">
        <v>13</v>
      </c>
      <c r="H36" s="6" t="s">
        <v>13</v>
      </c>
      <c r="I36" s="37" t="s">
        <v>378</v>
      </c>
      <c r="J36" s="21">
        <f t="shared" si="0"/>
        <v>1</v>
      </c>
      <c r="K36" s="3"/>
    </row>
    <row r="37" spans="1:11" x14ac:dyDescent="0.25">
      <c r="A37" s="57">
        <v>36</v>
      </c>
      <c r="B37" s="156">
        <v>2312</v>
      </c>
      <c r="C37" s="32" t="s">
        <v>261</v>
      </c>
      <c r="D37" s="38" t="s">
        <v>389</v>
      </c>
      <c r="E37" s="38" t="s">
        <v>13</v>
      </c>
      <c r="F37" s="38" t="s">
        <v>13</v>
      </c>
      <c r="G37" s="38" t="s">
        <v>13</v>
      </c>
      <c r="H37" s="38" t="s">
        <v>13</v>
      </c>
      <c r="I37" s="39" t="s">
        <v>390</v>
      </c>
      <c r="J37" s="21">
        <f t="shared" si="0"/>
        <v>1</v>
      </c>
      <c r="K37" s="3"/>
    </row>
    <row r="38" spans="1:11" x14ac:dyDescent="0.25">
      <c r="A38" s="57">
        <v>37</v>
      </c>
      <c r="B38" s="156">
        <v>2316</v>
      </c>
      <c r="C38" s="32" t="s">
        <v>262</v>
      </c>
      <c r="D38" s="40" t="s">
        <v>389</v>
      </c>
      <c r="E38" s="40" t="s">
        <v>13</v>
      </c>
      <c r="F38" s="40" t="s">
        <v>13</v>
      </c>
      <c r="G38" s="40" t="s">
        <v>13</v>
      </c>
      <c r="H38" s="40" t="s">
        <v>13</v>
      </c>
      <c r="I38" s="155" t="s">
        <v>390</v>
      </c>
      <c r="J38" s="21">
        <f t="shared" si="0"/>
        <v>1</v>
      </c>
      <c r="K38" s="3"/>
    </row>
    <row r="39" spans="1:11" ht="15" x14ac:dyDescent="0.25">
      <c r="A39" s="57">
        <v>38</v>
      </c>
      <c r="B39" s="156">
        <v>2323</v>
      </c>
      <c r="C39" s="32" t="s">
        <v>35</v>
      </c>
      <c r="D39" s="40" t="s">
        <v>389</v>
      </c>
      <c r="E39" s="40" t="s">
        <v>13</v>
      </c>
      <c r="F39" s="40" t="s">
        <v>13</v>
      </c>
      <c r="G39" s="40" t="s">
        <v>13</v>
      </c>
      <c r="H39" s="49" t="s">
        <v>378</v>
      </c>
      <c r="I39" s="49" t="s">
        <v>378</v>
      </c>
      <c r="J39" s="21">
        <f t="shared" si="0"/>
        <v>2</v>
      </c>
      <c r="K39" s="3"/>
    </row>
    <row r="40" spans="1:11" x14ac:dyDescent="0.25">
      <c r="A40" s="57">
        <v>39</v>
      </c>
      <c r="B40" s="156">
        <v>2326</v>
      </c>
      <c r="C40" s="32" t="s">
        <v>269</v>
      </c>
      <c r="D40" s="47" t="s">
        <v>378</v>
      </c>
      <c r="E40" s="38" t="s">
        <v>13</v>
      </c>
      <c r="F40" s="38" t="s">
        <v>13</v>
      </c>
      <c r="G40" s="38" t="s">
        <v>13</v>
      </c>
      <c r="H40" s="38" t="s">
        <v>13</v>
      </c>
      <c r="I40" s="38" t="s">
        <v>13</v>
      </c>
      <c r="J40" s="21">
        <f t="shared" si="0"/>
        <v>1</v>
      </c>
      <c r="K40" s="3"/>
    </row>
    <row r="41" spans="1:11" x14ac:dyDescent="0.25">
      <c r="A41" s="57">
        <v>40</v>
      </c>
      <c r="B41" s="156">
        <v>2328</v>
      </c>
      <c r="C41" s="32" t="s">
        <v>270</v>
      </c>
      <c r="D41" s="153" t="s">
        <v>390</v>
      </c>
      <c r="E41" s="54" t="s">
        <v>390</v>
      </c>
      <c r="F41" s="154" t="s">
        <v>13</v>
      </c>
      <c r="G41" s="154" t="s">
        <v>13</v>
      </c>
      <c r="H41" s="154" t="s">
        <v>13</v>
      </c>
      <c r="I41" s="154" t="s">
        <v>13</v>
      </c>
      <c r="J41" s="21">
        <f t="shared" si="0"/>
        <v>2</v>
      </c>
      <c r="K41" s="3"/>
    </row>
    <row r="42" spans="1:11" x14ac:dyDescent="0.25">
      <c r="A42" s="57">
        <v>41</v>
      </c>
      <c r="B42" s="156">
        <v>2329</v>
      </c>
      <c r="C42" s="32" t="s">
        <v>271</v>
      </c>
      <c r="D42" s="40" t="s">
        <v>389</v>
      </c>
      <c r="E42" s="40" t="s">
        <v>13</v>
      </c>
      <c r="F42" s="40" t="s">
        <v>13</v>
      </c>
      <c r="G42" s="40" t="s">
        <v>13</v>
      </c>
      <c r="H42" s="40" t="s">
        <v>13</v>
      </c>
      <c r="I42" s="41" t="s">
        <v>390</v>
      </c>
      <c r="J42" s="21">
        <f t="shared" si="0"/>
        <v>1</v>
      </c>
      <c r="K42" s="3"/>
    </row>
    <row r="43" spans="1:11" x14ac:dyDescent="0.25">
      <c r="A43" s="57">
        <v>42</v>
      </c>
      <c r="B43" s="156">
        <v>2350</v>
      </c>
      <c r="C43" s="32" t="s">
        <v>284</v>
      </c>
      <c r="D43" s="38" t="s">
        <v>389</v>
      </c>
      <c r="E43" s="38" t="s">
        <v>13</v>
      </c>
      <c r="F43" s="38" t="s">
        <v>13</v>
      </c>
      <c r="G43" s="38" t="s">
        <v>13</v>
      </c>
      <c r="H43" s="38" t="s">
        <v>13</v>
      </c>
      <c r="I43" s="39" t="s">
        <v>390</v>
      </c>
      <c r="J43" s="21">
        <f t="shared" si="0"/>
        <v>1</v>
      </c>
      <c r="K43" s="3"/>
    </row>
    <row r="44" spans="1:11" x14ac:dyDescent="0.25">
      <c r="A44" s="57">
        <v>43</v>
      </c>
      <c r="B44" s="156">
        <v>2351</v>
      </c>
      <c r="C44" s="32" t="s">
        <v>285</v>
      </c>
      <c r="D44" s="40" t="s">
        <v>389</v>
      </c>
      <c r="E44" s="40" t="s">
        <v>13</v>
      </c>
      <c r="F44" s="40" t="s">
        <v>13</v>
      </c>
      <c r="G44" s="40" t="s">
        <v>13</v>
      </c>
      <c r="H44" s="40" t="s">
        <v>13</v>
      </c>
      <c r="I44" s="44" t="s">
        <v>378</v>
      </c>
      <c r="J44" s="21">
        <f t="shared" si="0"/>
        <v>1</v>
      </c>
      <c r="K44" s="3"/>
    </row>
    <row r="45" spans="1:11" x14ac:dyDescent="0.25">
      <c r="A45" s="57">
        <v>44</v>
      </c>
      <c r="B45" s="156">
        <v>2359</v>
      </c>
      <c r="C45" s="32" t="s">
        <v>292</v>
      </c>
      <c r="D45" s="37" t="s">
        <v>378</v>
      </c>
      <c r="E45" s="6" t="s">
        <v>13</v>
      </c>
      <c r="F45" s="6" t="s">
        <v>13</v>
      </c>
      <c r="G45" s="6" t="s">
        <v>13</v>
      </c>
      <c r="H45" s="6" t="s">
        <v>13</v>
      </c>
      <c r="I45" s="6" t="s">
        <v>13</v>
      </c>
      <c r="J45" s="21">
        <f t="shared" si="0"/>
        <v>1</v>
      </c>
      <c r="K45" s="3"/>
    </row>
    <row r="46" spans="1:11" x14ac:dyDescent="0.25">
      <c r="A46" s="57">
        <v>45</v>
      </c>
      <c r="B46" s="156">
        <v>2372</v>
      </c>
      <c r="C46" s="32" t="s">
        <v>304</v>
      </c>
      <c r="D46" s="40" t="s">
        <v>389</v>
      </c>
      <c r="E46" s="40" t="s">
        <v>13</v>
      </c>
      <c r="F46" s="40" t="s">
        <v>13</v>
      </c>
      <c r="G46" s="40" t="s">
        <v>13</v>
      </c>
      <c r="H46" s="40" t="s">
        <v>13</v>
      </c>
      <c r="I46" s="155" t="s">
        <v>390</v>
      </c>
      <c r="J46" s="21">
        <f t="shared" si="0"/>
        <v>1</v>
      </c>
      <c r="K46" s="3"/>
    </row>
    <row r="47" spans="1:11" x14ac:dyDescent="0.25">
      <c r="A47" s="57">
        <v>46</v>
      </c>
      <c r="B47" s="156">
        <v>2383</v>
      </c>
      <c r="C47" s="32" t="s">
        <v>319</v>
      </c>
      <c r="D47" s="54" t="s">
        <v>390</v>
      </c>
      <c r="E47" s="40" t="s">
        <v>13</v>
      </c>
      <c r="F47" s="40" t="s">
        <v>13</v>
      </c>
      <c r="G47" s="40" t="s">
        <v>13</v>
      </c>
      <c r="H47" s="40" t="s">
        <v>13</v>
      </c>
      <c r="I47" s="43" t="s">
        <v>13</v>
      </c>
      <c r="J47" s="21">
        <f t="shared" si="0"/>
        <v>1</v>
      </c>
      <c r="K47" s="3"/>
    </row>
    <row r="48" spans="1:11" ht="12.75" x14ac:dyDescent="0.2">
      <c r="B48" s="34"/>
      <c r="K48" s="3"/>
    </row>
    <row r="49" spans="2:11" ht="12.75" x14ac:dyDescent="0.2">
      <c r="B49" s="34"/>
      <c r="K49" s="3"/>
    </row>
    <row r="50" spans="2:11" ht="12.75" x14ac:dyDescent="0.2">
      <c r="B50" s="34"/>
      <c r="K50" s="3"/>
    </row>
    <row r="51" spans="2:11" ht="12.75" x14ac:dyDescent="0.2">
      <c r="B51" s="34"/>
      <c r="K51" s="3"/>
    </row>
    <row r="52" spans="2:11" ht="12.75" x14ac:dyDescent="0.2">
      <c r="B52" s="34"/>
      <c r="K52" s="3"/>
    </row>
    <row r="53" spans="2:11" ht="12.75" x14ac:dyDescent="0.2">
      <c r="B53" s="34"/>
      <c r="K53" s="3"/>
    </row>
    <row r="54" spans="2:11" ht="12.75" x14ac:dyDescent="0.2">
      <c r="B54" s="34"/>
      <c r="K54" s="3"/>
    </row>
    <row r="55" spans="2:11" ht="12.75" x14ac:dyDescent="0.2">
      <c r="B55" s="34"/>
      <c r="K55" s="3"/>
    </row>
    <row r="56" spans="2:11" ht="12.75" x14ac:dyDescent="0.2">
      <c r="B56" s="34"/>
      <c r="K56" s="3"/>
    </row>
    <row r="57" spans="2:11" ht="12.75" x14ac:dyDescent="0.2">
      <c r="B57" s="34"/>
      <c r="K57" s="3"/>
    </row>
    <row r="58" spans="2:11" ht="12.75" x14ac:dyDescent="0.2">
      <c r="B58" s="34"/>
      <c r="K58" s="3"/>
    </row>
    <row r="59" spans="2:11" ht="12.75" x14ac:dyDescent="0.2">
      <c r="B59" s="34"/>
      <c r="K59" s="3"/>
    </row>
    <row r="60" spans="2:11" ht="12.75" x14ac:dyDescent="0.2">
      <c r="B60" s="34"/>
      <c r="K60" s="3"/>
    </row>
    <row r="61" spans="2:11" ht="12.75" x14ac:dyDescent="0.2">
      <c r="B61" s="34"/>
      <c r="K61" s="3"/>
    </row>
    <row r="62" spans="2:11" ht="12.75" x14ac:dyDescent="0.2">
      <c r="B62" s="34"/>
      <c r="K62" s="3"/>
    </row>
    <row r="63" spans="2:11" ht="12.75" x14ac:dyDescent="0.2">
      <c r="B63" s="34"/>
      <c r="K63" s="3"/>
    </row>
    <row r="64" spans="2:11" ht="12.75" x14ac:dyDescent="0.2">
      <c r="B64" s="34"/>
      <c r="K64" s="3"/>
    </row>
    <row r="65" spans="2:11" ht="12.75" x14ac:dyDescent="0.2">
      <c r="B65" s="34"/>
      <c r="K65" s="3"/>
    </row>
    <row r="66" spans="2:11" ht="12.75" x14ac:dyDescent="0.2">
      <c r="B66" s="34"/>
      <c r="K66" s="3"/>
    </row>
    <row r="67" spans="2:11" ht="12.75" x14ac:dyDescent="0.2">
      <c r="B67" s="34"/>
      <c r="K67" s="3"/>
    </row>
    <row r="68" spans="2:11" ht="12.75" x14ac:dyDescent="0.2">
      <c r="B68" s="34"/>
      <c r="K68" s="3"/>
    </row>
    <row r="69" spans="2:11" ht="12.75" x14ac:dyDescent="0.2">
      <c r="B69" s="34"/>
      <c r="K69" s="3"/>
    </row>
    <row r="70" spans="2:11" ht="12.75" x14ac:dyDescent="0.2">
      <c r="B70" s="34"/>
      <c r="K70" s="3"/>
    </row>
    <row r="71" spans="2:11" ht="12.75" x14ac:dyDescent="0.2">
      <c r="B71" s="34"/>
      <c r="K71" s="3"/>
    </row>
    <row r="72" spans="2:11" ht="12.75" x14ac:dyDescent="0.2">
      <c r="B72" s="34"/>
      <c r="K72" s="3"/>
    </row>
    <row r="73" spans="2:11" ht="12.75" x14ac:dyDescent="0.2">
      <c r="B73" s="34"/>
      <c r="K73" s="3"/>
    </row>
    <row r="74" spans="2:11" ht="12.75" x14ac:dyDescent="0.2">
      <c r="B74" s="34"/>
      <c r="K74" s="3"/>
    </row>
    <row r="75" spans="2:11" ht="12.75" x14ac:dyDescent="0.2">
      <c r="B75" s="34"/>
      <c r="K75" s="3"/>
    </row>
    <row r="76" spans="2:11" ht="12.75" x14ac:dyDescent="0.2">
      <c r="B76" s="34"/>
      <c r="K76" s="3"/>
    </row>
    <row r="77" spans="2:11" ht="12.75" x14ac:dyDescent="0.2">
      <c r="B77" s="34"/>
      <c r="K77" s="3"/>
    </row>
    <row r="78" spans="2:11" ht="12.75" x14ac:dyDescent="0.2">
      <c r="B78" s="34"/>
      <c r="K78" s="3"/>
    </row>
    <row r="79" spans="2:11" ht="12.75" x14ac:dyDescent="0.2">
      <c r="B79" s="34"/>
      <c r="K79" s="3"/>
    </row>
    <row r="80" spans="2:11" ht="12.75" x14ac:dyDescent="0.2">
      <c r="B80" s="34"/>
      <c r="K80" s="3"/>
    </row>
    <row r="81" spans="2:11" ht="12.75" x14ac:dyDescent="0.2">
      <c r="B81" s="34"/>
      <c r="K81" s="3"/>
    </row>
    <row r="82" spans="2:11" ht="12.75" x14ac:dyDescent="0.2">
      <c r="B82" s="34"/>
      <c r="K82" s="3"/>
    </row>
    <row r="83" spans="2:11" ht="12.75" x14ac:dyDescent="0.2">
      <c r="B83" s="34"/>
      <c r="K83" s="3"/>
    </row>
    <row r="84" spans="2:11" ht="12.75" x14ac:dyDescent="0.2">
      <c r="B84" s="34"/>
      <c r="K84" s="3"/>
    </row>
    <row r="85" spans="2:11" ht="12.75" x14ac:dyDescent="0.2">
      <c r="B85" s="34"/>
      <c r="K85" s="3"/>
    </row>
    <row r="86" spans="2:11" ht="12.75" x14ac:dyDescent="0.2">
      <c r="B86" s="34"/>
      <c r="K86" s="3"/>
    </row>
    <row r="87" spans="2:11" ht="12.75" x14ac:dyDescent="0.2">
      <c r="B87" s="34"/>
      <c r="K87" s="3"/>
    </row>
    <row r="88" spans="2:11" ht="12.75" x14ac:dyDescent="0.2">
      <c r="B88" s="34"/>
      <c r="K88" s="3"/>
    </row>
    <row r="89" spans="2:11" ht="12.75" x14ac:dyDescent="0.2">
      <c r="B89" s="34"/>
      <c r="K89" s="3"/>
    </row>
    <row r="90" spans="2:11" ht="12.75" x14ac:dyDescent="0.2">
      <c r="B90" s="34"/>
      <c r="K90" s="3"/>
    </row>
    <row r="91" spans="2:11" ht="12.75" x14ac:dyDescent="0.2">
      <c r="B91" s="34"/>
      <c r="K91" s="3"/>
    </row>
    <row r="92" spans="2:11" ht="12.75" x14ac:dyDescent="0.2">
      <c r="B92" s="34"/>
      <c r="K92" s="3"/>
    </row>
    <row r="93" spans="2:11" ht="12.75" x14ac:dyDescent="0.2">
      <c r="B93" s="34"/>
      <c r="K93" s="3"/>
    </row>
    <row r="94" spans="2:11" ht="12.75" x14ac:dyDescent="0.2">
      <c r="B94" s="34"/>
      <c r="K94" s="3"/>
    </row>
    <row r="95" spans="2:11" ht="12.75" x14ac:dyDescent="0.2">
      <c r="B95" s="34"/>
      <c r="K95" s="3"/>
    </row>
    <row r="96" spans="2:11" ht="12.75" x14ac:dyDescent="0.2">
      <c r="B96" s="34"/>
      <c r="K96" s="3"/>
    </row>
    <row r="97" spans="2:11" ht="12.75" x14ac:dyDescent="0.2">
      <c r="B97" s="34"/>
      <c r="K97" s="3"/>
    </row>
    <row r="98" spans="2:11" ht="12.75" x14ac:dyDescent="0.2">
      <c r="B98" s="34"/>
      <c r="K98" s="3"/>
    </row>
    <row r="99" spans="2:11" ht="12.75" x14ac:dyDescent="0.2">
      <c r="B99" s="34"/>
      <c r="K99" s="3"/>
    </row>
    <row r="100" spans="2:11" ht="12.75" x14ac:dyDescent="0.2">
      <c r="B100" s="34"/>
      <c r="K100" s="3"/>
    </row>
    <row r="101" spans="2:11" ht="12.75" x14ac:dyDescent="0.2">
      <c r="B101" s="34"/>
      <c r="K101" s="3"/>
    </row>
    <row r="102" spans="2:11" ht="12.75" x14ac:dyDescent="0.2">
      <c r="B102" s="34"/>
      <c r="K102" s="3"/>
    </row>
    <row r="103" spans="2:11" ht="12.75" x14ac:dyDescent="0.2">
      <c r="B103" s="34"/>
      <c r="K103" s="3"/>
    </row>
    <row r="104" spans="2:11" ht="12.75" x14ac:dyDescent="0.2">
      <c r="B104" s="34"/>
      <c r="K104" s="3"/>
    </row>
    <row r="105" spans="2:11" ht="12.75" x14ac:dyDescent="0.2">
      <c r="B105" s="34"/>
      <c r="K105" s="3"/>
    </row>
    <row r="106" spans="2:11" ht="12.75" x14ac:dyDescent="0.2">
      <c r="B106" s="34"/>
      <c r="K106" s="3"/>
    </row>
    <row r="107" spans="2:11" ht="12.75" x14ac:dyDescent="0.2">
      <c r="B107" s="34"/>
      <c r="K107" s="3"/>
    </row>
    <row r="108" spans="2:11" ht="12.75" x14ac:dyDescent="0.2">
      <c r="B108" s="34"/>
      <c r="K108" s="3"/>
    </row>
    <row r="109" spans="2:11" ht="12.75" x14ac:dyDescent="0.2">
      <c r="B109" s="34"/>
      <c r="K109" s="3"/>
    </row>
    <row r="110" spans="2:11" ht="12.75" x14ac:dyDescent="0.2">
      <c r="B110" s="34"/>
      <c r="K110" s="3"/>
    </row>
    <row r="111" spans="2:11" ht="12.75" x14ac:dyDescent="0.2">
      <c r="B111" s="34"/>
      <c r="K111" s="3"/>
    </row>
    <row r="112" spans="2:11" ht="12.75" x14ac:dyDescent="0.2">
      <c r="B112" s="34"/>
      <c r="K112" s="3"/>
    </row>
    <row r="113" spans="2:11" ht="12.75" x14ac:dyDescent="0.2">
      <c r="B113" s="34"/>
      <c r="K113" s="3"/>
    </row>
    <row r="114" spans="2:11" ht="12.75" x14ac:dyDescent="0.2">
      <c r="B114" s="34"/>
      <c r="K114" s="3"/>
    </row>
    <row r="115" spans="2:11" ht="12.75" x14ac:dyDescent="0.2">
      <c r="B115" s="34"/>
      <c r="K115" s="3"/>
    </row>
    <row r="116" spans="2:11" ht="12.75" x14ac:dyDescent="0.2">
      <c r="B116" s="34"/>
      <c r="K116" s="3"/>
    </row>
    <row r="117" spans="2:11" ht="12.75" x14ac:dyDescent="0.2">
      <c r="B117" s="34"/>
      <c r="K117" s="3"/>
    </row>
    <row r="118" spans="2:11" ht="12.75" x14ac:dyDescent="0.2">
      <c r="B118" s="34"/>
      <c r="K118" s="3"/>
    </row>
    <row r="119" spans="2:11" ht="12.75" x14ac:dyDescent="0.2">
      <c r="B119" s="34"/>
      <c r="K119" s="3"/>
    </row>
    <row r="120" spans="2:11" ht="12.75" x14ac:dyDescent="0.2">
      <c r="B120" s="34"/>
      <c r="K120" s="3"/>
    </row>
    <row r="121" spans="2:11" ht="12.75" x14ac:dyDescent="0.2">
      <c r="B121" s="34"/>
      <c r="K121" s="3"/>
    </row>
    <row r="122" spans="2:11" ht="12.75" x14ac:dyDescent="0.2">
      <c r="B122" s="34"/>
      <c r="K122" s="3"/>
    </row>
    <row r="123" spans="2:11" ht="12.75" x14ac:dyDescent="0.2">
      <c r="B123" s="34"/>
      <c r="K123" s="3"/>
    </row>
    <row r="124" spans="2:11" ht="12.75" x14ac:dyDescent="0.2">
      <c r="B124" s="34"/>
      <c r="K124" s="3"/>
    </row>
    <row r="125" spans="2:11" ht="12.75" x14ac:dyDescent="0.2">
      <c r="B125" s="34"/>
      <c r="K125" s="3"/>
    </row>
    <row r="126" spans="2:11" ht="12.75" x14ac:dyDescent="0.2">
      <c r="B126" s="34"/>
      <c r="K126" s="3"/>
    </row>
    <row r="127" spans="2:11" ht="12.75" x14ac:dyDescent="0.2">
      <c r="B127" s="34"/>
      <c r="K127" s="3"/>
    </row>
    <row r="128" spans="2:11" ht="12.75" x14ac:dyDescent="0.2">
      <c r="B128" s="34"/>
      <c r="K128" s="3"/>
    </row>
    <row r="129" spans="2:11" ht="12.75" x14ac:dyDescent="0.2">
      <c r="B129" s="34"/>
      <c r="K129" s="3"/>
    </row>
    <row r="130" spans="2:11" ht="12.75" x14ac:dyDescent="0.2">
      <c r="B130" s="34"/>
      <c r="K130" s="3"/>
    </row>
    <row r="131" spans="2:11" ht="12.75" x14ac:dyDescent="0.2">
      <c r="B131" s="34"/>
      <c r="K131" s="3"/>
    </row>
    <row r="132" spans="2:11" ht="12.75" x14ac:dyDescent="0.2">
      <c r="B132" s="34"/>
      <c r="K132" s="3"/>
    </row>
    <row r="133" spans="2:11" ht="12.75" x14ac:dyDescent="0.2">
      <c r="B133" s="34"/>
      <c r="K133" s="3"/>
    </row>
    <row r="134" spans="2:11" ht="12.75" x14ac:dyDescent="0.2">
      <c r="B134" s="34"/>
      <c r="K134" s="3"/>
    </row>
    <row r="135" spans="2:11" ht="12.75" x14ac:dyDescent="0.2">
      <c r="B135" s="34"/>
      <c r="K135" s="3"/>
    </row>
    <row r="136" spans="2:11" ht="12.75" x14ac:dyDescent="0.2">
      <c r="B136" s="34"/>
      <c r="K136" s="3"/>
    </row>
    <row r="137" spans="2:11" ht="12.75" x14ac:dyDescent="0.2">
      <c r="B137" s="34"/>
      <c r="K137" s="3"/>
    </row>
    <row r="138" spans="2:11" ht="12.75" x14ac:dyDescent="0.2">
      <c r="B138" s="34"/>
      <c r="K138" s="3"/>
    </row>
    <row r="139" spans="2:11" ht="12.75" x14ac:dyDescent="0.2">
      <c r="B139" s="34"/>
      <c r="K139" s="3"/>
    </row>
    <row r="140" spans="2:11" ht="12.75" x14ac:dyDescent="0.2">
      <c r="B140" s="34"/>
      <c r="K140" s="3"/>
    </row>
    <row r="141" spans="2:11" ht="12.75" x14ac:dyDescent="0.2">
      <c r="B141" s="34"/>
      <c r="K141" s="3"/>
    </row>
    <row r="142" spans="2:11" ht="12.75" x14ac:dyDescent="0.2">
      <c r="B142" s="34"/>
      <c r="K142" s="3"/>
    </row>
    <row r="143" spans="2:11" ht="12.75" x14ac:dyDescent="0.2">
      <c r="B143" s="34"/>
      <c r="K143" s="3"/>
    </row>
    <row r="144" spans="2:11" ht="12.75" x14ac:dyDescent="0.2">
      <c r="B144" s="34"/>
      <c r="K144" s="3"/>
    </row>
    <row r="145" spans="2:11" ht="12.75" x14ac:dyDescent="0.2">
      <c r="B145" s="34"/>
      <c r="K145" s="3"/>
    </row>
    <row r="146" spans="2:11" ht="12.75" x14ac:dyDescent="0.2">
      <c r="B146" s="34"/>
      <c r="K146" s="3"/>
    </row>
    <row r="147" spans="2:11" ht="12.75" x14ac:dyDescent="0.2">
      <c r="B147" s="34"/>
      <c r="K147" s="3"/>
    </row>
    <row r="148" spans="2:11" ht="12.75" x14ac:dyDescent="0.2">
      <c r="B148" s="34"/>
      <c r="K148" s="3"/>
    </row>
    <row r="149" spans="2:11" ht="12.75" x14ac:dyDescent="0.2">
      <c r="B149" s="34"/>
      <c r="K149" s="3"/>
    </row>
    <row r="150" spans="2:11" ht="12.75" x14ac:dyDescent="0.2">
      <c r="B150" s="34"/>
      <c r="K150" s="3"/>
    </row>
    <row r="151" spans="2:11" ht="12.75" x14ac:dyDescent="0.2">
      <c r="B151" s="34"/>
      <c r="K151" s="3"/>
    </row>
    <row r="152" spans="2:11" ht="12.75" x14ac:dyDescent="0.2">
      <c r="B152" s="34"/>
      <c r="K152" s="3"/>
    </row>
    <row r="153" spans="2:11" ht="12.75" x14ac:dyDescent="0.2">
      <c r="B153" s="34"/>
      <c r="K153" s="3"/>
    </row>
    <row r="154" spans="2:11" ht="12.75" x14ac:dyDescent="0.2">
      <c r="B154" s="34"/>
      <c r="K154" s="3"/>
    </row>
    <row r="155" spans="2:11" ht="12.75" x14ac:dyDescent="0.2">
      <c r="B155" s="34"/>
      <c r="K155" s="3"/>
    </row>
    <row r="156" spans="2:11" ht="12.75" x14ac:dyDescent="0.2">
      <c r="B156" s="34"/>
      <c r="K156" s="3"/>
    </row>
    <row r="157" spans="2:11" ht="12.75" x14ac:dyDescent="0.2">
      <c r="B157" s="34"/>
      <c r="K157" s="3"/>
    </row>
    <row r="158" spans="2:11" ht="12.75" x14ac:dyDescent="0.2">
      <c r="B158" s="34"/>
      <c r="K158" s="3"/>
    </row>
    <row r="159" spans="2:11" ht="12.75" x14ac:dyDescent="0.2">
      <c r="B159" s="34"/>
      <c r="K159" s="3"/>
    </row>
    <row r="160" spans="2:11" ht="12.75" x14ac:dyDescent="0.2">
      <c r="B160" s="34"/>
      <c r="K160" s="3"/>
    </row>
    <row r="161" spans="2:11" ht="12.75" x14ac:dyDescent="0.2">
      <c r="B161" s="34"/>
      <c r="K161" s="3"/>
    </row>
    <row r="162" spans="2:11" ht="12.75" x14ac:dyDescent="0.2">
      <c r="B162" s="34"/>
      <c r="K162" s="3"/>
    </row>
    <row r="163" spans="2:11" ht="12.75" x14ac:dyDescent="0.2">
      <c r="B163" s="34"/>
      <c r="K163" s="3"/>
    </row>
    <row r="164" spans="2:11" ht="12.75" x14ac:dyDescent="0.2">
      <c r="B164" s="34"/>
      <c r="K164" s="3"/>
    </row>
    <row r="165" spans="2:11" ht="12.75" x14ac:dyDescent="0.2">
      <c r="B165" s="34"/>
      <c r="K165" s="3"/>
    </row>
    <row r="166" spans="2:11" ht="12.75" x14ac:dyDescent="0.2">
      <c r="B166" s="34"/>
      <c r="K166" s="3"/>
    </row>
    <row r="167" spans="2:11" ht="12.75" x14ac:dyDescent="0.2">
      <c r="B167" s="34"/>
      <c r="K167" s="3"/>
    </row>
    <row r="168" spans="2:11" ht="12.75" x14ac:dyDescent="0.2">
      <c r="B168" s="34"/>
      <c r="K168" s="3"/>
    </row>
    <row r="169" spans="2:11" ht="12.75" x14ac:dyDescent="0.2">
      <c r="B169" s="34"/>
      <c r="K169" s="3"/>
    </row>
    <row r="170" spans="2:11" ht="12.75" x14ac:dyDescent="0.2">
      <c r="B170" s="34"/>
      <c r="K170" s="3"/>
    </row>
    <row r="171" spans="2:11" ht="12.75" x14ac:dyDescent="0.2">
      <c r="B171" s="34"/>
      <c r="K171" s="3"/>
    </row>
    <row r="172" spans="2:11" ht="12.75" x14ac:dyDescent="0.2">
      <c r="B172" s="34"/>
      <c r="K172" s="3"/>
    </row>
    <row r="173" spans="2:11" ht="12.75" x14ac:dyDescent="0.2">
      <c r="B173" s="34"/>
      <c r="K173" s="3"/>
    </row>
    <row r="174" spans="2:11" ht="12.75" x14ac:dyDescent="0.2">
      <c r="B174" s="34"/>
      <c r="K174" s="3"/>
    </row>
    <row r="175" spans="2:11" ht="12.75" x14ac:dyDescent="0.2">
      <c r="B175" s="34"/>
      <c r="K175" s="3"/>
    </row>
    <row r="176" spans="2:11" ht="12.75" x14ac:dyDescent="0.2">
      <c r="B176" s="34"/>
      <c r="K176" s="3"/>
    </row>
    <row r="177" spans="2:11" ht="12.75" x14ac:dyDescent="0.2">
      <c r="B177" s="34"/>
      <c r="K177" s="3"/>
    </row>
    <row r="178" spans="2:11" ht="12.75" x14ac:dyDescent="0.2">
      <c r="B178" s="34"/>
      <c r="K178" s="3"/>
    </row>
    <row r="179" spans="2:11" ht="12.75" x14ac:dyDescent="0.2">
      <c r="B179" s="34"/>
      <c r="K179" s="3"/>
    </row>
    <row r="180" spans="2:11" ht="12.75" x14ac:dyDescent="0.2">
      <c r="B180" s="34"/>
      <c r="K180" s="3"/>
    </row>
    <row r="181" spans="2:11" ht="12.75" x14ac:dyDescent="0.2">
      <c r="B181" s="34"/>
      <c r="K181" s="3"/>
    </row>
    <row r="182" spans="2:11" ht="12.75" x14ac:dyDescent="0.2">
      <c r="B182" s="34"/>
      <c r="K182" s="3"/>
    </row>
    <row r="183" spans="2:11" ht="12.75" x14ac:dyDescent="0.2">
      <c r="B183" s="34"/>
      <c r="K183" s="3"/>
    </row>
    <row r="184" spans="2:11" ht="12.75" x14ac:dyDescent="0.2">
      <c r="B184" s="34"/>
      <c r="K184" s="3"/>
    </row>
    <row r="185" spans="2:11" ht="12.75" x14ac:dyDescent="0.2">
      <c r="B185" s="34"/>
      <c r="K185" s="3"/>
    </row>
    <row r="186" spans="2:11" ht="12.75" x14ac:dyDescent="0.2">
      <c r="B186" s="34"/>
      <c r="K186" s="3"/>
    </row>
    <row r="187" spans="2:11" ht="12.75" x14ac:dyDescent="0.2">
      <c r="B187" s="34"/>
      <c r="K187" s="3"/>
    </row>
    <row r="188" spans="2:11" ht="12.75" x14ac:dyDescent="0.2">
      <c r="B188" s="34"/>
      <c r="K188" s="3"/>
    </row>
    <row r="189" spans="2:11" ht="12.75" x14ac:dyDescent="0.2">
      <c r="B189" s="34"/>
      <c r="K189" s="3"/>
    </row>
    <row r="190" spans="2:11" ht="12.75" x14ac:dyDescent="0.2">
      <c r="B190" s="34"/>
      <c r="K190" s="3"/>
    </row>
    <row r="191" spans="2:11" ht="12.75" x14ac:dyDescent="0.2">
      <c r="B191" s="34"/>
      <c r="K191" s="3"/>
    </row>
    <row r="192" spans="2:11" ht="12.75" x14ac:dyDescent="0.2">
      <c r="B192" s="34"/>
      <c r="K192" s="3"/>
    </row>
    <row r="193" spans="2:11" ht="12.75" x14ac:dyDescent="0.2">
      <c r="B193" s="34"/>
      <c r="K193" s="3"/>
    </row>
    <row r="194" spans="2:11" ht="12.75" x14ac:dyDescent="0.2">
      <c r="B194" s="34"/>
      <c r="K194" s="3"/>
    </row>
    <row r="195" spans="2:11" ht="12.75" x14ac:dyDescent="0.2">
      <c r="B195" s="34"/>
      <c r="K195" s="3"/>
    </row>
    <row r="196" spans="2:11" ht="12.75" x14ac:dyDescent="0.2">
      <c r="B196" s="34"/>
      <c r="K196" s="3"/>
    </row>
    <row r="197" spans="2:11" ht="12.75" x14ac:dyDescent="0.2">
      <c r="B197" s="34"/>
      <c r="K197" s="3"/>
    </row>
    <row r="198" spans="2:11" ht="12.75" x14ac:dyDescent="0.2">
      <c r="B198" s="34"/>
      <c r="K198" s="3"/>
    </row>
    <row r="199" spans="2:11" ht="12.75" x14ac:dyDescent="0.2">
      <c r="B199" s="34"/>
      <c r="K199" s="3"/>
    </row>
    <row r="200" spans="2:11" ht="12.75" x14ac:dyDescent="0.2">
      <c r="B200" s="34"/>
      <c r="K200" s="3"/>
    </row>
    <row r="201" spans="2:11" ht="12.75" x14ac:dyDescent="0.2">
      <c r="B201" s="34"/>
      <c r="K201" s="3"/>
    </row>
    <row r="202" spans="2:11" ht="12.75" x14ac:dyDescent="0.2">
      <c r="B202" s="34"/>
      <c r="K202" s="3"/>
    </row>
    <row r="203" spans="2:11" ht="12.75" x14ac:dyDescent="0.2">
      <c r="B203" s="34"/>
      <c r="K203" s="3"/>
    </row>
    <row r="204" spans="2:11" ht="12.75" x14ac:dyDescent="0.2">
      <c r="B204" s="34"/>
      <c r="K204" s="3"/>
    </row>
    <row r="205" spans="2:11" ht="12.75" x14ac:dyDescent="0.2">
      <c r="B205" s="34"/>
      <c r="K205" s="3"/>
    </row>
    <row r="206" spans="2:11" ht="12.75" x14ac:dyDescent="0.2">
      <c r="B206" s="34"/>
      <c r="K206" s="3"/>
    </row>
    <row r="207" spans="2:11" ht="12.75" x14ac:dyDescent="0.2">
      <c r="B207" s="34"/>
      <c r="K207" s="3"/>
    </row>
    <row r="208" spans="2:11" ht="12.75" x14ac:dyDescent="0.2">
      <c r="B208" s="34"/>
      <c r="K208" s="3"/>
    </row>
    <row r="209" spans="2:11" ht="12.75" x14ac:dyDescent="0.2">
      <c r="B209" s="34"/>
      <c r="K209" s="3"/>
    </row>
    <row r="210" spans="2:11" ht="12.75" x14ac:dyDescent="0.2">
      <c r="B210" s="34"/>
      <c r="K210" s="3"/>
    </row>
    <row r="211" spans="2:11" ht="12.75" x14ac:dyDescent="0.2">
      <c r="B211" s="34"/>
      <c r="K211" s="3"/>
    </row>
    <row r="212" spans="2:11" ht="12.75" x14ac:dyDescent="0.2">
      <c r="B212" s="34"/>
      <c r="K212" s="3"/>
    </row>
    <row r="213" spans="2:11" ht="12.75" x14ac:dyDescent="0.2">
      <c r="B213" s="34"/>
      <c r="K213" s="3"/>
    </row>
    <row r="214" spans="2:11" ht="12.75" x14ac:dyDescent="0.2">
      <c r="B214" s="34"/>
      <c r="K214" s="3"/>
    </row>
    <row r="215" spans="2:11" ht="12.75" x14ac:dyDescent="0.2">
      <c r="B215" s="34"/>
      <c r="K215" s="3"/>
    </row>
    <row r="216" spans="2:11" ht="12.75" x14ac:dyDescent="0.2">
      <c r="B216" s="34"/>
      <c r="K216" s="3"/>
    </row>
    <row r="217" spans="2:11" ht="12.75" x14ac:dyDescent="0.2">
      <c r="B217" s="34"/>
      <c r="K217" s="3"/>
    </row>
    <row r="218" spans="2:11" ht="12.75" x14ac:dyDescent="0.2">
      <c r="B218" s="34"/>
      <c r="K218" s="3"/>
    </row>
    <row r="219" spans="2:11" ht="12.75" x14ac:dyDescent="0.2">
      <c r="B219" s="34"/>
      <c r="K219" s="3"/>
    </row>
    <row r="220" spans="2:11" ht="12.75" x14ac:dyDescent="0.2">
      <c r="B220" s="34"/>
      <c r="K220" s="3"/>
    </row>
    <row r="221" spans="2:11" ht="12.75" x14ac:dyDescent="0.2">
      <c r="B221" s="34"/>
      <c r="K221" s="3"/>
    </row>
    <row r="222" spans="2:11" ht="12.75" x14ac:dyDescent="0.2">
      <c r="B222" s="34"/>
      <c r="K222" s="3"/>
    </row>
    <row r="223" spans="2:11" ht="12.75" x14ac:dyDescent="0.2">
      <c r="B223" s="34"/>
      <c r="K223" s="3"/>
    </row>
    <row r="224" spans="2:11" ht="12.75" x14ac:dyDescent="0.2">
      <c r="B224" s="34"/>
      <c r="K224" s="3"/>
    </row>
    <row r="225" spans="2:11" ht="12.75" x14ac:dyDescent="0.2">
      <c r="B225" s="34"/>
      <c r="K225" s="3"/>
    </row>
    <row r="226" spans="2:11" ht="12.75" x14ac:dyDescent="0.2">
      <c r="B226" s="34"/>
      <c r="K226" s="3"/>
    </row>
    <row r="227" spans="2:11" ht="12.75" x14ac:dyDescent="0.2">
      <c r="B227" s="34"/>
      <c r="K227" s="3"/>
    </row>
    <row r="228" spans="2:11" ht="12.75" x14ac:dyDescent="0.2">
      <c r="B228" s="34"/>
      <c r="K228" s="3"/>
    </row>
    <row r="229" spans="2:11" ht="12.75" x14ac:dyDescent="0.2">
      <c r="B229" s="34"/>
      <c r="K229" s="3"/>
    </row>
    <row r="230" spans="2:11" ht="12.75" x14ac:dyDescent="0.2">
      <c r="B230" s="34"/>
      <c r="K230" s="3"/>
    </row>
    <row r="231" spans="2:11" ht="12.75" x14ac:dyDescent="0.2">
      <c r="B231" s="34"/>
      <c r="K231" s="3"/>
    </row>
    <row r="232" spans="2:11" ht="12.75" x14ac:dyDescent="0.2">
      <c r="B232" s="34"/>
      <c r="K232" s="3"/>
    </row>
    <row r="233" spans="2:11" ht="12.75" x14ac:dyDescent="0.2">
      <c r="B233" s="34"/>
      <c r="K233" s="3"/>
    </row>
    <row r="234" spans="2:11" ht="12.75" x14ac:dyDescent="0.2">
      <c r="B234" s="34"/>
      <c r="K234" s="3"/>
    </row>
    <row r="235" spans="2:11" ht="12.75" x14ac:dyDescent="0.2">
      <c r="B235" s="34"/>
      <c r="K235" s="3"/>
    </row>
    <row r="236" spans="2:11" ht="12.75" x14ac:dyDescent="0.2">
      <c r="B236" s="34"/>
      <c r="K236" s="3"/>
    </row>
    <row r="237" spans="2:11" ht="12.75" x14ac:dyDescent="0.2">
      <c r="B237" s="34"/>
      <c r="K237" s="3"/>
    </row>
    <row r="238" spans="2:11" ht="12.75" x14ac:dyDescent="0.2">
      <c r="B238" s="34"/>
      <c r="K238" s="3"/>
    </row>
    <row r="239" spans="2:11" ht="12.75" x14ac:dyDescent="0.2">
      <c r="B239" s="34"/>
      <c r="K239" s="3"/>
    </row>
    <row r="240" spans="2:11" ht="12.75" x14ac:dyDescent="0.2">
      <c r="B240" s="34"/>
      <c r="K240" s="3"/>
    </row>
    <row r="241" spans="2:11" ht="12.75" x14ac:dyDescent="0.2">
      <c r="B241" s="34"/>
      <c r="K241" s="3"/>
    </row>
    <row r="242" spans="2:11" ht="12.75" x14ac:dyDescent="0.2">
      <c r="B242" s="34"/>
      <c r="K242" s="3"/>
    </row>
    <row r="243" spans="2:11" ht="12.75" x14ac:dyDescent="0.2">
      <c r="B243" s="34"/>
      <c r="K243" s="3"/>
    </row>
    <row r="244" spans="2:11" ht="12.75" x14ac:dyDescent="0.2">
      <c r="B244" s="34"/>
      <c r="K244" s="3"/>
    </row>
    <row r="245" spans="2:11" ht="12.75" x14ac:dyDescent="0.2">
      <c r="B245" s="34"/>
      <c r="K245" s="3"/>
    </row>
    <row r="246" spans="2:11" ht="12.75" x14ac:dyDescent="0.2">
      <c r="B246" s="34"/>
      <c r="K246" s="3"/>
    </row>
    <row r="247" spans="2:11" ht="12.75" x14ac:dyDescent="0.2">
      <c r="B247" s="34"/>
      <c r="K247" s="3"/>
    </row>
    <row r="248" spans="2:11" ht="12.75" x14ac:dyDescent="0.2">
      <c r="B248" s="34"/>
      <c r="K248" s="3"/>
    </row>
    <row r="249" spans="2:11" ht="12.75" x14ac:dyDescent="0.2">
      <c r="B249" s="34"/>
      <c r="K249" s="3"/>
    </row>
    <row r="250" spans="2:11" ht="12.75" x14ac:dyDescent="0.2">
      <c r="B250" s="34"/>
      <c r="K250" s="3"/>
    </row>
    <row r="251" spans="2:11" ht="12.75" x14ac:dyDescent="0.2">
      <c r="B251" s="34"/>
      <c r="K251" s="3"/>
    </row>
    <row r="252" spans="2:11" ht="12.75" x14ac:dyDescent="0.2">
      <c r="B252" s="34"/>
      <c r="K252" s="3"/>
    </row>
    <row r="253" spans="2:11" ht="12.75" x14ac:dyDescent="0.2">
      <c r="B253" s="34"/>
      <c r="K253" s="3"/>
    </row>
    <row r="254" spans="2:11" ht="12.75" x14ac:dyDescent="0.2">
      <c r="B254" s="34"/>
      <c r="K254" s="3"/>
    </row>
    <row r="255" spans="2:11" ht="12.75" x14ac:dyDescent="0.2">
      <c r="B255" s="34"/>
      <c r="K255" s="3"/>
    </row>
    <row r="256" spans="2:11" ht="12.75" x14ac:dyDescent="0.2">
      <c r="B256" s="34"/>
      <c r="K256" s="3"/>
    </row>
    <row r="257" spans="2:11" ht="12.75" x14ac:dyDescent="0.2">
      <c r="B257" s="34"/>
      <c r="K257" s="3"/>
    </row>
    <row r="258" spans="2:11" ht="12.75" x14ac:dyDescent="0.2">
      <c r="B258" s="34"/>
      <c r="K258" s="3"/>
    </row>
    <row r="259" spans="2:11" ht="12.75" x14ac:dyDescent="0.2">
      <c r="B259" s="34"/>
      <c r="K259" s="3"/>
    </row>
    <row r="260" spans="2:11" ht="12.75" x14ac:dyDescent="0.2">
      <c r="B260" s="34"/>
      <c r="K260" s="3"/>
    </row>
    <row r="261" spans="2:11" ht="12.75" x14ac:dyDescent="0.2">
      <c r="B261" s="34"/>
      <c r="K261" s="3"/>
    </row>
    <row r="262" spans="2:11" ht="12.75" x14ac:dyDescent="0.2">
      <c r="B262" s="34"/>
      <c r="K262" s="3"/>
    </row>
    <row r="263" spans="2:11" ht="12.75" x14ac:dyDescent="0.2">
      <c r="B263" s="34"/>
      <c r="K263" s="3"/>
    </row>
    <row r="264" spans="2:11" ht="12.75" x14ac:dyDescent="0.2">
      <c r="B264" s="34"/>
      <c r="K264" s="3"/>
    </row>
    <row r="265" spans="2:11" ht="12.75" x14ac:dyDescent="0.2">
      <c r="B265" s="34"/>
      <c r="K265" s="3"/>
    </row>
    <row r="266" spans="2:11" ht="12.75" x14ac:dyDescent="0.2">
      <c r="B266" s="34"/>
      <c r="K266" s="3"/>
    </row>
    <row r="267" spans="2:11" ht="12.75" x14ac:dyDescent="0.2">
      <c r="B267" s="34"/>
      <c r="K267" s="3"/>
    </row>
    <row r="268" spans="2:11" ht="12.75" x14ac:dyDescent="0.2">
      <c r="B268" s="34"/>
      <c r="K268" s="3"/>
    </row>
    <row r="269" spans="2:11" ht="12.75" x14ac:dyDescent="0.2">
      <c r="B269" s="34"/>
      <c r="K269" s="3"/>
    </row>
    <row r="270" spans="2:11" ht="12.75" x14ac:dyDescent="0.2">
      <c r="B270" s="34"/>
      <c r="K270" s="3"/>
    </row>
    <row r="271" spans="2:11" ht="12.75" x14ac:dyDescent="0.2">
      <c r="B271" s="34"/>
      <c r="K271" s="3"/>
    </row>
    <row r="272" spans="2:11" ht="12.75" x14ac:dyDescent="0.2">
      <c r="B272" s="34"/>
      <c r="K272" s="3"/>
    </row>
    <row r="273" spans="2:11" ht="12.75" x14ac:dyDescent="0.2">
      <c r="B273" s="34"/>
      <c r="K273" s="3"/>
    </row>
    <row r="274" spans="2:11" ht="12.75" x14ac:dyDescent="0.2">
      <c r="B274" s="34"/>
      <c r="K274" s="3"/>
    </row>
    <row r="275" spans="2:11" ht="12.75" x14ac:dyDescent="0.2">
      <c r="B275" s="34"/>
      <c r="K275" s="3"/>
    </row>
    <row r="276" spans="2:11" ht="12.75" x14ac:dyDescent="0.2">
      <c r="B276" s="34"/>
      <c r="K276" s="3"/>
    </row>
    <row r="277" spans="2:11" ht="12.75" x14ac:dyDescent="0.2">
      <c r="B277" s="34"/>
      <c r="K277" s="3"/>
    </row>
    <row r="278" spans="2:11" ht="12.75" x14ac:dyDescent="0.2">
      <c r="B278" s="34"/>
      <c r="K278" s="3"/>
    </row>
    <row r="279" spans="2:11" ht="12.75" x14ac:dyDescent="0.2">
      <c r="B279" s="34"/>
      <c r="K279" s="3"/>
    </row>
    <row r="280" spans="2:11" ht="12.75" x14ac:dyDescent="0.2">
      <c r="B280" s="34"/>
      <c r="K280" s="3"/>
    </row>
    <row r="281" spans="2:11" ht="12.75" x14ac:dyDescent="0.2">
      <c r="B281" s="34"/>
      <c r="K281" s="3"/>
    </row>
    <row r="282" spans="2:11" ht="12.75" x14ac:dyDescent="0.2">
      <c r="B282" s="34"/>
      <c r="K282" s="3"/>
    </row>
    <row r="283" spans="2:11" ht="12.75" x14ac:dyDescent="0.2">
      <c r="B283" s="34"/>
      <c r="K283" s="3"/>
    </row>
    <row r="284" spans="2:11" ht="12.75" x14ac:dyDescent="0.2">
      <c r="B284" s="34"/>
      <c r="K284" s="3"/>
    </row>
    <row r="285" spans="2:11" ht="12.75" x14ac:dyDescent="0.2">
      <c r="B285" s="34"/>
      <c r="K285" s="3"/>
    </row>
    <row r="286" spans="2:11" ht="12.75" x14ac:dyDescent="0.2">
      <c r="B286" s="34"/>
      <c r="K286" s="3"/>
    </row>
    <row r="287" spans="2:11" ht="12.75" x14ac:dyDescent="0.2">
      <c r="B287" s="34"/>
      <c r="K287" s="3"/>
    </row>
    <row r="288" spans="2:11" ht="12.75" x14ac:dyDescent="0.2">
      <c r="B288" s="34"/>
      <c r="K288" s="3"/>
    </row>
    <row r="289" spans="2:11" ht="12.75" x14ac:dyDescent="0.2">
      <c r="B289" s="34"/>
      <c r="K289" s="3"/>
    </row>
    <row r="290" spans="2:11" ht="12.75" x14ac:dyDescent="0.2">
      <c r="B290" s="34"/>
      <c r="K290" s="3"/>
    </row>
    <row r="291" spans="2:11" ht="12.75" x14ac:dyDescent="0.2">
      <c r="B291" s="34"/>
      <c r="K291" s="3"/>
    </row>
    <row r="292" spans="2:11" ht="12.75" x14ac:dyDescent="0.2">
      <c r="B292" s="34"/>
      <c r="K292" s="3"/>
    </row>
    <row r="293" spans="2:11" ht="12.75" x14ac:dyDescent="0.2">
      <c r="B293" s="34"/>
      <c r="K293" s="3"/>
    </row>
    <row r="294" spans="2:11" ht="12.75" x14ac:dyDescent="0.2">
      <c r="B294" s="34"/>
      <c r="K294" s="3"/>
    </row>
    <row r="295" spans="2:11" ht="12.75" x14ac:dyDescent="0.2">
      <c r="B295" s="34"/>
      <c r="K295" s="3"/>
    </row>
    <row r="296" spans="2:11" ht="12.75" x14ac:dyDescent="0.2">
      <c r="B296" s="34"/>
      <c r="K296" s="3"/>
    </row>
    <row r="297" spans="2:11" ht="12.75" x14ac:dyDescent="0.2">
      <c r="B297" s="34"/>
      <c r="K297" s="3"/>
    </row>
    <row r="298" spans="2:11" ht="12.75" x14ac:dyDescent="0.2">
      <c r="B298" s="34"/>
      <c r="K298" s="3"/>
    </row>
    <row r="299" spans="2:11" ht="12.75" x14ac:dyDescent="0.2">
      <c r="B299" s="34"/>
      <c r="K299" s="3"/>
    </row>
    <row r="300" spans="2:11" ht="12.75" x14ac:dyDescent="0.2">
      <c r="B300" s="34"/>
      <c r="K300" s="3"/>
    </row>
    <row r="301" spans="2:11" ht="12.75" x14ac:dyDescent="0.2">
      <c r="B301" s="34"/>
      <c r="K301" s="3"/>
    </row>
    <row r="302" spans="2:11" ht="12.75" x14ac:dyDescent="0.2">
      <c r="B302" s="34"/>
      <c r="K302" s="3"/>
    </row>
    <row r="303" spans="2:11" ht="12.75" x14ac:dyDescent="0.2">
      <c r="B303" s="34"/>
      <c r="K303" s="3"/>
    </row>
    <row r="304" spans="2:11" ht="12.75" x14ac:dyDescent="0.2">
      <c r="B304" s="34"/>
      <c r="K304" s="3"/>
    </row>
    <row r="305" spans="2:11" ht="12.75" x14ac:dyDescent="0.2">
      <c r="B305" s="34"/>
      <c r="K305" s="3"/>
    </row>
    <row r="306" spans="2:11" ht="12.75" x14ac:dyDescent="0.2">
      <c r="B306" s="34"/>
      <c r="K306" s="3"/>
    </row>
    <row r="307" spans="2:11" ht="12.75" x14ac:dyDescent="0.2">
      <c r="B307" s="34"/>
      <c r="K307" s="3"/>
    </row>
    <row r="308" spans="2:11" ht="12.75" x14ac:dyDescent="0.2">
      <c r="B308" s="34"/>
      <c r="K308" s="3"/>
    </row>
    <row r="309" spans="2:11" ht="12.75" x14ac:dyDescent="0.2">
      <c r="B309" s="34"/>
      <c r="K309" s="3"/>
    </row>
    <row r="310" spans="2:11" ht="12.75" x14ac:dyDescent="0.2">
      <c r="B310" s="34"/>
      <c r="K310" s="3"/>
    </row>
    <row r="311" spans="2:11" ht="12.75" x14ac:dyDescent="0.2">
      <c r="B311" s="34"/>
      <c r="K311" s="3"/>
    </row>
    <row r="312" spans="2:11" ht="12.75" x14ac:dyDescent="0.2">
      <c r="B312" s="34"/>
      <c r="K312" s="3"/>
    </row>
    <row r="313" spans="2:11" ht="12.75" x14ac:dyDescent="0.2">
      <c r="B313" s="34"/>
      <c r="K313" s="3"/>
    </row>
    <row r="314" spans="2:11" ht="12.75" x14ac:dyDescent="0.2">
      <c r="B314" s="34"/>
      <c r="K314" s="3"/>
    </row>
    <row r="315" spans="2:11" ht="12.75" x14ac:dyDescent="0.2">
      <c r="B315" s="34"/>
      <c r="K315" s="3"/>
    </row>
    <row r="316" spans="2:11" ht="12.75" x14ac:dyDescent="0.2">
      <c r="B316" s="34"/>
      <c r="K316" s="3"/>
    </row>
    <row r="317" spans="2:11" ht="12.75" x14ac:dyDescent="0.2">
      <c r="B317" s="34"/>
      <c r="K317" s="3"/>
    </row>
    <row r="318" spans="2:11" ht="12.75" x14ac:dyDescent="0.2">
      <c r="B318" s="34"/>
      <c r="K318" s="3"/>
    </row>
    <row r="319" spans="2:11" ht="12.75" x14ac:dyDescent="0.2">
      <c r="B319" s="34"/>
      <c r="K319" s="3"/>
    </row>
    <row r="320" spans="2:11" ht="12.75" x14ac:dyDescent="0.2">
      <c r="B320" s="34"/>
      <c r="K320" s="3"/>
    </row>
    <row r="321" spans="2:11" ht="12.75" x14ac:dyDescent="0.2">
      <c r="B321" s="34"/>
      <c r="K321" s="3"/>
    </row>
    <row r="322" spans="2:11" ht="12.75" x14ac:dyDescent="0.2">
      <c r="B322" s="34"/>
      <c r="K322" s="3"/>
    </row>
    <row r="323" spans="2:11" ht="12.75" x14ac:dyDescent="0.2">
      <c r="B323" s="34"/>
      <c r="K323" s="3"/>
    </row>
    <row r="324" spans="2:11" ht="12.75" x14ac:dyDescent="0.2">
      <c r="B324" s="34"/>
      <c r="K324" s="3"/>
    </row>
    <row r="325" spans="2:11" ht="12.75" x14ac:dyDescent="0.2">
      <c r="B325" s="34"/>
      <c r="K325" s="3"/>
    </row>
    <row r="326" spans="2:11" ht="12.75" x14ac:dyDescent="0.2">
      <c r="B326" s="34"/>
      <c r="K326" s="3"/>
    </row>
    <row r="327" spans="2:11" ht="12.75" x14ac:dyDescent="0.2">
      <c r="B327" s="34"/>
      <c r="K327" s="3"/>
    </row>
    <row r="328" spans="2:11" ht="12.75" x14ac:dyDescent="0.2">
      <c r="B328" s="34"/>
      <c r="K328" s="3"/>
    </row>
    <row r="329" spans="2:11" ht="12.75" x14ac:dyDescent="0.2">
      <c r="B329" s="34"/>
      <c r="K329" s="3"/>
    </row>
    <row r="330" spans="2:11" ht="12.75" x14ac:dyDescent="0.2">
      <c r="B330" s="34"/>
      <c r="K330" s="3"/>
    </row>
    <row r="331" spans="2:11" ht="12.75" x14ac:dyDescent="0.2">
      <c r="B331" s="34"/>
      <c r="K331" s="3"/>
    </row>
    <row r="332" spans="2:11" ht="12.75" x14ac:dyDescent="0.2">
      <c r="B332" s="34"/>
      <c r="K332" s="3"/>
    </row>
    <row r="333" spans="2:11" ht="12.75" x14ac:dyDescent="0.2">
      <c r="B333" s="34"/>
      <c r="K333" s="3"/>
    </row>
    <row r="334" spans="2:11" ht="12.75" x14ac:dyDescent="0.2">
      <c r="B334" s="34"/>
      <c r="K334" s="3"/>
    </row>
    <row r="335" spans="2:11" ht="12.75" x14ac:dyDescent="0.2">
      <c r="B335" s="34"/>
      <c r="K335" s="3"/>
    </row>
    <row r="336" spans="2:11" ht="12.75" x14ac:dyDescent="0.2">
      <c r="B336" s="34"/>
      <c r="K336" s="3"/>
    </row>
    <row r="337" spans="2:11" ht="12.75" x14ac:dyDescent="0.2">
      <c r="B337" s="34"/>
      <c r="K337" s="3"/>
    </row>
    <row r="338" spans="2:11" ht="12.75" x14ac:dyDescent="0.2">
      <c r="B338" s="34"/>
      <c r="K338" s="3"/>
    </row>
    <row r="339" spans="2:11" ht="12.75" x14ac:dyDescent="0.2">
      <c r="B339" s="34"/>
      <c r="K339" s="3"/>
    </row>
    <row r="340" spans="2:11" ht="12.75" x14ac:dyDescent="0.2">
      <c r="B340" s="34"/>
      <c r="K340" s="3"/>
    </row>
    <row r="341" spans="2:11" ht="12.75" x14ac:dyDescent="0.2">
      <c r="B341" s="34"/>
      <c r="K341" s="3"/>
    </row>
    <row r="342" spans="2:11" ht="12.75" x14ac:dyDescent="0.2">
      <c r="B342" s="34"/>
      <c r="K342" s="3"/>
    </row>
    <row r="343" spans="2:11" ht="12.75" x14ac:dyDescent="0.2">
      <c r="B343" s="34"/>
      <c r="K343" s="3"/>
    </row>
    <row r="344" spans="2:11" ht="12.75" x14ac:dyDescent="0.2">
      <c r="B344" s="34"/>
      <c r="K344" s="3"/>
    </row>
    <row r="345" spans="2:11" ht="12.75" x14ac:dyDescent="0.2">
      <c r="B345" s="34"/>
      <c r="K345" s="3"/>
    </row>
    <row r="346" spans="2:11" ht="12.75" x14ac:dyDescent="0.2">
      <c r="B346" s="34"/>
      <c r="K346" s="3"/>
    </row>
    <row r="347" spans="2:11" ht="12.75" x14ac:dyDescent="0.2">
      <c r="B347" s="34"/>
      <c r="K347" s="3"/>
    </row>
    <row r="348" spans="2:11" ht="12.75" x14ac:dyDescent="0.2">
      <c r="B348" s="34"/>
      <c r="K348" s="3"/>
    </row>
    <row r="349" spans="2:11" ht="12.75" x14ac:dyDescent="0.2">
      <c r="B349" s="34"/>
      <c r="K349" s="3"/>
    </row>
    <row r="350" spans="2:11" ht="12.75" x14ac:dyDescent="0.2">
      <c r="B350" s="34"/>
      <c r="K350" s="3"/>
    </row>
    <row r="351" spans="2:11" ht="12.75" x14ac:dyDescent="0.2">
      <c r="B351" s="34"/>
      <c r="K351" s="3"/>
    </row>
    <row r="352" spans="2:11" ht="12.75" x14ac:dyDescent="0.2">
      <c r="B352" s="34"/>
      <c r="K352" s="3"/>
    </row>
    <row r="353" spans="2:11" ht="12.75" x14ac:dyDescent="0.2">
      <c r="B353" s="34"/>
      <c r="K353" s="3"/>
    </row>
    <row r="354" spans="2:11" ht="12.75" x14ac:dyDescent="0.2">
      <c r="B354" s="34"/>
      <c r="K354" s="3"/>
    </row>
    <row r="355" spans="2:11" ht="12.75" x14ac:dyDescent="0.2">
      <c r="B355" s="34"/>
      <c r="K355" s="3"/>
    </row>
    <row r="356" spans="2:11" ht="12.75" x14ac:dyDescent="0.2">
      <c r="B356" s="34"/>
      <c r="K356" s="3"/>
    </row>
    <row r="357" spans="2:11" ht="12.75" x14ac:dyDescent="0.2">
      <c r="B357" s="34"/>
      <c r="K357" s="3"/>
    </row>
    <row r="358" spans="2:11" ht="12.75" x14ac:dyDescent="0.2">
      <c r="B358" s="34"/>
      <c r="K358" s="3"/>
    </row>
    <row r="359" spans="2:11" ht="12.75" x14ac:dyDescent="0.2">
      <c r="B359" s="34"/>
      <c r="K359" s="3"/>
    </row>
    <row r="360" spans="2:11" ht="12.75" x14ac:dyDescent="0.2">
      <c r="B360" s="34"/>
      <c r="K360" s="3"/>
    </row>
    <row r="361" spans="2:11" ht="12.75" x14ac:dyDescent="0.2">
      <c r="B361" s="34"/>
      <c r="K361" s="3"/>
    </row>
    <row r="362" spans="2:11" ht="12.75" x14ac:dyDescent="0.2">
      <c r="B362" s="34"/>
      <c r="K362" s="3"/>
    </row>
    <row r="363" spans="2:11" ht="12.75" x14ac:dyDescent="0.2">
      <c r="B363" s="34"/>
      <c r="K363" s="3"/>
    </row>
    <row r="364" spans="2:11" ht="12.75" x14ac:dyDescent="0.2">
      <c r="B364" s="34"/>
      <c r="K364" s="3"/>
    </row>
    <row r="365" spans="2:11" ht="12.75" x14ac:dyDescent="0.2">
      <c r="B365" s="34"/>
      <c r="K365" s="3"/>
    </row>
    <row r="366" spans="2:11" ht="12.75" x14ac:dyDescent="0.2">
      <c r="B366" s="34"/>
      <c r="K366" s="3"/>
    </row>
    <row r="367" spans="2:11" ht="12.75" x14ac:dyDescent="0.2">
      <c r="B367" s="34"/>
      <c r="K367" s="3"/>
    </row>
    <row r="368" spans="2:11" ht="12.75" x14ac:dyDescent="0.2">
      <c r="B368" s="34"/>
      <c r="K368" s="3"/>
    </row>
    <row r="369" spans="2:11" ht="12.75" x14ac:dyDescent="0.2">
      <c r="B369" s="34"/>
      <c r="K369" s="3"/>
    </row>
    <row r="370" spans="2:11" ht="12.75" x14ac:dyDescent="0.2">
      <c r="B370" s="34"/>
      <c r="K370" s="3"/>
    </row>
    <row r="371" spans="2:11" ht="12.75" x14ac:dyDescent="0.2">
      <c r="B371" s="34"/>
      <c r="K371" s="3"/>
    </row>
    <row r="372" spans="2:11" ht="12.75" x14ac:dyDescent="0.2">
      <c r="B372" s="34"/>
      <c r="K372" s="3"/>
    </row>
    <row r="373" spans="2:11" ht="12.75" x14ac:dyDescent="0.2">
      <c r="B373" s="34"/>
      <c r="K373" s="3"/>
    </row>
    <row r="374" spans="2:11" ht="12.75" x14ac:dyDescent="0.2">
      <c r="B374" s="34"/>
      <c r="K374" s="3"/>
    </row>
    <row r="375" spans="2:11" ht="12.75" x14ac:dyDescent="0.2">
      <c r="B375" s="34"/>
      <c r="K375" s="3"/>
    </row>
    <row r="376" spans="2:11" ht="12.75" x14ac:dyDescent="0.2">
      <c r="B376" s="34"/>
      <c r="K376" s="3"/>
    </row>
    <row r="377" spans="2:11" ht="12.75" x14ac:dyDescent="0.2">
      <c r="B377" s="34"/>
      <c r="K377" s="3"/>
    </row>
    <row r="378" spans="2:11" ht="12.75" x14ac:dyDescent="0.2">
      <c r="B378" s="34"/>
      <c r="K378" s="3"/>
    </row>
    <row r="379" spans="2:11" ht="12.75" x14ac:dyDescent="0.2">
      <c r="B379" s="34"/>
      <c r="K379" s="3"/>
    </row>
    <row r="380" spans="2:11" ht="12.75" x14ac:dyDescent="0.2">
      <c r="B380" s="34"/>
      <c r="K380" s="3"/>
    </row>
    <row r="381" spans="2:11" ht="12.75" x14ac:dyDescent="0.2">
      <c r="B381" s="34"/>
      <c r="K381" s="3"/>
    </row>
    <row r="382" spans="2:11" ht="12.75" x14ac:dyDescent="0.2">
      <c r="B382" s="34"/>
      <c r="K382" s="3"/>
    </row>
    <row r="383" spans="2:11" ht="12.75" x14ac:dyDescent="0.2">
      <c r="B383" s="34"/>
      <c r="K383" s="3"/>
    </row>
    <row r="384" spans="2:11" ht="12.75" x14ac:dyDescent="0.2">
      <c r="B384" s="34"/>
      <c r="K384" s="3"/>
    </row>
    <row r="385" spans="2:11" ht="12.75" x14ac:dyDescent="0.2">
      <c r="B385" s="34"/>
      <c r="K385" s="3"/>
    </row>
    <row r="386" spans="2:11" ht="12.75" x14ac:dyDescent="0.2">
      <c r="B386" s="34"/>
      <c r="K386" s="3"/>
    </row>
    <row r="387" spans="2:11" ht="12.75" x14ac:dyDescent="0.2">
      <c r="B387" s="34"/>
      <c r="K387" s="3"/>
    </row>
    <row r="388" spans="2:11" ht="12.75" x14ac:dyDescent="0.2">
      <c r="B388" s="34"/>
      <c r="K388" s="3"/>
    </row>
    <row r="389" spans="2:11" ht="12.75" x14ac:dyDescent="0.2">
      <c r="B389" s="34"/>
      <c r="K389" s="3"/>
    </row>
    <row r="390" spans="2:11" ht="12.75" x14ac:dyDescent="0.2">
      <c r="B390" s="34"/>
      <c r="K390" s="3"/>
    </row>
    <row r="391" spans="2:11" ht="12.75" x14ac:dyDescent="0.2">
      <c r="B391" s="34"/>
      <c r="K391" s="3"/>
    </row>
    <row r="392" spans="2:11" ht="12.75" x14ac:dyDescent="0.2">
      <c r="B392" s="34"/>
      <c r="K392" s="3"/>
    </row>
    <row r="393" spans="2:11" ht="12.75" x14ac:dyDescent="0.2">
      <c r="B393" s="34"/>
      <c r="K393" s="3"/>
    </row>
    <row r="394" spans="2:11" ht="12.75" x14ac:dyDescent="0.2">
      <c r="B394" s="34"/>
      <c r="K394" s="3"/>
    </row>
    <row r="395" spans="2:11" ht="12.75" x14ac:dyDescent="0.2">
      <c r="B395" s="34"/>
      <c r="K395" s="3"/>
    </row>
    <row r="396" spans="2:11" ht="12.75" x14ac:dyDescent="0.2">
      <c r="B396" s="34"/>
      <c r="K396" s="3"/>
    </row>
    <row r="397" spans="2:11" ht="12.75" x14ac:dyDescent="0.2">
      <c r="B397" s="34"/>
      <c r="K397" s="3"/>
    </row>
    <row r="398" spans="2:11" ht="12.75" x14ac:dyDescent="0.2">
      <c r="B398" s="34"/>
      <c r="K398" s="3"/>
    </row>
    <row r="399" spans="2:11" ht="12.75" x14ac:dyDescent="0.2">
      <c r="B399" s="34"/>
      <c r="K399" s="3"/>
    </row>
    <row r="400" spans="2:11" ht="12.75" x14ac:dyDescent="0.2">
      <c r="B400" s="34"/>
      <c r="K400" s="3"/>
    </row>
    <row r="401" spans="2:11" ht="12.75" x14ac:dyDescent="0.2">
      <c r="B401" s="34"/>
      <c r="K401" s="3"/>
    </row>
    <row r="402" spans="2:11" ht="12.75" x14ac:dyDescent="0.2">
      <c r="B402" s="34"/>
      <c r="K402" s="3"/>
    </row>
    <row r="403" spans="2:11" ht="12.75" x14ac:dyDescent="0.2">
      <c r="B403" s="34"/>
      <c r="K403" s="3"/>
    </row>
    <row r="404" spans="2:11" ht="12.75" x14ac:dyDescent="0.2">
      <c r="B404" s="34"/>
      <c r="K404" s="3"/>
    </row>
    <row r="405" spans="2:11" ht="12.75" x14ac:dyDescent="0.2">
      <c r="B405" s="34"/>
      <c r="K405" s="3"/>
    </row>
    <row r="406" spans="2:11" ht="12.75" x14ac:dyDescent="0.2">
      <c r="B406" s="34"/>
      <c r="K406" s="3"/>
    </row>
    <row r="407" spans="2:11" ht="12.75" x14ac:dyDescent="0.2">
      <c r="B407" s="34"/>
      <c r="K407" s="3"/>
    </row>
    <row r="408" spans="2:11" ht="12.75" x14ac:dyDescent="0.2">
      <c r="B408" s="34"/>
      <c r="K408" s="3"/>
    </row>
    <row r="409" spans="2:11" ht="12.75" x14ac:dyDescent="0.2">
      <c r="B409" s="34"/>
      <c r="K409" s="3"/>
    </row>
    <row r="410" spans="2:11" ht="12.75" x14ac:dyDescent="0.2">
      <c r="B410" s="34"/>
      <c r="K410" s="3"/>
    </row>
    <row r="411" spans="2:11" ht="12.75" x14ac:dyDescent="0.2">
      <c r="B411" s="34"/>
      <c r="K411" s="3"/>
    </row>
    <row r="412" spans="2:11" ht="12.75" x14ac:dyDescent="0.2">
      <c r="B412" s="34"/>
      <c r="K412" s="3"/>
    </row>
    <row r="413" spans="2:11" ht="12.75" x14ac:dyDescent="0.2">
      <c r="B413" s="34"/>
      <c r="K413" s="3"/>
    </row>
    <row r="414" spans="2:11" ht="12.75" x14ac:dyDescent="0.2">
      <c r="B414" s="34"/>
      <c r="K414" s="3"/>
    </row>
    <row r="415" spans="2:11" ht="12.75" x14ac:dyDescent="0.2">
      <c r="B415" s="34"/>
      <c r="K415" s="3"/>
    </row>
    <row r="416" spans="2:11" ht="12.75" x14ac:dyDescent="0.2">
      <c r="B416" s="34"/>
      <c r="K416" s="3"/>
    </row>
    <row r="417" spans="2:11" ht="12.75" x14ac:dyDescent="0.2">
      <c r="B417" s="34"/>
      <c r="K417" s="3"/>
    </row>
    <row r="418" spans="2:11" ht="12.75" x14ac:dyDescent="0.2">
      <c r="B418" s="34"/>
      <c r="K418" s="3"/>
    </row>
    <row r="419" spans="2:11" ht="12.75" x14ac:dyDescent="0.2">
      <c r="B419" s="34"/>
      <c r="K419" s="3"/>
    </row>
    <row r="420" spans="2:11" ht="12.75" x14ac:dyDescent="0.2">
      <c r="B420" s="34"/>
      <c r="K420" s="3"/>
    </row>
    <row r="421" spans="2:11" ht="12.75" x14ac:dyDescent="0.2">
      <c r="B421" s="34"/>
      <c r="K421" s="3"/>
    </row>
    <row r="422" spans="2:11" ht="12.75" x14ac:dyDescent="0.2">
      <c r="B422" s="34"/>
      <c r="K422" s="3"/>
    </row>
    <row r="423" spans="2:11" ht="12.75" x14ac:dyDescent="0.2">
      <c r="B423" s="34"/>
      <c r="K423" s="3"/>
    </row>
    <row r="424" spans="2:11" ht="12.75" x14ac:dyDescent="0.2">
      <c r="B424" s="34"/>
      <c r="K424" s="3"/>
    </row>
    <row r="425" spans="2:11" ht="12.75" x14ac:dyDescent="0.2">
      <c r="B425" s="34"/>
      <c r="K425" s="3"/>
    </row>
    <row r="426" spans="2:11" ht="12.75" x14ac:dyDescent="0.2">
      <c r="B426" s="34"/>
      <c r="K426" s="3"/>
    </row>
    <row r="427" spans="2:11" ht="12.75" x14ac:dyDescent="0.2">
      <c r="B427" s="34"/>
      <c r="K427" s="3"/>
    </row>
    <row r="428" spans="2:11" ht="12.75" x14ac:dyDescent="0.2">
      <c r="B428" s="34"/>
      <c r="K428" s="3"/>
    </row>
    <row r="429" spans="2:11" ht="12.75" x14ac:dyDescent="0.2">
      <c r="B429" s="34"/>
      <c r="K429" s="3"/>
    </row>
    <row r="430" spans="2:11" ht="12.75" x14ac:dyDescent="0.2">
      <c r="B430" s="34"/>
      <c r="K430" s="3"/>
    </row>
    <row r="431" spans="2:11" ht="12.75" x14ac:dyDescent="0.2">
      <c r="B431" s="34"/>
      <c r="K431" s="3"/>
    </row>
    <row r="432" spans="2:11" ht="12.75" x14ac:dyDescent="0.2">
      <c r="B432" s="34"/>
      <c r="K432" s="3"/>
    </row>
    <row r="433" spans="2:11" ht="12.75" x14ac:dyDescent="0.2">
      <c r="B433" s="34"/>
      <c r="K433" s="3"/>
    </row>
    <row r="434" spans="2:11" ht="12.75" x14ac:dyDescent="0.2">
      <c r="B434" s="34"/>
      <c r="K434" s="3"/>
    </row>
    <row r="435" spans="2:11" ht="12.75" x14ac:dyDescent="0.2">
      <c r="B435" s="34"/>
      <c r="K435" s="3"/>
    </row>
    <row r="436" spans="2:11" ht="12.75" x14ac:dyDescent="0.2">
      <c r="B436" s="34"/>
      <c r="K436" s="3"/>
    </row>
    <row r="437" spans="2:11" ht="12.75" x14ac:dyDescent="0.2">
      <c r="B437" s="34"/>
      <c r="K437" s="3"/>
    </row>
    <row r="438" spans="2:11" ht="12.75" x14ac:dyDescent="0.2">
      <c r="B438" s="34"/>
      <c r="K438" s="3"/>
    </row>
    <row r="439" spans="2:11" ht="12.75" x14ac:dyDescent="0.2">
      <c r="B439" s="34"/>
      <c r="K439" s="3"/>
    </row>
    <row r="440" spans="2:11" ht="12.75" x14ac:dyDescent="0.2">
      <c r="B440" s="34"/>
      <c r="K440" s="3"/>
    </row>
    <row r="441" spans="2:11" ht="12.75" x14ac:dyDescent="0.2">
      <c r="B441" s="34"/>
      <c r="K441" s="3"/>
    </row>
    <row r="442" spans="2:11" ht="12.75" x14ac:dyDescent="0.2">
      <c r="B442" s="34"/>
      <c r="K442" s="3"/>
    </row>
    <row r="443" spans="2:11" ht="12.75" x14ac:dyDescent="0.2">
      <c r="B443" s="34"/>
      <c r="K443" s="3"/>
    </row>
    <row r="444" spans="2:11" ht="12.75" x14ac:dyDescent="0.2">
      <c r="B444" s="34"/>
      <c r="K444" s="3"/>
    </row>
    <row r="445" spans="2:11" ht="12.75" x14ac:dyDescent="0.2">
      <c r="B445" s="34"/>
      <c r="K445" s="3"/>
    </row>
    <row r="446" spans="2:11" ht="12.75" x14ac:dyDescent="0.2">
      <c r="B446" s="34"/>
      <c r="K446" s="3"/>
    </row>
    <row r="447" spans="2:11" ht="12.75" x14ac:dyDescent="0.2">
      <c r="B447" s="34"/>
      <c r="K447" s="3"/>
    </row>
    <row r="448" spans="2:11" ht="12.75" x14ac:dyDescent="0.2">
      <c r="B448" s="34"/>
      <c r="K448" s="3"/>
    </row>
    <row r="449" spans="2:11" ht="12.75" x14ac:dyDescent="0.2">
      <c r="B449" s="34"/>
      <c r="K449" s="3"/>
    </row>
    <row r="450" spans="2:11" ht="12.75" x14ac:dyDescent="0.2">
      <c r="B450" s="34"/>
      <c r="K450" s="3"/>
    </row>
    <row r="451" spans="2:11" ht="12.75" x14ac:dyDescent="0.2">
      <c r="B451" s="34"/>
      <c r="K451" s="3"/>
    </row>
    <row r="452" spans="2:11" ht="12.75" x14ac:dyDescent="0.2">
      <c r="B452" s="34"/>
      <c r="K452" s="3"/>
    </row>
    <row r="453" spans="2:11" ht="12.75" x14ac:dyDescent="0.2">
      <c r="B453" s="34"/>
      <c r="K453" s="3"/>
    </row>
    <row r="454" spans="2:11" ht="12.75" x14ac:dyDescent="0.2">
      <c r="B454" s="34"/>
      <c r="K454" s="3"/>
    </row>
    <row r="455" spans="2:11" ht="12.75" x14ac:dyDescent="0.2">
      <c r="B455" s="34"/>
      <c r="K455" s="3"/>
    </row>
    <row r="456" spans="2:11" ht="12.75" x14ac:dyDescent="0.2">
      <c r="B456" s="34"/>
      <c r="K456" s="3"/>
    </row>
    <row r="457" spans="2:11" ht="12.75" x14ac:dyDescent="0.2">
      <c r="B457" s="34"/>
      <c r="K457" s="3"/>
    </row>
    <row r="458" spans="2:11" ht="12.75" x14ac:dyDescent="0.2">
      <c r="B458" s="34"/>
      <c r="K458" s="3"/>
    </row>
    <row r="459" spans="2:11" ht="12.75" x14ac:dyDescent="0.2">
      <c r="B459" s="34"/>
      <c r="K459" s="3"/>
    </row>
    <row r="460" spans="2:11" ht="12.75" x14ac:dyDescent="0.2">
      <c r="B460" s="34"/>
      <c r="K460" s="3"/>
    </row>
    <row r="461" spans="2:11" ht="12.75" x14ac:dyDescent="0.2">
      <c r="B461" s="34"/>
      <c r="K461" s="3"/>
    </row>
    <row r="462" spans="2:11" ht="12.75" x14ac:dyDescent="0.2">
      <c r="B462" s="34"/>
      <c r="K462" s="3"/>
    </row>
    <row r="463" spans="2:11" ht="12.75" x14ac:dyDescent="0.2">
      <c r="B463" s="34"/>
      <c r="K463" s="3"/>
    </row>
    <row r="464" spans="2:11" ht="12.75" x14ac:dyDescent="0.2">
      <c r="B464" s="34"/>
      <c r="K464" s="3"/>
    </row>
    <row r="465" spans="2:11" ht="12.75" x14ac:dyDescent="0.2">
      <c r="B465" s="34"/>
      <c r="K465" s="3"/>
    </row>
    <row r="466" spans="2:11" ht="12.75" x14ac:dyDescent="0.2">
      <c r="B466" s="34"/>
      <c r="K466" s="3"/>
    </row>
    <row r="467" spans="2:11" ht="12.75" x14ac:dyDescent="0.2">
      <c r="B467" s="34"/>
      <c r="K467" s="3"/>
    </row>
    <row r="468" spans="2:11" ht="12.75" x14ac:dyDescent="0.2">
      <c r="B468" s="34"/>
      <c r="K468" s="3"/>
    </row>
    <row r="469" spans="2:11" ht="12.75" x14ac:dyDescent="0.2">
      <c r="B469" s="34"/>
      <c r="K469" s="3"/>
    </row>
    <row r="470" spans="2:11" ht="12.75" x14ac:dyDescent="0.2">
      <c r="B470" s="34"/>
      <c r="K470" s="3"/>
    </row>
    <row r="471" spans="2:11" ht="12.75" x14ac:dyDescent="0.2">
      <c r="B471" s="34"/>
      <c r="K471" s="3"/>
    </row>
    <row r="472" spans="2:11" ht="12.75" x14ac:dyDescent="0.2">
      <c r="B472" s="34"/>
      <c r="K472" s="3"/>
    </row>
    <row r="473" spans="2:11" ht="12.75" x14ac:dyDescent="0.2">
      <c r="B473" s="34"/>
      <c r="K473" s="3"/>
    </row>
    <row r="474" spans="2:11" ht="12.75" x14ac:dyDescent="0.2">
      <c r="B474" s="34"/>
      <c r="K474" s="3"/>
    </row>
    <row r="475" spans="2:11" ht="12.75" x14ac:dyDescent="0.2">
      <c r="B475" s="34"/>
      <c r="K475" s="3"/>
    </row>
    <row r="476" spans="2:11" ht="12.75" x14ac:dyDescent="0.2">
      <c r="B476" s="34"/>
      <c r="K476" s="3"/>
    </row>
    <row r="477" spans="2:11" ht="12.75" x14ac:dyDescent="0.2">
      <c r="B477" s="34"/>
      <c r="K477" s="3"/>
    </row>
    <row r="478" spans="2:11" ht="12.75" x14ac:dyDescent="0.2">
      <c r="B478" s="34"/>
      <c r="K478" s="3"/>
    </row>
    <row r="479" spans="2:11" ht="12.75" x14ac:dyDescent="0.2">
      <c r="B479" s="34"/>
      <c r="K479" s="3"/>
    </row>
    <row r="480" spans="2:11" ht="12.75" x14ac:dyDescent="0.2">
      <c r="B480" s="34"/>
      <c r="K480" s="3"/>
    </row>
    <row r="481" spans="2:11" ht="12.75" x14ac:dyDescent="0.2">
      <c r="B481" s="34"/>
      <c r="K481" s="3"/>
    </row>
    <row r="482" spans="2:11" ht="12.75" x14ac:dyDescent="0.2">
      <c r="B482" s="34"/>
      <c r="K482" s="3"/>
    </row>
    <row r="483" spans="2:11" ht="12.75" x14ac:dyDescent="0.2">
      <c r="B483" s="34"/>
      <c r="K483" s="3"/>
    </row>
    <row r="484" spans="2:11" ht="12.75" x14ac:dyDescent="0.2">
      <c r="B484" s="34"/>
      <c r="K484" s="3"/>
    </row>
    <row r="485" spans="2:11" ht="12.75" x14ac:dyDescent="0.2">
      <c r="B485" s="34"/>
      <c r="K485" s="3"/>
    </row>
    <row r="486" spans="2:11" ht="12.75" x14ac:dyDescent="0.2">
      <c r="B486" s="34"/>
      <c r="K486" s="3"/>
    </row>
    <row r="487" spans="2:11" ht="12.75" x14ac:dyDescent="0.2">
      <c r="B487" s="34"/>
      <c r="K487" s="3"/>
    </row>
    <row r="488" spans="2:11" ht="12.75" x14ac:dyDescent="0.2">
      <c r="B488" s="34"/>
      <c r="K488" s="3"/>
    </row>
    <row r="489" spans="2:11" ht="12.75" x14ac:dyDescent="0.2">
      <c r="B489" s="34"/>
      <c r="K489" s="3"/>
    </row>
    <row r="490" spans="2:11" ht="12.75" x14ac:dyDescent="0.2">
      <c r="B490" s="34"/>
      <c r="K490" s="3"/>
    </row>
    <row r="491" spans="2:11" ht="12.75" x14ac:dyDescent="0.2">
      <c r="B491" s="34"/>
      <c r="K491" s="3"/>
    </row>
    <row r="492" spans="2:11" ht="12.75" x14ac:dyDescent="0.2">
      <c r="B492" s="34"/>
      <c r="K492" s="3"/>
    </row>
    <row r="493" spans="2:11" ht="12.75" x14ac:dyDescent="0.2">
      <c r="B493" s="34"/>
      <c r="K493" s="3"/>
    </row>
    <row r="494" spans="2:11" ht="12.75" x14ac:dyDescent="0.2">
      <c r="B494" s="34"/>
      <c r="K494" s="3"/>
    </row>
    <row r="495" spans="2:11" ht="12.75" x14ac:dyDescent="0.2">
      <c r="B495" s="34"/>
      <c r="K495" s="3"/>
    </row>
    <row r="496" spans="2:11" ht="12.75" x14ac:dyDescent="0.2">
      <c r="B496" s="34"/>
      <c r="K496" s="3"/>
    </row>
    <row r="497" spans="2:11" ht="12.75" x14ac:dyDescent="0.2">
      <c r="B497" s="34"/>
      <c r="K497" s="3"/>
    </row>
    <row r="498" spans="2:11" ht="12.75" x14ac:dyDescent="0.2">
      <c r="B498" s="34"/>
      <c r="K498" s="3"/>
    </row>
    <row r="499" spans="2:11" ht="12.75" x14ac:dyDescent="0.2">
      <c r="B499" s="34"/>
      <c r="K499" s="3"/>
    </row>
    <row r="500" spans="2:11" ht="12.75" x14ac:dyDescent="0.2">
      <c r="B500" s="34"/>
      <c r="K500" s="3"/>
    </row>
    <row r="501" spans="2:11" ht="12.75" x14ac:dyDescent="0.2">
      <c r="B501" s="34"/>
      <c r="K501" s="3"/>
    </row>
    <row r="502" spans="2:11" ht="12.75" x14ac:dyDescent="0.2">
      <c r="B502" s="34"/>
      <c r="K502" s="3"/>
    </row>
    <row r="503" spans="2:11" ht="12.75" x14ac:dyDescent="0.2">
      <c r="B503" s="34"/>
      <c r="K503" s="3"/>
    </row>
    <row r="504" spans="2:11" ht="12.75" x14ac:dyDescent="0.2">
      <c r="B504" s="34"/>
      <c r="K504" s="3"/>
    </row>
    <row r="505" spans="2:11" ht="12.75" x14ac:dyDescent="0.2">
      <c r="B505" s="34"/>
      <c r="K505" s="3"/>
    </row>
    <row r="506" spans="2:11" ht="12.75" x14ac:dyDescent="0.2">
      <c r="B506" s="34"/>
      <c r="K506" s="3"/>
    </row>
    <row r="507" spans="2:11" ht="12.75" x14ac:dyDescent="0.2">
      <c r="B507" s="34"/>
      <c r="K507" s="3"/>
    </row>
    <row r="508" spans="2:11" ht="12.75" x14ac:dyDescent="0.2">
      <c r="B508" s="34"/>
      <c r="K508" s="3"/>
    </row>
    <row r="509" spans="2:11" ht="12.75" x14ac:dyDescent="0.2">
      <c r="B509" s="34"/>
      <c r="K509" s="3"/>
    </row>
    <row r="510" spans="2:11" ht="12.75" x14ac:dyDescent="0.2">
      <c r="B510" s="34"/>
      <c r="K510" s="3"/>
    </row>
    <row r="511" spans="2:11" ht="12.75" x14ac:dyDescent="0.2">
      <c r="B511" s="34"/>
      <c r="K511" s="3"/>
    </row>
    <row r="512" spans="2:11" ht="12.75" x14ac:dyDescent="0.2">
      <c r="B512" s="34"/>
      <c r="K512" s="3"/>
    </row>
    <row r="513" spans="2:11" ht="12.75" x14ac:dyDescent="0.2">
      <c r="B513" s="34"/>
      <c r="K513" s="3"/>
    </row>
    <row r="514" spans="2:11" ht="12.75" x14ac:dyDescent="0.2">
      <c r="B514" s="34"/>
      <c r="K514" s="3"/>
    </row>
    <row r="515" spans="2:11" ht="12.75" x14ac:dyDescent="0.2">
      <c r="B515" s="34"/>
      <c r="K515" s="3"/>
    </row>
    <row r="516" spans="2:11" ht="12.75" x14ac:dyDescent="0.2">
      <c r="B516" s="34"/>
      <c r="K516" s="3"/>
    </row>
    <row r="517" spans="2:11" ht="12.75" x14ac:dyDescent="0.2">
      <c r="B517" s="34"/>
      <c r="K517" s="3"/>
    </row>
    <row r="518" spans="2:11" ht="12.75" x14ac:dyDescent="0.2">
      <c r="B518" s="34"/>
      <c r="K518" s="3"/>
    </row>
    <row r="519" spans="2:11" ht="12.75" x14ac:dyDescent="0.2">
      <c r="B519" s="34"/>
      <c r="K519" s="3"/>
    </row>
    <row r="520" spans="2:11" ht="12.75" x14ac:dyDescent="0.2">
      <c r="B520" s="34"/>
      <c r="K520" s="3"/>
    </row>
    <row r="521" spans="2:11" ht="12.75" x14ac:dyDescent="0.2">
      <c r="B521" s="34"/>
      <c r="K521" s="3"/>
    </row>
    <row r="522" spans="2:11" ht="12.75" x14ac:dyDescent="0.2">
      <c r="B522" s="34"/>
      <c r="K522" s="3"/>
    </row>
    <row r="523" spans="2:11" ht="12.75" x14ac:dyDescent="0.2">
      <c r="B523" s="34"/>
      <c r="K523" s="3"/>
    </row>
    <row r="524" spans="2:11" ht="12.75" x14ac:dyDescent="0.2">
      <c r="B524" s="34"/>
      <c r="K524" s="3"/>
    </row>
    <row r="525" spans="2:11" ht="12.75" x14ac:dyDescent="0.2">
      <c r="B525" s="34"/>
      <c r="K525" s="3"/>
    </row>
    <row r="526" spans="2:11" ht="12.75" x14ac:dyDescent="0.2">
      <c r="B526" s="34"/>
      <c r="K526" s="3"/>
    </row>
    <row r="527" spans="2:11" ht="12.75" x14ac:dyDescent="0.2">
      <c r="B527" s="34"/>
      <c r="K527" s="3"/>
    </row>
    <row r="528" spans="2:11" ht="12.75" x14ac:dyDescent="0.2">
      <c r="B528" s="34"/>
      <c r="K528" s="3"/>
    </row>
    <row r="529" spans="2:11" ht="12.75" x14ac:dyDescent="0.2">
      <c r="B529" s="34"/>
      <c r="K529" s="3"/>
    </row>
    <row r="530" spans="2:11" ht="12.75" x14ac:dyDescent="0.2">
      <c r="B530" s="34"/>
      <c r="K530" s="3"/>
    </row>
    <row r="531" spans="2:11" ht="12.75" x14ac:dyDescent="0.2">
      <c r="B531" s="34"/>
      <c r="K531" s="3"/>
    </row>
    <row r="532" spans="2:11" ht="12.75" x14ac:dyDescent="0.2">
      <c r="B532" s="34"/>
      <c r="K532" s="3"/>
    </row>
    <row r="533" spans="2:11" ht="12.75" x14ac:dyDescent="0.2">
      <c r="B533" s="34"/>
      <c r="K533" s="3"/>
    </row>
    <row r="534" spans="2:11" ht="12.75" x14ac:dyDescent="0.2">
      <c r="B534" s="34"/>
      <c r="K534" s="3"/>
    </row>
    <row r="535" spans="2:11" ht="12.75" x14ac:dyDescent="0.2">
      <c r="B535" s="34"/>
      <c r="K535" s="3"/>
    </row>
    <row r="536" spans="2:11" ht="12.75" x14ac:dyDescent="0.2">
      <c r="B536" s="34"/>
      <c r="K536" s="3"/>
    </row>
    <row r="537" spans="2:11" ht="12.75" x14ac:dyDescent="0.2">
      <c r="B537" s="34"/>
      <c r="K537" s="3"/>
    </row>
    <row r="538" spans="2:11" ht="12.75" x14ac:dyDescent="0.2">
      <c r="B538" s="34"/>
      <c r="K538" s="3"/>
    </row>
    <row r="539" spans="2:11" ht="12.75" x14ac:dyDescent="0.2">
      <c r="B539" s="34"/>
      <c r="K539" s="3"/>
    </row>
    <row r="540" spans="2:11" ht="12.75" x14ac:dyDescent="0.2">
      <c r="B540" s="34"/>
      <c r="K540" s="3"/>
    </row>
    <row r="541" spans="2:11" ht="12.75" x14ac:dyDescent="0.2">
      <c r="B541" s="34"/>
      <c r="K541" s="3"/>
    </row>
    <row r="542" spans="2:11" ht="12.75" x14ac:dyDescent="0.2">
      <c r="B542" s="34"/>
      <c r="K542" s="3"/>
    </row>
    <row r="543" spans="2:11" ht="12.75" x14ac:dyDescent="0.2">
      <c r="B543" s="34"/>
      <c r="K543" s="3"/>
    </row>
    <row r="544" spans="2:11" ht="12.75" x14ac:dyDescent="0.2">
      <c r="B544" s="34"/>
      <c r="K544" s="3"/>
    </row>
    <row r="545" spans="2:11" ht="12.75" x14ac:dyDescent="0.2">
      <c r="B545" s="34"/>
      <c r="K545" s="3"/>
    </row>
    <row r="546" spans="2:11" ht="12.75" x14ac:dyDescent="0.2">
      <c r="B546" s="34"/>
      <c r="K546" s="3"/>
    </row>
    <row r="547" spans="2:11" ht="12.75" x14ac:dyDescent="0.2">
      <c r="B547" s="34"/>
      <c r="K547" s="3"/>
    </row>
    <row r="548" spans="2:11" ht="12.75" x14ac:dyDescent="0.2">
      <c r="B548" s="34"/>
      <c r="K548" s="3"/>
    </row>
    <row r="549" spans="2:11" ht="12.75" x14ac:dyDescent="0.2">
      <c r="B549" s="34"/>
      <c r="K549" s="3"/>
    </row>
    <row r="550" spans="2:11" ht="12.75" x14ac:dyDescent="0.2">
      <c r="B550" s="34"/>
      <c r="K550" s="3"/>
    </row>
    <row r="551" spans="2:11" ht="12.75" x14ac:dyDescent="0.2">
      <c r="B551" s="34"/>
      <c r="K551" s="3"/>
    </row>
    <row r="552" spans="2:11" ht="12.75" x14ac:dyDescent="0.2">
      <c r="B552" s="34"/>
      <c r="K552" s="3"/>
    </row>
    <row r="553" spans="2:11" ht="12.75" x14ac:dyDescent="0.2">
      <c r="B553" s="34"/>
      <c r="K553" s="3"/>
    </row>
    <row r="554" spans="2:11" ht="12.75" x14ac:dyDescent="0.2">
      <c r="B554" s="34"/>
      <c r="K554" s="3"/>
    </row>
    <row r="555" spans="2:11" ht="12.75" x14ac:dyDescent="0.2">
      <c r="B555" s="34"/>
      <c r="K555" s="3"/>
    </row>
    <row r="556" spans="2:11" ht="12.75" x14ac:dyDescent="0.2">
      <c r="B556" s="34"/>
      <c r="K556" s="3"/>
    </row>
    <row r="557" spans="2:11" ht="12.75" x14ac:dyDescent="0.2">
      <c r="B557" s="34"/>
      <c r="K557" s="3"/>
    </row>
    <row r="558" spans="2:11" ht="12.75" x14ac:dyDescent="0.2">
      <c r="B558" s="34"/>
      <c r="K558" s="3"/>
    </row>
    <row r="559" spans="2:11" ht="12.75" x14ac:dyDescent="0.2">
      <c r="B559" s="34"/>
      <c r="K559" s="3"/>
    </row>
    <row r="560" spans="2:11" ht="12.75" x14ac:dyDescent="0.2">
      <c r="B560" s="34"/>
      <c r="K56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77"/>
  <sheetViews>
    <sheetView topLeftCell="A35" workbookViewId="0">
      <selection activeCell="B17" sqref="B17"/>
    </sheetView>
  </sheetViews>
  <sheetFormatPr defaultColWidth="12.7109375" defaultRowHeight="15.75" customHeight="1" x14ac:dyDescent="0.2"/>
  <cols>
    <col min="1" max="1" width="7" style="97" customWidth="1"/>
    <col min="2" max="2" width="9.5703125" style="97" customWidth="1"/>
    <col min="3" max="3" width="18.140625" style="133" customWidth="1"/>
    <col min="4" max="5" width="12.7109375" style="97"/>
    <col min="6" max="6" width="33.28515625" customWidth="1"/>
    <col min="9" max="9" width="37.42578125" customWidth="1"/>
  </cols>
  <sheetData>
    <row r="1" spans="1:9" ht="15.75" customHeight="1" x14ac:dyDescent="0.2">
      <c r="A1" s="124" t="s">
        <v>405</v>
      </c>
      <c r="B1" s="124" t="s">
        <v>406</v>
      </c>
      <c r="C1" s="115" t="s">
        <v>407</v>
      </c>
      <c r="D1" s="124" t="s">
        <v>6</v>
      </c>
      <c r="E1" s="124" t="s">
        <v>408</v>
      </c>
      <c r="F1" s="117" t="s">
        <v>419</v>
      </c>
    </row>
    <row r="2" spans="1:9" ht="15.75" customHeight="1" x14ac:dyDescent="0.25">
      <c r="A2" s="125">
        <v>1</v>
      </c>
      <c r="B2" s="128">
        <v>267</v>
      </c>
      <c r="C2" s="107" t="s">
        <v>363</v>
      </c>
      <c r="D2" s="126">
        <v>45733</v>
      </c>
      <c r="E2" s="125">
        <v>1000</v>
      </c>
      <c r="F2" s="116" t="s">
        <v>424</v>
      </c>
      <c r="I2" s="42"/>
    </row>
    <row r="3" spans="1:9" ht="15.75" customHeight="1" x14ac:dyDescent="0.25">
      <c r="A3" s="125">
        <v>2</v>
      </c>
      <c r="B3" s="125">
        <v>268</v>
      </c>
      <c r="C3" s="107" t="s">
        <v>15</v>
      </c>
      <c r="D3" s="126">
        <v>45733</v>
      </c>
      <c r="E3" s="125">
        <v>1000</v>
      </c>
      <c r="F3" s="116"/>
      <c r="I3" s="42"/>
    </row>
    <row r="4" spans="1:9" ht="15.75" customHeight="1" x14ac:dyDescent="0.25">
      <c r="A4" s="125">
        <v>3</v>
      </c>
      <c r="B4" s="128">
        <v>290</v>
      </c>
      <c r="C4" s="107" t="s">
        <v>409</v>
      </c>
      <c r="D4" s="127">
        <v>45748</v>
      </c>
      <c r="E4" s="125">
        <v>1000</v>
      </c>
      <c r="F4" s="116"/>
      <c r="I4" s="42"/>
    </row>
    <row r="5" spans="1:9" ht="15.75" customHeight="1" x14ac:dyDescent="0.25">
      <c r="A5" s="125">
        <v>4</v>
      </c>
      <c r="B5" s="125">
        <v>294</v>
      </c>
      <c r="C5" s="107" t="s">
        <v>410</v>
      </c>
      <c r="D5" s="127">
        <v>45843</v>
      </c>
      <c r="E5" s="125">
        <v>600</v>
      </c>
      <c r="F5" s="116"/>
      <c r="I5" s="42"/>
    </row>
    <row r="6" spans="1:9" ht="15.75" customHeight="1" x14ac:dyDescent="0.25">
      <c r="A6" s="125">
        <v>5</v>
      </c>
      <c r="B6" s="128">
        <v>296</v>
      </c>
      <c r="C6" s="107" t="s">
        <v>411</v>
      </c>
      <c r="D6" s="127">
        <v>45791</v>
      </c>
      <c r="E6" s="125">
        <v>1000</v>
      </c>
      <c r="F6" s="116"/>
      <c r="I6" s="42"/>
    </row>
    <row r="7" spans="1:9" ht="15.75" customHeight="1" x14ac:dyDescent="0.25">
      <c r="A7" s="125">
        <v>6</v>
      </c>
      <c r="B7" s="128">
        <v>297</v>
      </c>
      <c r="C7" s="107" t="s">
        <v>350</v>
      </c>
      <c r="D7" s="127">
        <v>45796</v>
      </c>
      <c r="E7" s="125">
        <v>1000</v>
      </c>
      <c r="F7" s="116"/>
      <c r="I7" s="42"/>
    </row>
    <row r="8" spans="1:9" ht="15.75" customHeight="1" x14ac:dyDescent="0.2">
      <c r="A8" s="125">
        <v>7</v>
      </c>
      <c r="B8" s="128">
        <v>300</v>
      </c>
      <c r="C8" s="108" t="s">
        <v>27</v>
      </c>
      <c r="D8" s="127">
        <v>45805</v>
      </c>
      <c r="E8" s="129">
        <v>1000</v>
      </c>
      <c r="F8" s="116"/>
      <c r="H8" s="28"/>
    </row>
    <row r="9" spans="1:9" ht="15.75" customHeight="1" x14ac:dyDescent="0.2">
      <c r="A9" s="125">
        <v>8</v>
      </c>
      <c r="B9" s="128">
        <v>305</v>
      </c>
      <c r="C9" s="107" t="s">
        <v>361</v>
      </c>
      <c r="D9" s="127">
        <v>45722</v>
      </c>
      <c r="E9" s="125">
        <v>1000</v>
      </c>
      <c r="F9" s="116"/>
    </row>
    <row r="10" spans="1:9" ht="15.75" customHeight="1" x14ac:dyDescent="0.2">
      <c r="A10" s="125">
        <v>9</v>
      </c>
      <c r="B10" s="128">
        <v>306</v>
      </c>
      <c r="C10" s="107" t="s">
        <v>412</v>
      </c>
      <c r="D10" s="127">
        <v>45814</v>
      </c>
      <c r="E10" s="125">
        <v>1000</v>
      </c>
      <c r="F10" s="116"/>
    </row>
    <row r="11" spans="1:9" ht="15.75" customHeight="1" x14ac:dyDescent="0.2">
      <c r="A11" s="125">
        <v>10</v>
      </c>
      <c r="B11" s="128">
        <v>308</v>
      </c>
      <c r="C11" s="108" t="s">
        <v>413</v>
      </c>
      <c r="D11" s="127">
        <v>45906</v>
      </c>
      <c r="E11" s="129">
        <v>1000</v>
      </c>
      <c r="F11" s="116"/>
    </row>
    <row r="12" spans="1:9" ht="15.75" customHeight="1" x14ac:dyDescent="0.2">
      <c r="A12" s="125">
        <v>11</v>
      </c>
      <c r="B12" s="128">
        <v>320</v>
      </c>
      <c r="C12" s="108" t="s">
        <v>40</v>
      </c>
      <c r="D12" s="127">
        <v>45907</v>
      </c>
      <c r="E12" s="129">
        <v>1000</v>
      </c>
      <c r="F12" s="116"/>
    </row>
    <row r="13" spans="1:9" ht="15.75" customHeight="1" x14ac:dyDescent="0.2">
      <c r="A13" s="125">
        <v>12</v>
      </c>
      <c r="B13" s="128">
        <v>326</v>
      </c>
      <c r="C13" s="108" t="s">
        <v>345</v>
      </c>
      <c r="D13" s="127">
        <v>45853</v>
      </c>
      <c r="E13" s="129">
        <v>1000</v>
      </c>
      <c r="F13" s="116"/>
    </row>
    <row r="14" spans="1:9" ht="15.75" customHeight="1" x14ac:dyDescent="0.2">
      <c r="A14" s="125">
        <v>13</v>
      </c>
      <c r="B14" s="125">
        <v>338</v>
      </c>
      <c r="C14" s="107" t="s">
        <v>414</v>
      </c>
      <c r="D14" s="127">
        <v>45665</v>
      </c>
      <c r="E14" s="125">
        <v>1000</v>
      </c>
      <c r="F14" s="116"/>
    </row>
    <row r="15" spans="1:9" ht="15.75" customHeight="1" x14ac:dyDescent="0.2">
      <c r="A15" s="125">
        <v>14</v>
      </c>
      <c r="B15" s="128">
        <v>341</v>
      </c>
      <c r="C15" s="108" t="s">
        <v>415</v>
      </c>
      <c r="D15" s="127">
        <v>45891</v>
      </c>
      <c r="E15" s="129">
        <v>1000</v>
      </c>
      <c r="F15" s="116"/>
    </row>
    <row r="16" spans="1:9" ht="15.75" customHeight="1" x14ac:dyDescent="0.2">
      <c r="A16" s="125">
        <v>15</v>
      </c>
      <c r="B16" s="128">
        <v>350</v>
      </c>
      <c r="C16" s="108" t="s">
        <v>67</v>
      </c>
      <c r="D16" s="130">
        <v>45971</v>
      </c>
      <c r="E16" s="128">
        <v>600</v>
      </c>
      <c r="F16" s="116"/>
    </row>
    <row r="17" spans="1:9" ht="15.75" customHeight="1" x14ac:dyDescent="0.2">
      <c r="A17" s="125">
        <v>16</v>
      </c>
      <c r="B17" s="128">
        <v>351</v>
      </c>
      <c r="C17" s="108" t="s">
        <v>68</v>
      </c>
      <c r="D17" s="130">
        <v>45972</v>
      </c>
      <c r="E17" s="128">
        <v>600</v>
      </c>
      <c r="F17" s="116"/>
    </row>
    <row r="18" spans="1:9" ht="15.75" customHeight="1" x14ac:dyDescent="0.2">
      <c r="A18" s="125">
        <v>17</v>
      </c>
      <c r="B18" s="128">
        <v>354</v>
      </c>
      <c r="C18" s="108" t="s">
        <v>72</v>
      </c>
      <c r="D18" s="130">
        <v>45985</v>
      </c>
      <c r="E18" s="129">
        <v>200</v>
      </c>
      <c r="F18" s="116"/>
    </row>
    <row r="19" spans="1:9" ht="15.75" customHeight="1" x14ac:dyDescent="0.2">
      <c r="A19" s="125">
        <v>18</v>
      </c>
      <c r="B19" s="125">
        <v>1198</v>
      </c>
      <c r="C19" s="107" t="s">
        <v>84</v>
      </c>
      <c r="D19" s="127">
        <v>42185</v>
      </c>
      <c r="E19" s="125">
        <v>300</v>
      </c>
      <c r="F19" s="116"/>
    </row>
    <row r="20" spans="1:9" ht="15.75" customHeight="1" x14ac:dyDescent="0.2">
      <c r="A20" s="125">
        <v>19</v>
      </c>
      <c r="B20" s="125">
        <v>1234</v>
      </c>
      <c r="C20" s="107" t="s">
        <v>87</v>
      </c>
      <c r="D20" s="127">
        <v>42328</v>
      </c>
      <c r="E20" s="125">
        <v>1000</v>
      </c>
      <c r="F20" s="116"/>
    </row>
    <row r="21" spans="1:9" ht="15.75" customHeight="1" x14ac:dyDescent="0.2">
      <c r="A21" s="125">
        <v>20</v>
      </c>
      <c r="B21" s="125">
        <v>1414</v>
      </c>
      <c r="C21" s="107" t="s">
        <v>96</v>
      </c>
      <c r="D21" s="127">
        <v>43152</v>
      </c>
      <c r="E21" s="125">
        <v>1000</v>
      </c>
      <c r="F21" s="116"/>
    </row>
    <row r="22" spans="1:9" ht="15.75" customHeight="1" x14ac:dyDescent="0.2">
      <c r="A22" s="125">
        <v>21</v>
      </c>
      <c r="B22" s="125">
        <v>1687</v>
      </c>
      <c r="C22" s="107" t="s">
        <v>111</v>
      </c>
      <c r="D22" s="127">
        <v>43834</v>
      </c>
      <c r="E22" s="125">
        <v>1000</v>
      </c>
      <c r="F22" s="116"/>
    </row>
    <row r="23" spans="1:9" ht="15.75" customHeight="1" x14ac:dyDescent="0.2">
      <c r="A23" s="125">
        <v>22</v>
      </c>
      <c r="B23" s="125">
        <v>1730</v>
      </c>
      <c r="C23" s="107" t="s">
        <v>116</v>
      </c>
      <c r="D23" s="127">
        <v>44386</v>
      </c>
      <c r="E23" s="125">
        <v>1000</v>
      </c>
      <c r="F23" s="116"/>
    </row>
    <row r="24" spans="1:9" ht="15.75" customHeight="1" x14ac:dyDescent="0.2">
      <c r="A24" s="125">
        <v>23</v>
      </c>
      <c r="B24" s="125">
        <v>1741</v>
      </c>
      <c r="C24" s="107" t="s">
        <v>121</v>
      </c>
      <c r="D24" s="127">
        <v>44398</v>
      </c>
      <c r="E24" s="125">
        <v>1000</v>
      </c>
      <c r="F24" s="116"/>
    </row>
    <row r="25" spans="1:9" ht="15" x14ac:dyDescent="0.2">
      <c r="A25" s="125">
        <v>24</v>
      </c>
      <c r="B25" s="125">
        <v>1745</v>
      </c>
      <c r="C25" s="107" t="s">
        <v>122</v>
      </c>
      <c r="D25" s="127">
        <v>44403</v>
      </c>
      <c r="E25" s="125">
        <v>1000</v>
      </c>
      <c r="F25" s="116"/>
    </row>
    <row r="26" spans="1:9" ht="15" x14ac:dyDescent="0.2">
      <c r="A26" s="125">
        <v>25</v>
      </c>
      <c r="B26" s="125">
        <v>1792</v>
      </c>
      <c r="C26" s="107" t="s">
        <v>129</v>
      </c>
      <c r="D26" s="127">
        <v>44466</v>
      </c>
      <c r="E26" s="125">
        <v>1000</v>
      </c>
      <c r="F26" s="116"/>
    </row>
    <row r="27" spans="1:9" ht="15" x14ac:dyDescent="0.2">
      <c r="A27" s="125">
        <v>26</v>
      </c>
      <c r="B27" s="125">
        <v>1851</v>
      </c>
      <c r="C27" s="107" t="s">
        <v>142</v>
      </c>
      <c r="D27" s="127">
        <v>44557</v>
      </c>
      <c r="E27" s="125">
        <v>1000</v>
      </c>
      <c r="F27" s="116"/>
    </row>
    <row r="28" spans="1:9" ht="15" x14ac:dyDescent="0.2">
      <c r="A28" s="125">
        <v>27</v>
      </c>
      <c r="B28" s="125">
        <v>1924</v>
      </c>
      <c r="C28" s="107" t="s">
        <v>149</v>
      </c>
      <c r="D28" s="127">
        <v>44667</v>
      </c>
      <c r="E28" s="125">
        <v>1000</v>
      </c>
      <c r="F28" s="116"/>
    </row>
    <row r="29" spans="1:9" ht="15" x14ac:dyDescent="0.2">
      <c r="A29" s="125">
        <v>28</v>
      </c>
      <c r="B29" s="125">
        <v>1930</v>
      </c>
      <c r="C29" s="107" t="s">
        <v>151</v>
      </c>
      <c r="D29" s="127">
        <v>44683</v>
      </c>
      <c r="E29" s="125">
        <v>1000</v>
      </c>
      <c r="F29" s="116"/>
      <c r="I29" s="46"/>
    </row>
    <row r="30" spans="1:9" ht="15" x14ac:dyDescent="0.2">
      <c r="A30" s="125">
        <v>29</v>
      </c>
      <c r="B30" s="125">
        <v>1939</v>
      </c>
      <c r="C30" s="107" t="s">
        <v>152</v>
      </c>
      <c r="D30" s="127">
        <v>44694</v>
      </c>
      <c r="E30" s="125">
        <v>1000</v>
      </c>
      <c r="F30" s="116"/>
    </row>
    <row r="31" spans="1:9" ht="15" x14ac:dyDescent="0.2">
      <c r="A31" s="125">
        <v>30</v>
      </c>
      <c r="B31" s="125">
        <v>1940</v>
      </c>
      <c r="C31" s="107" t="s">
        <v>153</v>
      </c>
      <c r="D31" s="127">
        <v>44697</v>
      </c>
      <c r="E31" s="125">
        <v>1000</v>
      </c>
      <c r="F31" s="116"/>
    </row>
    <row r="32" spans="1:9" ht="15" x14ac:dyDescent="0.2">
      <c r="A32" s="125">
        <v>31</v>
      </c>
      <c r="B32" s="125">
        <v>1965</v>
      </c>
      <c r="C32" s="107" t="s">
        <v>156</v>
      </c>
      <c r="D32" s="127">
        <v>44744</v>
      </c>
      <c r="E32" s="125">
        <v>1000</v>
      </c>
      <c r="F32" s="116"/>
    </row>
    <row r="33" spans="1:6" ht="15" x14ac:dyDescent="0.2">
      <c r="A33" s="125">
        <v>32</v>
      </c>
      <c r="B33" s="125">
        <v>1975</v>
      </c>
      <c r="C33" s="107" t="s">
        <v>157</v>
      </c>
      <c r="D33" s="127">
        <v>44557</v>
      </c>
      <c r="E33" s="125">
        <v>1000</v>
      </c>
      <c r="F33" s="116"/>
    </row>
    <row r="34" spans="1:6" ht="30" x14ac:dyDescent="0.2">
      <c r="A34" s="125">
        <v>33</v>
      </c>
      <c r="B34" s="125">
        <v>1980</v>
      </c>
      <c r="C34" s="107" t="s">
        <v>416</v>
      </c>
      <c r="D34" s="127">
        <v>44750</v>
      </c>
      <c r="E34" s="125">
        <v>1000</v>
      </c>
      <c r="F34" s="116"/>
    </row>
    <row r="35" spans="1:6" ht="15" x14ac:dyDescent="0.2">
      <c r="A35" s="125">
        <v>34</v>
      </c>
      <c r="B35" s="125">
        <v>1990</v>
      </c>
      <c r="C35" s="107" t="s">
        <v>161</v>
      </c>
      <c r="D35" s="127">
        <v>44777</v>
      </c>
      <c r="E35" s="125">
        <v>1000</v>
      </c>
      <c r="F35" s="116"/>
    </row>
    <row r="36" spans="1:6" ht="15" x14ac:dyDescent="0.2">
      <c r="A36" s="125">
        <v>35</v>
      </c>
      <c r="B36" s="125">
        <v>1991</v>
      </c>
      <c r="C36" s="107" t="s">
        <v>162</v>
      </c>
      <c r="D36" s="127">
        <v>44789</v>
      </c>
      <c r="E36" s="125">
        <v>1000</v>
      </c>
      <c r="F36" s="116"/>
    </row>
    <row r="37" spans="1:6" ht="15" x14ac:dyDescent="0.2">
      <c r="A37" s="125">
        <v>36</v>
      </c>
      <c r="B37" s="125">
        <v>2025</v>
      </c>
      <c r="C37" s="107" t="s">
        <v>168</v>
      </c>
      <c r="D37" s="127">
        <v>44810</v>
      </c>
      <c r="E37" s="125">
        <v>1000</v>
      </c>
      <c r="F37" s="116" t="s">
        <v>425</v>
      </c>
    </row>
    <row r="38" spans="1:6" ht="15" x14ac:dyDescent="0.2">
      <c r="A38" s="125">
        <v>37</v>
      </c>
      <c r="B38" s="125">
        <v>2036</v>
      </c>
      <c r="C38" s="107" t="s">
        <v>171</v>
      </c>
      <c r="D38" s="127">
        <v>44412</v>
      </c>
      <c r="E38" s="125">
        <v>1000</v>
      </c>
      <c r="F38" s="116"/>
    </row>
    <row r="39" spans="1:6" ht="15" x14ac:dyDescent="0.2">
      <c r="A39" s="125">
        <v>38</v>
      </c>
      <c r="B39" s="125">
        <v>2055</v>
      </c>
      <c r="C39" s="107" t="s">
        <v>173</v>
      </c>
      <c r="D39" s="127">
        <v>45064</v>
      </c>
      <c r="E39" s="125">
        <v>1000</v>
      </c>
      <c r="F39" s="116"/>
    </row>
    <row r="40" spans="1:6" ht="15" x14ac:dyDescent="0.2">
      <c r="A40" s="125">
        <v>39</v>
      </c>
      <c r="B40" s="125">
        <v>2063</v>
      </c>
      <c r="C40" s="107" t="s">
        <v>175</v>
      </c>
      <c r="D40" s="127">
        <v>45078</v>
      </c>
      <c r="E40" s="125">
        <v>1000</v>
      </c>
      <c r="F40" s="116"/>
    </row>
    <row r="41" spans="1:6" ht="15" x14ac:dyDescent="0.2">
      <c r="A41" s="125">
        <v>40</v>
      </c>
      <c r="B41" s="125">
        <v>2072</v>
      </c>
      <c r="C41" s="107" t="s">
        <v>178</v>
      </c>
      <c r="D41" s="127">
        <v>45098</v>
      </c>
      <c r="E41" s="125">
        <v>1000</v>
      </c>
      <c r="F41" s="116"/>
    </row>
    <row r="42" spans="1:6" ht="15" x14ac:dyDescent="0.2">
      <c r="A42" s="125">
        <v>41</v>
      </c>
      <c r="B42" s="125">
        <v>2084</v>
      </c>
      <c r="C42" s="107" t="s">
        <v>183</v>
      </c>
      <c r="D42" s="127">
        <v>45124</v>
      </c>
      <c r="E42" s="125">
        <v>1000</v>
      </c>
      <c r="F42" s="116"/>
    </row>
    <row r="43" spans="1:6" ht="15" x14ac:dyDescent="0.2">
      <c r="A43" s="125">
        <v>42</v>
      </c>
      <c r="B43" s="125">
        <v>2086</v>
      </c>
      <c r="C43" s="107" t="s">
        <v>184</v>
      </c>
      <c r="D43" s="127">
        <v>45126</v>
      </c>
      <c r="E43" s="125">
        <v>1000</v>
      </c>
      <c r="F43" s="116"/>
    </row>
    <row r="44" spans="1:6" ht="30" x14ac:dyDescent="0.2">
      <c r="A44" s="125">
        <v>43</v>
      </c>
      <c r="B44" s="125">
        <v>2109</v>
      </c>
      <c r="C44" s="107" t="s">
        <v>186</v>
      </c>
      <c r="D44" s="127">
        <v>45147</v>
      </c>
      <c r="E44" s="125">
        <v>1000</v>
      </c>
      <c r="F44" s="116"/>
    </row>
    <row r="45" spans="1:6" ht="15" x14ac:dyDescent="0.2">
      <c r="A45" s="125">
        <v>44</v>
      </c>
      <c r="B45" s="125">
        <v>2137</v>
      </c>
      <c r="C45" s="107" t="s">
        <v>190</v>
      </c>
      <c r="D45" s="127">
        <v>45210</v>
      </c>
      <c r="E45" s="125">
        <v>1000</v>
      </c>
      <c r="F45" s="116"/>
    </row>
    <row r="46" spans="1:6" ht="15" x14ac:dyDescent="0.2">
      <c r="A46" s="125">
        <v>45</v>
      </c>
      <c r="B46" s="125">
        <v>2148</v>
      </c>
      <c r="C46" s="107" t="s">
        <v>376</v>
      </c>
      <c r="D46" s="127">
        <v>45215</v>
      </c>
      <c r="E46" s="125">
        <v>1000</v>
      </c>
      <c r="F46" s="116"/>
    </row>
    <row r="47" spans="1:6" ht="15" x14ac:dyDescent="0.2">
      <c r="A47" s="125">
        <v>46</v>
      </c>
      <c r="B47" s="128">
        <v>2184</v>
      </c>
      <c r="C47" s="108" t="s">
        <v>426</v>
      </c>
      <c r="D47" s="126">
        <v>45293</v>
      </c>
      <c r="E47" s="129">
        <v>1000</v>
      </c>
      <c r="F47" s="116"/>
    </row>
    <row r="48" spans="1:6" ht="15" x14ac:dyDescent="0.2">
      <c r="A48" s="125">
        <v>47</v>
      </c>
      <c r="B48" s="125">
        <v>2233</v>
      </c>
      <c r="C48" s="107" t="s">
        <v>227</v>
      </c>
      <c r="D48" s="127">
        <v>45208</v>
      </c>
      <c r="E48" s="125">
        <v>1000</v>
      </c>
      <c r="F48" s="116"/>
    </row>
    <row r="49" spans="1:6" ht="15" x14ac:dyDescent="0.2">
      <c r="A49" s="125">
        <v>48</v>
      </c>
      <c r="B49" s="125">
        <v>2241</v>
      </c>
      <c r="C49" s="107" t="s">
        <v>232</v>
      </c>
      <c r="D49" s="127">
        <v>45485</v>
      </c>
      <c r="E49" s="125">
        <v>1000</v>
      </c>
      <c r="F49" s="116"/>
    </row>
    <row r="50" spans="1:6" ht="15" x14ac:dyDescent="0.2">
      <c r="A50" s="125">
        <v>49</v>
      </c>
      <c r="B50" s="125">
        <v>2253</v>
      </c>
      <c r="C50" s="107" t="s">
        <v>236</v>
      </c>
      <c r="D50" s="127">
        <v>45512</v>
      </c>
      <c r="E50" s="125" t="s">
        <v>378</v>
      </c>
      <c r="F50" s="116"/>
    </row>
    <row r="51" spans="1:6" ht="15" x14ac:dyDescent="0.2">
      <c r="A51" s="125">
        <v>50</v>
      </c>
      <c r="B51" s="125">
        <v>2277</v>
      </c>
      <c r="C51" s="107" t="s">
        <v>244</v>
      </c>
      <c r="D51" s="127">
        <v>45540</v>
      </c>
      <c r="E51" s="125">
        <v>1000</v>
      </c>
      <c r="F51" s="116"/>
    </row>
    <row r="52" spans="1:6" ht="15" x14ac:dyDescent="0.2">
      <c r="A52" s="125">
        <v>51</v>
      </c>
      <c r="B52" s="125">
        <v>2283</v>
      </c>
      <c r="C52" s="107" t="s">
        <v>246</v>
      </c>
      <c r="D52" s="127">
        <v>45553</v>
      </c>
      <c r="E52" s="125">
        <v>1000</v>
      </c>
      <c r="F52" s="116"/>
    </row>
    <row r="53" spans="1:6" ht="15" x14ac:dyDescent="0.2">
      <c r="A53" s="125">
        <v>52</v>
      </c>
      <c r="B53" s="125">
        <v>2294</v>
      </c>
      <c r="C53" s="107" t="s">
        <v>250</v>
      </c>
      <c r="D53" s="127">
        <v>45569</v>
      </c>
      <c r="E53" s="125">
        <v>1000</v>
      </c>
      <c r="F53" s="116"/>
    </row>
    <row r="54" spans="1:6" ht="15" x14ac:dyDescent="0.2">
      <c r="A54" s="125">
        <v>53</v>
      </c>
      <c r="B54" s="125">
        <v>2298</v>
      </c>
      <c r="C54" s="107" t="s">
        <v>252</v>
      </c>
      <c r="D54" s="127">
        <v>45586</v>
      </c>
      <c r="E54" s="125">
        <v>1000</v>
      </c>
      <c r="F54" s="116"/>
    </row>
    <row r="55" spans="1:6" ht="15" x14ac:dyDescent="0.2">
      <c r="A55" s="125">
        <v>54</v>
      </c>
      <c r="B55" s="125">
        <v>2299</v>
      </c>
      <c r="C55" s="107" t="s">
        <v>253</v>
      </c>
      <c r="D55" s="127">
        <v>45586</v>
      </c>
      <c r="E55" s="125">
        <v>1000</v>
      </c>
      <c r="F55" s="116"/>
    </row>
    <row r="56" spans="1:6" ht="15" x14ac:dyDescent="0.2">
      <c r="A56" s="125">
        <v>55</v>
      </c>
      <c r="B56" s="125">
        <v>2310</v>
      </c>
      <c r="C56" s="107" t="s">
        <v>260</v>
      </c>
      <c r="D56" s="127">
        <v>45505</v>
      </c>
      <c r="E56" s="125">
        <v>1000</v>
      </c>
      <c r="F56" s="116"/>
    </row>
    <row r="57" spans="1:6" ht="15" x14ac:dyDescent="0.2">
      <c r="A57" s="125">
        <v>56</v>
      </c>
      <c r="B57" s="125">
        <v>2312</v>
      </c>
      <c r="C57" s="107" t="s">
        <v>261</v>
      </c>
      <c r="D57" s="127">
        <v>45537</v>
      </c>
      <c r="E57" s="125">
        <v>300</v>
      </c>
      <c r="F57" s="116"/>
    </row>
    <row r="58" spans="1:6" ht="15" x14ac:dyDescent="0.2">
      <c r="A58" s="125">
        <v>57</v>
      </c>
      <c r="B58" s="128">
        <v>2314</v>
      </c>
      <c r="C58" s="108" t="s">
        <v>190</v>
      </c>
      <c r="D58" s="126">
        <v>45540</v>
      </c>
      <c r="E58" s="129">
        <v>1000</v>
      </c>
      <c r="F58" s="116"/>
    </row>
    <row r="59" spans="1:6" ht="15" x14ac:dyDescent="0.2">
      <c r="A59" s="125">
        <v>58</v>
      </c>
      <c r="B59" s="125">
        <v>2320</v>
      </c>
      <c r="C59" s="107" t="s">
        <v>417</v>
      </c>
      <c r="D59" s="127">
        <v>45709</v>
      </c>
      <c r="E59" s="125">
        <v>1000</v>
      </c>
      <c r="F59" s="116"/>
    </row>
    <row r="60" spans="1:6" ht="15" x14ac:dyDescent="0.2">
      <c r="A60" s="125">
        <v>59</v>
      </c>
      <c r="B60" s="125">
        <v>2323</v>
      </c>
      <c r="C60" s="107" t="s">
        <v>35</v>
      </c>
      <c r="D60" s="127">
        <v>45499</v>
      </c>
      <c r="E60" s="125">
        <v>1000</v>
      </c>
      <c r="F60" s="116"/>
    </row>
    <row r="61" spans="1:6" ht="15" x14ac:dyDescent="0.2">
      <c r="A61" s="125">
        <v>60</v>
      </c>
      <c r="B61" s="125">
        <v>2330</v>
      </c>
      <c r="C61" s="107" t="s">
        <v>273</v>
      </c>
      <c r="D61" s="127">
        <v>45726</v>
      </c>
      <c r="E61" s="125">
        <v>1000</v>
      </c>
      <c r="F61" s="116"/>
    </row>
    <row r="62" spans="1:6" ht="15" x14ac:dyDescent="0.2">
      <c r="A62" s="125">
        <v>61</v>
      </c>
      <c r="B62" s="125">
        <v>2347</v>
      </c>
      <c r="C62" s="107" t="s">
        <v>90</v>
      </c>
      <c r="D62" s="127">
        <v>45775</v>
      </c>
      <c r="E62" s="125">
        <v>1000</v>
      </c>
      <c r="F62" s="116"/>
    </row>
    <row r="63" spans="1:6" ht="15" x14ac:dyDescent="0.2">
      <c r="A63" s="125">
        <v>62</v>
      </c>
      <c r="B63" s="125">
        <v>2352</v>
      </c>
      <c r="C63" s="107" t="s">
        <v>286</v>
      </c>
      <c r="D63" s="127">
        <v>45566</v>
      </c>
      <c r="E63" s="125">
        <v>1000</v>
      </c>
      <c r="F63" s="116"/>
    </row>
    <row r="64" spans="1:6" ht="15" x14ac:dyDescent="0.2">
      <c r="A64" s="125">
        <v>63</v>
      </c>
      <c r="B64" s="125">
        <v>2353</v>
      </c>
      <c r="C64" s="107" t="s">
        <v>287</v>
      </c>
      <c r="D64" s="127">
        <v>45525</v>
      </c>
      <c r="E64" s="125">
        <v>1000</v>
      </c>
      <c r="F64" s="116"/>
    </row>
    <row r="65" spans="1:6" ht="15" x14ac:dyDescent="0.2">
      <c r="A65" s="125">
        <v>64</v>
      </c>
      <c r="B65" s="125">
        <v>2354</v>
      </c>
      <c r="C65" s="107" t="s">
        <v>288</v>
      </c>
      <c r="D65" s="127">
        <v>45791</v>
      </c>
      <c r="E65" s="125">
        <v>1000</v>
      </c>
      <c r="F65" s="116"/>
    </row>
    <row r="66" spans="1:6" ht="15" x14ac:dyDescent="0.2">
      <c r="A66" s="125">
        <v>65</v>
      </c>
      <c r="B66" s="125">
        <v>2372</v>
      </c>
      <c r="C66" s="107" t="s">
        <v>304</v>
      </c>
      <c r="D66" s="127">
        <v>45937</v>
      </c>
      <c r="E66" s="125">
        <v>1000</v>
      </c>
      <c r="F66" s="116"/>
    </row>
    <row r="67" spans="1:6" ht="15" x14ac:dyDescent="0.2">
      <c r="A67" s="125">
        <v>66</v>
      </c>
      <c r="B67" s="125">
        <v>2375</v>
      </c>
      <c r="C67" s="107" t="s">
        <v>308</v>
      </c>
      <c r="D67" s="127">
        <v>45665</v>
      </c>
      <c r="E67" s="125">
        <v>1000</v>
      </c>
      <c r="F67" s="116"/>
    </row>
    <row r="68" spans="1:6" ht="15" x14ac:dyDescent="0.2">
      <c r="A68" s="125">
        <v>67</v>
      </c>
      <c r="B68" s="122">
        <v>2375</v>
      </c>
      <c r="C68" s="118" t="s">
        <v>308</v>
      </c>
      <c r="D68" s="119">
        <v>45870</v>
      </c>
      <c r="E68" s="120">
        <v>1000</v>
      </c>
      <c r="F68" s="122">
        <v>1</v>
      </c>
    </row>
    <row r="69" spans="1:6" ht="15" x14ac:dyDescent="0.2">
      <c r="A69" s="125">
        <v>68</v>
      </c>
      <c r="B69" s="128">
        <v>2390</v>
      </c>
      <c r="C69" s="108" t="s">
        <v>418</v>
      </c>
      <c r="D69" s="127">
        <v>45915</v>
      </c>
      <c r="E69" s="128">
        <v>1000</v>
      </c>
      <c r="F69" s="116"/>
    </row>
    <row r="70" spans="1:6" ht="30" x14ac:dyDescent="0.2">
      <c r="A70" s="125">
        <v>69</v>
      </c>
      <c r="B70" s="131">
        <v>2399</v>
      </c>
      <c r="C70" s="158" t="s">
        <v>337</v>
      </c>
      <c r="D70" s="159">
        <v>45964</v>
      </c>
      <c r="E70" s="131">
        <v>500</v>
      </c>
      <c r="F70" s="123"/>
    </row>
    <row r="71" spans="1:6" ht="30" x14ac:dyDescent="0.2">
      <c r="A71" s="125">
        <v>70</v>
      </c>
      <c r="B71" s="132">
        <v>2407</v>
      </c>
      <c r="C71" s="157" t="s">
        <v>344</v>
      </c>
      <c r="D71" s="130">
        <v>45980</v>
      </c>
      <c r="E71" s="160">
        <v>300</v>
      </c>
      <c r="F71" s="121"/>
    </row>
    <row r="72" spans="1:6" ht="12.75" x14ac:dyDescent="0.2">
      <c r="A72" s="3"/>
      <c r="B72" s="3"/>
      <c r="C72" s="28"/>
    </row>
    <row r="73" spans="1:6" ht="12.75" x14ac:dyDescent="0.2">
      <c r="A73" s="3"/>
      <c r="B73" s="3"/>
      <c r="C73" s="28"/>
    </row>
    <row r="74" spans="1:6" ht="12.75" x14ac:dyDescent="0.2">
      <c r="A74" s="3"/>
      <c r="B74" s="3"/>
      <c r="C74" s="28"/>
    </row>
    <row r="75" spans="1:6" ht="12.75" x14ac:dyDescent="0.2">
      <c r="A75" s="3"/>
      <c r="B75" s="3"/>
      <c r="C75" s="28"/>
    </row>
    <row r="76" spans="1:6" ht="12.75" x14ac:dyDescent="0.2">
      <c r="A76" s="3"/>
      <c r="B76" s="3"/>
      <c r="C76" s="28"/>
    </row>
    <row r="77" spans="1:6" ht="12.75" x14ac:dyDescent="0.2">
      <c r="A77" s="3"/>
      <c r="B77" s="3"/>
      <c r="C77" s="28"/>
    </row>
    <row r="78" spans="1:6" ht="12.75" x14ac:dyDescent="0.2">
      <c r="A78" s="3"/>
      <c r="B78" s="3"/>
      <c r="C78" s="28"/>
    </row>
    <row r="79" spans="1:6" ht="12.75" x14ac:dyDescent="0.2">
      <c r="A79" s="3"/>
      <c r="B79" s="3"/>
      <c r="C79" s="28"/>
    </row>
    <row r="80" spans="1:6" ht="12.75" x14ac:dyDescent="0.2">
      <c r="A80" s="3"/>
      <c r="B80" s="3"/>
      <c r="C80" s="28"/>
    </row>
    <row r="81" spans="1:3" ht="12.75" x14ac:dyDescent="0.2">
      <c r="A81" s="3"/>
      <c r="B81" s="3"/>
      <c r="C81" s="28"/>
    </row>
    <row r="82" spans="1:3" ht="12.75" x14ac:dyDescent="0.2">
      <c r="A82" s="3"/>
      <c r="B82" s="3"/>
      <c r="C82" s="28"/>
    </row>
    <row r="83" spans="1:3" ht="12.75" x14ac:dyDescent="0.2">
      <c r="A83" s="3"/>
      <c r="B83" s="3"/>
      <c r="C83" s="28"/>
    </row>
    <row r="84" spans="1:3" ht="12.75" x14ac:dyDescent="0.2">
      <c r="A84" s="3"/>
      <c r="B84" s="3"/>
      <c r="C84" s="28"/>
    </row>
    <row r="85" spans="1:3" ht="12.75" x14ac:dyDescent="0.2">
      <c r="A85" s="3"/>
      <c r="B85" s="3"/>
      <c r="C85" s="28"/>
    </row>
    <row r="86" spans="1:3" ht="12.75" x14ac:dyDescent="0.2">
      <c r="A86" s="3"/>
      <c r="B86" s="3"/>
      <c r="C86" s="28"/>
    </row>
    <row r="87" spans="1:3" ht="12.75" x14ac:dyDescent="0.2">
      <c r="A87" s="3"/>
      <c r="B87" s="3"/>
      <c r="C87" s="28"/>
    </row>
    <row r="88" spans="1:3" ht="12.75" x14ac:dyDescent="0.2">
      <c r="A88" s="3"/>
      <c r="B88" s="3"/>
      <c r="C88" s="28"/>
    </row>
    <row r="89" spans="1:3" ht="12.75" x14ac:dyDescent="0.2">
      <c r="A89" s="3"/>
      <c r="B89" s="3"/>
      <c r="C89" s="28"/>
    </row>
    <row r="90" spans="1:3" ht="12.75" x14ac:dyDescent="0.2">
      <c r="A90" s="3"/>
      <c r="B90" s="3"/>
      <c r="C90" s="28"/>
    </row>
    <row r="91" spans="1:3" ht="12.75" x14ac:dyDescent="0.2">
      <c r="A91" s="3"/>
      <c r="B91" s="3"/>
      <c r="C91" s="28"/>
    </row>
    <row r="92" spans="1:3" ht="12.75" x14ac:dyDescent="0.2">
      <c r="A92" s="3"/>
      <c r="B92" s="3"/>
      <c r="C92" s="28"/>
    </row>
    <row r="93" spans="1:3" ht="12.75" x14ac:dyDescent="0.2">
      <c r="A93" s="3"/>
      <c r="B93" s="3"/>
      <c r="C93" s="28"/>
    </row>
    <row r="94" spans="1:3" ht="12.75" x14ac:dyDescent="0.2">
      <c r="A94" s="3"/>
      <c r="B94" s="3"/>
      <c r="C94" s="28"/>
    </row>
    <row r="95" spans="1:3" ht="12.75" x14ac:dyDescent="0.2">
      <c r="A95" s="3"/>
      <c r="B95" s="3"/>
      <c r="C95" s="28"/>
    </row>
    <row r="96" spans="1:3" ht="12.75" x14ac:dyDescent="0.2">
      <c r="A96" s="3"/>
      <c r="B96" s="3"/>
      <c r="C96" s="28"/>
    </row>
    <row r="97" spans="1:3" ht="12.75" x14ac:dyDescent="0.2">
      <c r="A97" s="3"/>
      <c r="B97" s="3"/>
      <c r="C97" s="28"/>
    </row>
    <row r="98" spans="1:3" ht="12.75" x14ac:dyDescent="0.2">
      <c r="A98" s="3"/>
      <c r="B98" s="3"/>
      <c r="C98" s="28"/>
    </row>
    <row r="99" spans="1:3" ht="12.75" x14ac:dyDescent="0.2">
      <c r="A99" s="3"/>
      <c r="B99" s="3"/>
      <c r="C99" s="28"/>
    </row>
    <row r="100" spans="1:3" ht="12.75" x14ac:dyDescent="0.2">
      <c r="A100" s="3"/>
      <c r="B100" s="3"/>
      <c r="C100" s="28"/>
    </row>
    <row r="101" spans="1:3" ht="12.75" x14ac:dyDescent="0.2">
      <c r="A101" s="3"/>
      <c r="B101" s="3"/>
      <c r="C101" s="28"/>
    </row>
    <row r="102" spans="1:3" ht="12.75" x14ac:dyDescent="0.2">
      <c r="A102" s="3"/>
      <c r="B102" s="3"/>
      <c r="C102" s="28"/>
    </row>
    <row r="103" spans="1:3" ht="12.75" x14ac:dyDescent="0.2">
      <c r="A103" s="3"/>
      <c r="B103" s="3"/>
      <c r="C103" s="28"/>
    </row>
    <row r="104" spans="1:3" ht="12.75" x14ac:dyDescent="0.2">
      <c r="A104" s="3"/>
      <c r="B104" s="3"/>
      <c r="C104" s="28"/>
    </row>
    <row r="105" spans="1:3" ht="12.75" x14ac:dyDescent="0.2">
      <c r="A105" s="3"/>
      <c r="B105" s="3"/>
      <c r="C105" s="28"/>
    </row>
    <row r="106" spans="1:3" ht="12.75" x14ac:dyDescent="0.2">
      <c r="A106" s="3"/>
      <c r="B106" s="3"/>
      <c r="C106" s="28"/>
    </row>
    <row r="107" spans="1:3" ht="12.75" x14ac:dyDescent="0.2">
      <c r="A107" s="3"/>
      <c r="B107" s="3"/>
      <c r="C107" s="28"/>
    </row>
    <row r="108" spans="1:3" ht="12.75" x14ac:dyDescent="0.2">
      <c r="A108" s="3"/>
      <c r="B108" s="3"/>
      <c r="C108" s="28"/>
    </row>
    <row r="109" spans="1:3" ht="12.75" x14ac:dyDescent="0.2">
      <c r="A109" s="3"/>
      <c r="B109" s="3"/>
      <c r="C109" s="28"/>
    </row>
    <row r="110" spans="1:3" ht="12.75" x14ac:dyDescent="0.2">
      <c r="A110" s="3"/>
      <c r="B110" s="3"/>
      <c r="C110" s="28"/>
    </row>
    <row r="111" spans="1:3" ht="12.75" x14ac:dyDescent="0.2">
      <c r="A111" s="3"/>
      <c r="B111" s="3"/>
      <c r="C111" s="28"/>
    </row>
    <row r="112" spans="1:3" ht="12.75" x14ac:dyDescent="0.2">
      <c r="A112" s="3"/>
      <c r="B112" s="3"/>
      <c r="C112" s="28"/>
    </row>
    <row r="113" spans="1:3" ht="12.75" x14ac:dyDescent="0.2">
      <c r="A113" s="3"/>
      <c r="B113" s="3"/>
      <c r="C113" s="28"/>
    </row>
    <row r="114" spans="1:3" ht="12.75" x14ac:dyDescent="0.2">
      <c r="A114" s="3"/>
      <c r="B114" s="3"/>
      <c r="C114" s="28"/>
    </row>
    <row r="115" spans="1:3" ht="12.75" x14ac:dyDescent="0.2">
      <c r="A115" s="3"/>
      <c r="B115" s="3"/>
      <c r="C115" s="28"/>
    </row>
    <row r="116" spans="1:3" ht="12.75" x14ac:dyDescent="0.2">
      <c r="A116" s="3"/>
      <c r="B116" s="3"/>
      <c r="C116" s="28"/>
    </row>
    <row r="117" spans="1:3" ht="12.75" x14ac:dyDescent="0.2">
      <c r="A117" s="3"/>
      <c r="B117" s="3"/>
      <c r="C117" s="28"/>
    </row>
    <row r="118" spans="1:3" ht="12.75" x14ac:dyDescent="0.2">
      <c r="A118" s="3"/>
      <c r="B118" s="3"/>
      <c r="C118" s="28"/>
    </row>
    <row r="119" spans="1:3" ht="12.75" x14ac:dyDescent="0.2">
      <c r="A119" s="3"/>
      <c r="B119" s="3"/>
      <c r="C119" s="28"/>
    </row>
    <row r="120" spans="1:3" ht="12.75" x14ac:dyDescent="0.2">
      <c r="A120" s="3"/>
      <c r="B120" s="3"/>
      <c r="C120" s="28"/>
    </row>
    <row r="121" spans="1:3" ht="12.75" x14ac:dyDescent="0.2">
      <c r="A121" s="3"/>
      <c r="B121" s="3"/>
      <c r="C121" s="28"/>
    </row>
    <row r="122" spans="1:3" ht="12.75" x14ac:dyDescent="0.2">
      <c r="A122" s="3"/>
      <c r="B122" s="3"/>
      <c r="C122" s="28"/>
    </row>
    <row r="123" spans="1:3" ht="12.75" x14ac:dyDescent="0.2">
      <c r="A123" s="3"/>
      <c r="B123" s="3"/>
      <c r="C123" s="28"/>
    </row>
    <row r="124" spans="1:3" ht="12.75" x14ac:dyDescent="0.2">
      <c r="A124" s="3"/>
      <c r="B124" s="3"/>
      <c r="C124" s="28"/>
    </row>
    <row r="125" spans="1:3" ht="12.75" x14ac:dyDescent="0.2">
      <c r="A125" s="3"/>
      <c r="B125" s="3"/>
      <c r="C125" s="28"/>
    </row>
    <row r="126" spans="1:3" ht="12.75" x14ac:dyDescent="0.2">
      <c r="A126" s="3"/>
      <c r="B126" s="3"/>
      <c r="C126" s="28"/>
    </row>
    <row r="127" spans="1:3" ht="12.75" x14ac:dyDescent="0.2">
      <c r="A127" s="3"/>
      <c r="B127" s="3"/>
      <c r="C127" s="28"/>
    </row>
    <row r="128" spans="1:3" ht="12.75" x14ac:dyDescent="0.2">
      <c r="A128" s="3"/>
      <c r="B128" s="3"/>
      <c r="C128" s="28"/>
    </row>
    <row r="129" spans="1:3" ht="12.75" x14ac:dyDescent="0.2">
      <c r="A129" s="3"/>
      <c r="B129" s="3"/>
      <c r="C129" s="28"/>
    </row>
    <row r="130" spans="1:3" ht="12.75" x14ac:dyDescent="0.2">
      <c r="A130" s="3"/>
      <c r="B130" s="3"/>
      <c r="C130" s="28"/>
    </row>
    <row r="131" spans="1:3" ht="12.75" x14ac:dyDescent="0.2">
      <c r="A131" s="3"/>
      <c r="B131" s="3"/>
      <c r="C131" s="28"/>
    </row>
    <row r="132" spans="1:3" ht="12.75" x14ac:dyDescent="0.2">
      <c r="A132" s="3"/>
      <c r="B132" s="3"/>
      <c r="C132" s="28"/>
    </row>
    <row r="133" spans="1:3" ht="12.75" x14ac:dyDescent="0.2">
      <c r="A133" s="3"/>
      <c r="B133" s="3"/>
      <c r="C133" s="28"/>
    </row>
    <row r="134" spans="1:3" ht="12.75" x14ac:dyDescent="0.2">
      <c r="A134" s="3"/>
      <c r="B134" s="3"/>
      <c r="C134" s="28"/>
    </row>
    <row r="135" spans="1:3" ht="12.75" x14ac:dyDescent="0.2">
      <c r="A135" s="3"/>
      <c r="B135" s="3"/>
      <c r="C135" s="28"/>
    </row>
    <row r="136" spans="1:3" ht="12.75" x14ac:dyDescent="0.2">
      <c r="A136" s="3"/>
      <c r="B136" s="3"/>
      <c r="C136" s="28"/>
    </row>
    <row r="137" spans="1:3" ht="12.75" x14ac:dyDescent="0.2">
      <c r="A137" s="3"/>
      <c r="B137" s="3"/>
      <c r="C137" s="28"/>
    </row>
    <row r="138" spans="1:3" ht="12.75" x14ac:dyDescent="0.2">
      <c r="A138" s="3"/>
      <c r="B138" s="3"/>
      <c r="C138" s="28"/>
    </row>
    <row r="139" spans="1:3" ht="12.75" x14ac:dyDescent="0.2">
      <c r="A139" s="3"/>
      <c r="B139" s="3"/>
      <c r="C139" s="28"/>
    </row>
    <row r="140" spans="1:3" ht="12.75" x14ac:dyDescent="0.2">
      <c r="A140" s="3"/>
      <c r="B140" s="3"/>
      <c r="C140" s="28"/>
    </row>
    <row r="141" spans="1:3" ht="12.75" x14ac:dyDescent="0.2">
      <c r="A141" s="3"/>
      <c r="B141" s="3"/>
      <c r="C141" s="28"/>
    </row>
    <row r="142" spans="1:3" ht="12.75" x14ac:dyDescent="0.2">
      <c r="A142" s="3"/>
      <c r="B142" s="3"/>
      <c r="C142" s="28"/>
    </row>
    <row r="143" spans="1:3" ht="12.75" x14ac:dyDescent="0.2">
      <c r="A143" s="3"/>
      <c r="B143" s="3"/>
      <c r="C143" s="28"/>
    </row>
    <row r="144" spans="1:3" ht="12.75" x14ac:dyDescent="0.2">
      <c r="A144" s="3"/>
      <c r="B144" s="3"/>
      <c r="C144" s="28"/>
    </row>
    <row r="145" spans="1:3" ht="12.75" x14ac:dyDescent="0.2">
      <c r="A145" s="3"/>
      <c r="B145" s="3"/>
      <c r="C145" s="28"/>
    </row>
    <row r="146" spans="1:3" ht="12.75" x14ac:dyDescent="0.2">
      <c r="A146" s="3"/>
      <c r="B146" s="3"/>
      <c r="C146" s="28"/>
    </row>
    <row r="147" spans="1:3" ht="12.75" x14ac:dyDescent="0.2">
      <c r="A147" s="3"/>
      <c r="B147" s="3"/>
      <c r="C147" s="28"/>
    </row>
    <row r="148" spans="1:3" ht="12.75" x14ac:dyDescent="0.2">
      <c r="A148" s="3"/>
      <c r="B148" s="3"/>
      <c r="C148" s="28"/>
    </row>
    <row r="149" spans="1:3" ht="12.75" x14ac:dyDescent="0.2">
      <c r="A149" s="3"/>
      <c r="B149" s="3"/>
      <c r="C149" s="28"/>
    </row>
    <row r="150" spans="1:3" ht="12.75" x14ac:dyDescent="0.2">
      <c r="A150" s="3"/>
      <c r="B150" s="3"/>
      <c r="C150" s="28"/>
    </row>
    <row r="151" spans="1:3" ht="12.75" x14ac:dyDescent="0.2">
      <c r="A151" s="3"/>
      <c r="B151" s="3"/>
      <c r="C151" s="28"/>
    </row>
    <row r="152" spans="1:3" ht="12.75" x14ac:dyDescent="0.2">
      <c r="A152" s="3"/>
      <c r="B152" s="3"/>
      <c r="C152" s="28"/>
    </row>
    <row r="153" spans="1:3" ht="12.75" x14ac:dyDescent="0.2">
      <c r="A153" s="3"/>
      <c r="B153" s="3"/>
      <c r="C153" s="28"/>
    </row>
    <row r="154" spans="1:3" ht="12.75" x14ac:dyDescent="0.2">
      <c r="A154" s="3"/>
      <c r="B154" s="3"/>
      <c r="C154" s="28"/>
    </row>
    <row r="155" spans="1:3" ht="12.75" x14ac:dyDescent="0.2">
      <c r="A155" s="3"/>
      <c r="B155" s="3"/>
      <c r="C155" s="28"/>
    </row>
    <row r="156" spans="1:3" ht="12.75" x14ac:dyDescent="0.2">
      <c r="A156" s="3"/>
      <c r="B156" s="3"/>
      <c r="C156" s="28"/>
    </row>
    <row r="157" spans="1:3" ht="12.75" x14ac:dyDescent="0.2">
      <c r="A157" s="3"/>
      <c r="B157" s="3"/>
      <c r="C157" s="28"/>
    </row>
    <row r="158" spans="1:3" ht="12.75" x14ac:dyDescent="0.2">
      <c r="A158" s="3"/>
      <c r="B158" s="3"/>
      <c r="C158" s="28"/>
    </row>
    <row r="159" spans="1:3" ht="12.75" x14ac:dyDescent="0.2">
      <c r="A159" s="3"/>
      <c r="B159" s="3"/>
      <c r="C159" s="28"/>
    </row>
    <row r="160" spans="1:3" ht="12.75" x14ac:dyDescent="0.2">
      <c r="A160" s="3"/>
      <c r="B160" s="3"/>
      <c r="C160" s="28"/>
    </row>
    <row r="161" spans="1:3" ht="12.75" x14ac:dyDescent="0.2">
      <c r="A161" s="3"/>
      <c r="B161" s="3"/>
      <c r="C161" s="28"/>
    </row>
    <row r="162" spans="1:3" ht="12.75" x14ac:dyDescent="0.2">
      <c r="A162" s="3"/>
      <c r="B162" s="3"/>
      <c r="C162" s="28"/>
    </row>
    <row r="163" spans="1:3" ht="12.75" x14ac:dyDescent="0.2">
      <c r="A163" s="3"/>
      <c r="B163" s="3"/>
      <c r="C163" s="28"/>
    </row>
    <row r="164" spans="1:3" ht="12.75" x14ac:dyDescent="0.2">
      <c r="A164" s="3"/>
      <c r="B164" s="3"/>
      <c r="C164" s="28"/>
    </row>
    <row r="165" spans="1:3" ht="12.75" x14ac:dyDescent="0.2">
      <c r="A165" s="3"/>
      <c r="B165" s="3"/>
      <c r="C165" s="28"/>
    </row>
    <row r="166" spans="1:3" ht="12.75" x14ac:dyDescent="0.2">
      <c r="A166" s="3"/>
      <c r="B166" s="3"/>
      <c r="C166" s="28"/>
    </row>
    <row r="167" spans="1:3" ht="12.75" x14ac:dyDescent="0.2">
      <c r="A167" s="3"/>
      <c r="B167" s="3"/>
      <c r="C167" s="28"/>
    </row>
    <row r="168" spans="1:3" ht="12.75" x14ac:dyDescent="0.2">
      <c r="A168" s="3"/>
      <c r="B168" s="3"/>
      <c r="C168" s="28"/>
    </row>
    <row r="169" spans="1:3" ht="12.75" x14ac:dyDescent="0.2">
      <c r="A169" s="3"/>
      <c r="B169" s="3"/>
      <c r="C169" s="28"/>
    </row>
    <row r="170" spans="1:3" ht="12.75" x14ac:dyDescent="0.2">
      <c r="A170" s="3"/>
      <c r="B170" s="3"/>
      <c r="C170" s="28"/>
    </row>
    <row r="171" spans="1:3" ht="12.75" x14ac:dyDescent="0.2">
      <c r="A171" s="3"/>
      <c r="B171" s="3"/>
      <c r="C171" s="28"/>
    </row>
    <row r="172" spans="1:3" ht="12.75" x14ac:dyDescent="0.2">
      <c r="A172" s="3"/>
      <c r="B172" s="3"/>
      <c r="C172" s="28"/>
    </row>
    <row r="173" spans="1:3" ht="12.75" x14ac:dyDescent="0.2">
      <c r="A173" s="3"/>
      <c r="B173" s="3"/>
      <c r="C173" s="28"/>
    </row>
    <row r="174" spans="1:3" ht="12.75" x14ac:dyDescent="0.2">
      <c r="A174" s="3"/>
      <c r="B174" s="3"/>
      <c r="C174" s="28"/>
    </row>
    <row r="175" spans="1:3" ht="12.75" x14ac:dyDescent="0.2">
      <c r="A175" s="3"/>
      <c r="B175" s="3"/>
      <c r="C175" s="28"/>
    </row>
    <row r="176" spans="1:3" ht="12.75" x14ac:dyDescent="0.2">
      <c r="A176" s="3"/>
      <c r="B176" s="3"/>
      <c r="C176" s="28"/>
    </row>
    <row r="177" spans="1:3" ht="12.75" x14ac:dyDescent="0.2">
      <c r="A177" s="3"/>
      <c r="B177" s="3"/>
      <c r="C177" s="28"/>
    </row>
    <row r="178" spans="1:3" ht="12.75" x14ac:dyDescent="0.2">
      <c r="A178" s="3"/>
      <c r="B178" s="3"/>
      <c r="C178" s="28"/>
    </row>
    <row r="179" spans="1:3" ht="12.75" x14ac:dyDescent="0.2">
      <c r="A179" s="3"/>
      <c r="B179" s="3"/>
      <c r="C179" s="28"/>
    </row>
    <row r="180" spans="1:3" ht="12.75" x14ac:dyDescent="0.2">
      <c r="A180" s="3"/>
      <c r="B180" s="3"/>
      <c r="C180" s="28"/>
    </row>
    <row r="181" spans="1:3" ht="12.75" x14ac:dyDescent="0.2">
      <c r="A181" s="3"/>
      <c r="B181" s="3"/>
      <c r="C181" s="28"/>
    </row>
    <row r="182" spans="1:3" ht="12.75" x14ac:dyDescent="0.2">
      <c r="A182" s="3"/>
      <c r="B182" s="3"/>
      <c r="C182" s="28"/>
    </row>
    <row r="183" spans="1:3" ht="12.75" x14ac:dyDescent="0.2">
      <c r="A183" s="3"/>
      <c r="B183" s="3"/>
      <c r="C183" s="28"/>
    </row>
    <row r="184" spans="1:3" ht="12.75" x14ac:dyDescent="0.2">
      <c r="A184" s="3"/>
      <c r="B184" s="3"/>
      <c r="C184" s="28"/>
    </row>
    <row r="185" spans="1:3" ht="12.75" x14ac:dyDescent="0.2">
      <c r="A185" s="3"/>
      <c r="B185" s="3"/>
      <c r="C185" s="28"/>
    </row>
    <row r="186" spans="1:3" ht="12.75" x14ac:dyDescent="0.2">
      <c r="A186" s="3"/>
      <c r="B186" s="3"/>
      <c r="C186" s="28"/>
    </row>
    <row r="187" spans="1:3" ht="12.75" x14ac:dyDescent="0.2">
      <c r="A187" s="3"/>
      <c r="B187" s="3"/>
      <c r="C187" s="28"/>
    </row>
    <row r="188" spans="1:3" ht="12.75" x14ac:dyDescent="0.2">
      <c r="A188" s="3"/>
      <c r="B188" s="3"/>
      <c r="C188" s="28"/>
    </row>
    <row r="189" spans="1:3" ht="12.75" x14ac:dyDescent="0.2">
      <c r="A189" s="3"/>
      <c r="B189" s="3"/>
      <c r="C189" s="28"/>
    </row>
    <row r="190" spans="1:3" ht="12.75" x14ac:dyDescent="0.2">
      <c r="A190" s="3"/>
      <c r="B190" s="3"/>
      <c r="C190" s="28"/>
    </row>
    <row r="191" spans="1:3" ht="12.75" x14ac:dyDescent="0.2">
      <c r="A191" s="3"/>
      <c r="B191" s="3"/>
      <c r="C191" s="28"/>
    </row>
    <row r="192" spans="1:3" ht="12.75" x14ac:dyDescent="0.2">
      <c r="A192" s="3"/>
      <c r="B192" s="3"/>
      <c r="C192" s="28"/>
    </row>
    <row r="193" spans="1:3" ht="12.75" x14ac:dyDescent="0.2">
      <c r="A193" s="3"/>
      <c r="B193" s="3"/>
      <c r="C193" s="28"/>
    </row>
    <row r="194" spans="1:3" ht="12.75" x14ac:dyDescent="0.2">
      <c r="A194" s="3"/>
      <c r="B194" s="3"/>
      <c r="C194" s="28"/>
    </row>
    <row r="195" spans="1:3" ht="12.75" x14ac:dyDescent="0.2">
      <c r="A195" s="3"/>
      <c r="B195" s="3"/>
      <c r="C195" s="28"/>
    </row>
    <row r="196" spans="1:3" ht="12.75" x14ac:dyDescent="0.2">
      <c r="A196" s="3"/>
      <c r="B196" s="3"/>
      <c r="C196" s="28"/>
    </row>
    <row r="197" spans="1:3" ht="12.75" x14ac:dyDescent="0.2">
      <c r="A197" s="3"/>
      <c r="B197" s="3"/>
      <c r="C197" s="28"/>
    </row>
    <row r="198" spans="1:3" ht="12.75" x14ac:dyDescent="0.2">
      <c r="A198" s="3"/>
      <c r="B198" s="3"/>
      <c r="C198" s="28"/>
    </row>
    <row r="199" spans="1:3" ht="12.75" x14ac:dyDescent="0.2">
      <c r="A199" s="3"/>
      <c r="B199" s="3"/>
      <c r="C199" s="28"/>
    </row>
    <row r="200" spans="1:3" ht="12.75" x14ac:dyDescent="0.2">
      <c r="A200" s="3"/>
      <c r="B200" s="3"/>
      <c r="C200" s="28"/>
    </row>
    <row r="201" spans="1:3" ht="12.75" x14ac:dyDescent="0.2">
      <c r="A201" s="3"/>
      <c r="B201" s="3"/>
      <c r="C201" s="28"/>
    </row>
    <row r="202" spans="1:3" ht="12.75" x14ac:dyDescent="0.2">
      <c r="A202" s="3"/>
      <c r="B202" s="3"/>
      <c r="C202" s="28"/>
    </row>
    <row r="203" spans="1:3" ht="12.75" x14ac:dyDescent="0.2">
      <c r="A203" s="3"/>
      <c r="B203" s="3"/>
      <c r="C203" s="28"/>
    </row>
    <row r="204" spans="1:3" ht="12.75" x14ac:dyDescent="0.2">
      <c r="A204" s="3"/>
      <c r="B204" s="3"/>
      <c r="C204" s="28"/>
    </row>
    <row r="205" spans="1:3" ht="12.75" x14ac:dyDescent="0.2">
      <c r="A205" s="3"/>
      <c r="B205" s="3"/>
      <c r="C205" s="28"/>
    </row>
    <row r="206" spans="1:3" ht="12.75" x14ac:dyDescent="0.2">
      <c r="A206" s="3"/>
      <c r="B206" s="3"/>
      <c r="C206" s="28"/>
    </row>
    <row r="207" spans="1:3" ht="12.75" x14ac:dyDescent="0.2">
      <c r="A207" s="3"/>
      <c r="B207" s="3"/>
      <c r="C207" s="28"/>
    </row>
    <row r="208" spans="1:3" ht="12.75" x14ac:dyDescent="0.2">
      <c r="A208" s="3"/>
      <c r="B208" s="3"/>
      <c r="C208" s="28"/>
    </row>
    <row r="209" spans="1:3" ht="12.75" x14ac:dyDescent="0.2">
      <c r="A209" s="3"/>
      <c r="B209" s="3"/>
      <c r="C209" s="28"/>
    </row>
    <row r="210" spans="1:3" ht="12.75" x14ac:dyDescent="0.2">
      <c r="A210" s="3"/>
      <c r="B210" s="3"/>
      <c r="C210" s="28"/>
    </row>
    <row r="211" spans="1:3" ht="12.75" x14ac:dyDescent="0.2">
      <c r="A211" s="3"/>
      <c r="B211" s="3"/>
      <c r="C211" s="28"/>
    </row>
    <row r="212" spans="1:3" ht="12.75" x14ac:dyDescent="0.2">
      <c r="A212" s="3"/>
      <c r="B212" s="3"/>
      <c r="C212" s="28"/>
    </row>
    <row r="213" spans="1:3" ht="12.75" x14ac:dyDescent="0.2">
      <c r="A213" s="3"/>
      <c r="B213" s="3"/>
      <c r="C213" s="28"/>
    </row>
    <row r="214" spans="1:3" ht="12.75" x14ac:dyDescent="0.2">
      <c r="A214" s="3"/>
      <c r="B214" s="3"/>
      <c r="C214" s="28"/>
    </row>
    <row r="215" spans="1:3" ht="12.75" x14ac:dyDescent="0.2">
      <c r="A215" s="3"/>
      <c r="B215" s="3"/>
      <c r="C215" s="28"/>
    </row>
    <row r="216" spans="1:3" ht="12.75" x14ac:dyDescent="0.2">
      <c r="A216" s="3"/>
      <c r="B216" s="3"/>
      <c r="C216" s="28"/>
    </row>
    <row r="217" spans="1:3" ht="12.75" x14ac:dyDescent="0.2">
      <c r="A217" s="3"/>
      <c r="B217" s="3"/>
      <c r="C217" s="28"/>
    </row>
    <row r="218" spans="1:3" ht="12.75" x14ac:dyDescent="0.2">
      <c r="A218" s="3"/>
      <c r="B218" s="3"/>
      <c r="C218" s="28"/>
    </row>
    <row r="219" spans="1:3" ht="12.75" x14ac:dyDescent="0.2">
      <c r="A219" s="3"/>
      <c r="B219" s="3"/>
      <c r="C219" s="28"/>
    </row>
    <row r="220" spans="1:3" ht="12.75" x14ac:dyDescent="0.2">
      <c r="A220" s="3"/>
      <c r="B220" s="3"/>
      <c r="C220" s="28"/>
    </row>
    <row r="221" spans="1:3" ht="12.75" x14ac:dyDescent="0.2">
      <c r="A221" s="3"/>
      <c r="B221" s="3"/>
      <c r="C221" s="28"/>
    </row>
    <row r="222" spans="1:3" ht="12.75" x14ac:dyDescent="0.2">
      <c r="A222" s="3"/>
      <c r="B222" s="3"/>
      <c r="C222" s="28"/>
    </row>
    <row r="223" spans="1:3" ht="12.75" x14ac:dyDescent="0.2">
      <c r="A223" s="3"/>
      <c r="B223" s="3"/>
      <c r="C223" s="28"/>
    </row>
    <row r="224" spans="1:3" ht="12.75" x14ac:dyDescent="0.2">
      <c r="A224" s="3"/>
      <c r="B224" s="3"/>
      <c r="C224" s="28"/>
    </row>
    <row r="225" spans="1:3" ht="12.75" x14ac:dyDescent="0.2">
      <c r="A225" s="3"/>
      <c r="B225" s="3"/>
      <c r="C225" s="28"/>
    </row>
    <row r="226" spans="1:3" ht="12.75" x14ac:dyDescent="0.2">
      <c r="A226" s="3"/>
      <c r="B226" s="3"/>
      <c r="C226" s="28"/>
    </row>
    <row r="227" spans="1:3" ht="12.75" x14ac:dyDescent="0.2">
      <c r="A227" s="3"/>
      <c r="B227" s="3"/>
      <c r="C227" s="28"/>
    </row>
    <row r="228" spans="1:3" ht="12.75" x14ac:dyDescent="0.2">
      <c r="A228" s="3"/>
      <c r="B228" s="3"/>
      <c r="C228" s="28"/>
    </row>
    <row r="229" spans="1:3" ht="12.75" x14ac:dyDescent="0.2">
      <c r="A229" s="3"/>
      <c r="B229" s="3"/>
      <c r="C229" s="28"/>
    </row>
    <row r="230" spans="1:3" ht="12.75" x14ac:dyDescent="0.2">
      <c r="A230" s="3"/>
      <c r="B230" s="3"/>
      <c r="C230" s="28"/>
    </row>
    <row r="231" spans="1:3" ht="12.75" x14ac:dyDescent="0.2">
      <c r="A231" s="3"/>
      <c r="B231" s="3"/>
      <c r="C231" s="28"/>
    </row>
    <row r="232" spans="1:3" ht="12.75" x14ac:dyDescent="0.2">
      <c r="A232" s="3"/>
      <c r="B232" s="3"/>
      <c r="C232" s="28"/>
    </row>
    <row r="233" spans="1:3" ht="12.75" x14ac:dyDescent="0.2">
      <c r="A233" s="3"/>
      <c r="B233" s="3"/>
      <c r="C233" s="28"/>
    </row>
    <row r="234" spans="1:3" ht="12.75" x14ac:dyDescent="0.2">
      <c r="A234" s="3"/>
      <c r="B234" s="3"/>
      <c r="C234" s="28"/>
    </row>
    <row r="235" spans="1:3" ht="12.75" x14ac:dyDescent="0.2">
      <c r="A235" s="3"/>
      <c r="B235" s="3"/>
      <c r="C235" s="28"/>
    </row>
    <row r="236" spans="1:3" ht="12.75" x14ac:dyDescent="0.2">
      <c r="A236" s="3"/>
      <c r="B236" s="3"/>
      <c r="C236" s="28"/>
    </row>
    <row r="237" spans="1:3" ht="12.75" x14ac:dyDescent="0.2">
      <c r="A237" s="3"/>
      <c r="B237" s="3"/>
      <c r="C237" s="28"/>
    </row>
    <row r="238" spans="1:3" ht="12.75" x14ac:dyDescent="0.2">
      <c r="A238" s="3"/>
      <c r="B238" s="3"/>
      <c r="C238" s="28"/>
    </row>
    <row r="239" spans="1:3" ht="12.75" x14ac:dyDescent="0.2">
      <c r="A239" s="3"/>
      <c r="B239" s="3"/>
      <c r="C239" s="28"/>
    </row>
    <row r="240" spans="1:3" ht="12.75" x14ac:dyDescent="0.2">
      <c r="A240" s="3"/>
      <c r="B240" s="3"/>
      <c r="C240" s="28"/>
    </row>
    <row r="241" spans="1:3" ht="12.75" x14ac:dyDescent="0.2">
      <c r="A241" s="3"/>
      <c r="B241" s="3"/>
      <c r="C241" s="28"/>
    </row>
    <row r="242" spans="1:3" ht="12.75" x14ac:dyDescent="0.2">
      <c r="A242" s="3"/>
      <c r="B242" s="3"/>
      <c r="C242" s="28"/>
    </row>
    <row r="243" spans="1:3" ht="12.75" x14ac:dyDescent="0.2">
      <c r="A243" s="3"/>
      <c r="B243" s="3"/>
      <c r="C243" s="28"/>
    </row>
    <row r="244" spans="1:3" ht="12.75" x14ac:dyDescent="0.2">
      <c r="A244" s="3"/>
      <c r="B244" s="3"/>
      <c r="C244" s="28"/>
    </row>
    <row r="245" spans="1:3" ht="12.75" x14ac:dyDescent="0.2">
      <c r="A245" s="3"/>
      <c r="B245" s="3"/>
      <c r="C245" s="28"/>
    </row>
    <row r="246" spans="1:3" ht="12.75" x14ac:dyDescent="0.2">
      <c r="A246" s="3"/>
      <c r="B246" s="3"/>
      <c r="C246" s="28"/>
    </row>
    <row r="247" spans="1:3" ht="12.75" x14ac:dyDescent="0.2">
      <c r="A247" s="3"/>
      <c r="B247" s="3"/>
      <c r="C247" s="28"/>
    </row>
    <row r="248" spans="1:3" ht="12.75" x14ac:dyDescent="0.2">
      <c r="A248" s="3"/>
      <c r="B248" s="3"/>
      <c r="C248" s="28"/>
    </row>
    <row r="249" spans="1:3" ht="12.75" x14ac:dyDescent="0.2">
      <c r="A249" s="3"/>
      <c r="B249" s="3"/>
      <c r="C249" s="28"/>
    </row>
    <row r="250" spans="1:3" ht="12.75" x14ac:dyDescent="0.2">
      <c r="A250" s="3"/>
      <c r="B250" s="3"/>
      <c r="C250" s="28"/>
    </row>
    <row r="251" spans="1:3" ht="12.75" x14ac:dyDescent="0.2">
      <c r="A251" s="3"/>
      <c r="B251" s="3"/>
      <c r="C251" s="28"/>
    </row>
    <row r="252" spans="1:3" ht="12.75" x14ac:dyDescent="0.2">
      <c r="A252" s="3"/>
      <c r="B252" s="3"/>
      <c r="C252" s="28"/>
    </row>
    <row r="253" spans="1:3" ht="12.75" x14ac:dyDescent="0.2">
      <c r="A253" s="3"/>
      <c r="B253" s="3"/>
      <c r="C253" s="28"/>
    </row>
    <row r="254" spans="1:3" ht="12.75" x14ac:dyDescent="0.2">
      <c r="A254" s="3"/>
      <c r="B254" s="3"/>
      <c r="C254" s="28"/>
    </row>
    <row r="255" spans="1:3" ht="12.75" x14ac:dyDescent="0.2">
      <c r="A255" s="3"/>
      <c r="B255" s="3"/>
      <c r="C255" s="28"/>
    </row>
    <row r="256" spans="1:3" ht="12.75" x14ac:dyDescent="0.2">
      <c r="A256" s="3"/>
      <c r="B256" s="3"/>
      <c r="C256" s="28"/>
    </row>
    <row r="257" spans="1:3" ht="12.75" x14ac:dyDescent="0.2">
      <c r="A257" s="3"/>
      <c r="B257" s="3"/>
      <c r="C257" s="28"/>
    </row>
    <row r="258" spans="1:3" ht="12.75" x14ac:dyDescent="0.2">
      <c r="A258" s="3"/>
      <c r="B258" s="3"/>
      <c r="C258" s="28"/>
    </row>
    <row r="259" spans="1:3" ht="12.75" x14ac:dyDescent="0.2">
      <c r="A259" s="3"/>
      <c r="B259" s="3"/>
      <c r="C259" s="28"/>
    </row>
    <row r="260" spans="1:3" ht="12.75" x14ac:dyDescent="0.2">
      <c r="A260" s="3"/>
      <c r="B260" s="3"/>
      <c r="C260" s="28"/>
    </row>
    <row r="261" spans="1:3" ht="12.75" x14ac:dyDescent="0.2">
      <c r="A261" s="3"/>
      <c r="B261" s="3"/>
      <c r="C261" s="28"/>
    </row>
    <row r="262" spans="1:3" ht="12.75" x14ac:dyDescent="0.2">
      <c r="A262" s="3"/>
      <c r="B262" s="3"/>
      <c r="C262" s="28"/>
    </row>
    <row r="263" spans="1:3" ht="12.75" x14ac:dyDescent="0.2">
      <c r="A263" s="3"/>
      <c r="B263" s="3"/>
      <c r="C263" s="28"/>
    </row>
    <row r="264" spans="1:3" ht="12.75" x14ac:dyDescent="0.2">
      <c r="A264" s="3"/>
      <c r="B264" s="3"/>
      <c r="C264" s="28"/>
    </row>
    <row r="265" spans="1:3" ht="12.75" x14ac:dyDescent="0.2">
      <c r="A265" s="3"/>
      <c r="B265" s="3"/>
      <c r="C265" s="28"/>
    </row>
    <row r="266" spans="1:3" ht="12.75" x14ac:dyDescent="0.2">
      <c r="A266" s="3"/>
      <c r="B266" s="3"/>
      <c r="C266" s="28"/>
    </row>
    <row r="267" spans="1:3" ht="12.75" x14ac:dyDescent="0.2">
      <c r="A267" s="3"/>
      <c r="B267" s="3"/>
      <c r="C267" s="28"/>
    </row>
    <row r="268" spans="1:3" ht="12.75" x14ac:dyDescent="0.2">
      <c r="A268" s="3"/>
      <c r="B268" s="3"/>
      <c r="C268" s="28"/>
    </row>
    <row r="269" spans="1:3" ht="12.75" x14ac:dyDescent="0.2">
      <c r="A269" s="3"/>
      <c r="B269" s="3"/>
      <c r="C269" s="28"/>
    </row>
    <row r="270" spans="1:3" ht="12.75" x14ac:dyDescent="0.2">
      <c r="A270" s="3"/>
      <c r="B270" s="3"/>
      <c r="C270" s="28"/>
    </row>
    <row r="271" spans="1:3" ht="12.75" x14ac:dyDescent="0.2">
      <c r="A271" s="3"/>
      <c r="B271" s="3"/>
      <c r="C271" s="28"/>
    </row>
    <row r="272" spans="1:3" ht="12.75" x14ac:dyDescent="0.2">
      <c r="A272" s="3"/>
      <c r="B272" s="3"/>
      <c r="C272" s="28"/>
    </row>
    <row r="273" spans="1:3" ht="12.75" x14ac:dyDescent="0.2">
      <c r="A273" s="3"/>
      <c r="B273" s="3"/>
      <c r="C273" s="28"/>
    </row>
    <row r="274" spans="1:3" ht="12.75" x14ac:dyDescent="0.2">
      <c r="A274" s="3"/>
      <c r="B274" s="3"/>
      <c r="C274" s="28"/>
    </row>
    <row r="275" spans="1:3" ht="12.75" x14ac:dyDescent="0.2">
      <c r="A275" s="3"/>
      <c r="B275" s="3"/>
      <c r="C275" s="28"/>
    </row>
    <row r="276" spans="1:3" ht="12.75" x14ac:dyDescent="0.2">
      <c r="A276" s="3"/>
      <c r="B276" s="3"/>
      <c r="C276" s="28"/>
    </row>
    <row r="277" spans="1:3" ht="12.75" x14ac:dyDescent="0.2">
      <c r="A277" s="3"/>
      <c r="B277" s="3"/>
      <c r="C277" s="28"/>
    </row>
    <row r="278" spans="1:3" ht="12.75" x14ac:dyDescent="0.2">
      <c r="A278" s="3"/>
      <c r="B278" s="3"/>
      <c r="C278" s="28"/>
    </row>
    <row r="279" spans="1:3" ht="12.75" x14ac:dyDescent="0.2">
      <c r="A279" s="3"/>
      <c r="B279" s="3"/>
      <c r="C279" s="28"/>
    </row>
    <row r="280" spans="1:3" ht="12.75" x14ac:dyDescent="0.2">
      <c r="A280" s="3"/>
      <c r="B280" s="3"/>
      <c r="C280" s="28"/>
    </row>
    <row r="281" spans="1:3" ht="12.75" x14ac:dyDescent="0.2">
      <c r="A281" s="3"/>
      <c r="B281" s="3"/>
      <c r="C281" s="28"/>
    </row>
    <row r="282" spans="1:3" ht="12.75" x14ac:dyDescent="0.2">
      <c r="A282" s="3"/>
      <c r="B282" s="3"/>
      <c r="C282" s="28"/>
    </row>
    <row r="283" spans="1:3" ht="12.75" x14ac:dyDescent="0.2">
      <c r="A283" s="3"/>
      <c r="B283" s="3"/>
      <c r="C283" s="28"/>
    </row>
    <row r="284" spans="1:3" ht="12.75" x14ac:dyDescent="0.2">
      <c r="A284" s="3"/>
      <c r="B284" s="3"/>
      <c r="C284" s="28"/>
    </row>
    <row r="285" spans="1:3" ht="12.75" x14ac:dyDescent="0.2">
      <c r="A285" s="3"/>
      <c r="B285" s="3"/>
      <c r="C285" s="28"/>
    </row>
    <row r="286" spans="1:3" ht="12.75" x14ac:dyDescent="0.2">
      <c r="A286" s="3"/>
      <c r="B286" s="3"/>
      <c r="C286" s="28"/>
    </row>
    <row r="287" spans="1:3" ht="12.75" x14ac:dyDescent="0.2">
      <c r="A287" s="3"/>
      <c r="B287" s="3"/>
      <c r="C287" s="28"/>
    </row>
    <row r="288" spans="1:3" ht="12.75" x14ac:dyDescent="0.2">
      <c r="A288" s="3"/>
      <c r="B288" s="3"/>
      <c r="C288" s="28"/>
    </row>
    <row r="289" spans="1:3" ht="12.75" x14ac:dyDescent="0.2">
      <c r="A289" s="3"/>
      <c r="B289" s="3"/>
      <c r="C289" s="28"/>
    </row>
    <row r="290" spans="1:3" ht="12.75" x14ac:dyDescent="0.2">
      <c r="A290" s="3"/>
      <c r="B290" s="3"/>
      <c r="C290" s="28"/>
    </row>
    <row r="291" spans="1:3" ht="12.75" x14ac:dyDescent="0.2">
      <c r="A291" s="3"/>
      <c r="B291" s="3"/>
      <c r="C291" s="28"/>
    </row>
    <row r="292" spans="1:3" ht="12.75" x14ac:dyDescent="0.2">
      <c r="A292" s="3"/>
      <c r="B292" s="3"/>
      <c r="C292" s="28"/>
    </row>
    <row r="293" spans="1:3" ht="12.75" x14ac:dyDescent="0.2">
      <c r="A293" s="3"/>
      <c r="B293" s="3"/>
      <c r="C293" s="28"/>
    </row>
    <row r="294" spans="1:3" ht="12.75" x14ac:dyDescent="0.2">
      <c r="A294" s="3"/>
      <c r="B294" s="3"/>
      <c r="C294" s="28"/>
    </row>
    <row r="295" spans="1:3" ht="12.75" x14ac:dyDescent="0.2">
      <c r="A295" s="3"/>
      <c r="B295" s="3"/>
      <c r="C295" s="28"/>
    </row>
    <row r="296" spans="1:3" ht="12.75" x14ac:dyDescent="0.2">
      <c r="A296" s="3"/>
      <c r="B296" s="3"/>
      <c r="C296" s="28"/>
    </row>
    <row r="297" spans="1:3" ht="12.75" x14ac:dyDescent="0.2">
      <c r="A297" s="3"/>
      <c r="B297" s="3"/>
      <c r="C297" s="28"/>
    </row>
    <row r="298" spans="1:3" ht="12.75" x14ac:dyDescent="0.2">
      <c r="A298" s="3"/>
      <c r="B298" s="3"/>
      <c r="C298" s="28"/>
    </row>
    <row r="299" spans="1:3" ht="12.75" x14ac:dyDescent="0.2">
      <c r="A299" s="3"/>
      <c r="B299" s="3"/>
      <c r="C299" s="28"/>
    </row>
    <row r="300" spans="1:3" ht="12.75" x14ac:dyDescent="0.2">
      <c r="A300" s="3"/>
      <c r="B300" s="3"/>
      <c r="C300" s="28"/>
    </row>
    <row r="301" spans="1:3" ht="12.75" x14ac:dyDescent="0.2">
      <c r="A301" s="3"/>
      <c r="B301" s="3"/>
      <c r="C301" s="28"/>
    </row>
    <row r="302" spans="1:3" ht="12.75" x14ac:dyDescent="0.2">
      <c r="A302" s="3"/>
      <c r="B302" s="3"/>
      <c r="C302" s="28"/>
    </row>
    <row r="303" spans="1:3" ht="12.75" x14ac:dyDescent="0.2">
      <c r="A303" s="3"/>
      <c r="B303" s="3"/>
      <c r="C303" s="28"/>
    </row>
    <row r="304" spans="1:3" ht="12.75" x14ac:dyDescent="0.2">
      <c r="A304" s="3"/>
      <c r="B304" s="3"/>
      <c r="C304" s="28"/>
    </row>
    <row r="305" spans="1:3" ht="12.75" x14ac:dyDescent="0.2">
      <c r="A305" s="3"/>
      <c r="B305" s="3"/>
      <c r="C305" s="28"/>
    </row>
    <row r="306" spans="1:3" ht="12.75" x14ac:dyDescent="0.2">
      <c r="A306" s="3"/>
      <c r="B306" s="3"/>
      <c r="C306" s="28"/>
    </row>
    <row r="307" spans="1:3" ht="12.75" x14ac:dyDescent="0.2">
      <c r="A307" s="3"/>
      <c r="B307" s="3"/>
      <c r="C307" s="28"/>
    </row>
    <row r="308" spans="1:3" ht="12.75" x14ac:dyDescent="0.2">
      <c r="A308" s="3"/>
      <c r="B308" s="3"/>
      <c r="C308" s="28"/>
    </row>
    <row r="309" spans="1:3" ht="12.75" x14ac:dyDescent="0.2">
      <c r="A309" s="3"/>
      <c r="B309" s="3"/>
      <c r="C309" s="28"/>
    </row>
    <row r="310" spans="1:3" ht="12.75" x14ac:dyDescent="0.2">
      <c r="A310" s="3"/>
      <c r="B310" s="3"/>
      <c r="C310" s="28"/>
    </row>
    <row r="311" spans="1:3" ht="12.75" x14ac:dyDescent="0.2">
      <c r="A311" s="3"/>
      <c r="B311" s="3"/>
      <c r="C311" s="28"/>
    </row>
    <row r="312" spans="1:3" ht="12.75" x14ac:dyDescent="0.2">
      <c r="A312" s="3"/>
      <c r="B312" s="3"/>
      <c r="C312" s="28"/>
    </row>
    <row r="313" spans="1:3" ht="12.75" x14ac:dyDescent="0.2">
      <c r="A313" s="3"/>
      <c r="B313" s="3"/>
      <c r="C313" s="28"/>
    </row>
    <row r="314" spans="1:3" ht="12.75" x14ac:dyDescent="0.2">
      <c r="A314" s="3"/>
      <c r="B314" s="3"/>
      <c r="C314" s="28"/>
    </row>
    <row r="315" spans="1:3" ht="12.75" x14ac:dyDescent="0.2">
      <c r="A315" s="3"/>
      <c r="B315" s="3"/>
      <c r="C315" s="28"/>
    </row>
    <row r="316" spans="1:3" ht="12.75" x14ac:dyDescent="0.2">
      <c r="A316" s="3"/>
      <c r="B316" s="3"/>
      <c r="C316" s="28"/>
    </row>
    <row r="317" spans="1:3" ht="12.75" x14ac:dyDescent="0.2">
      <c r="A317" s="3"/>
      <c r="B317" s="3"/>
      <c r="C317" s="28"/>
    </row>
    <row r="318" spans="1:3" ht="12.75" x14ac:dyDescent="0.2">
      <c r="A318" s="3"/>
      <c r="B318" s="3"/>
      <c r="C318" s="28"/>
    </row>
    <row r="319" spans="1:3" ht="12.75" x14ac:dyDescent="0.2">
      <c r="A319" s="3"/>
      <c r="B319" s="3"/>
      <c r="C319" s="28"/>
    </row>
    <row r="320" spans="1:3" ht="12.75" x14ac:dyDescent="0.2">
      <c r="A320" s="3"/>
      <c r="B320" s="3"/>
      <c r="C320" s="28"/>
    </row>
    <row r="321" spans="1:3" ht="12.75" x14ac:dyDescent="0.2">
      <c r="A321" s="3"/>
      <c r="B321" s="3"/>
      <c r="C321" s="28"/>
    </row>
    <row r="322" spans="1:3" ht="12.75" x14ac:dyDescent="0.2">
      <c r="A322" s="3"/>
      <c r="B322" s="3"/>
      <c r="C322" s="28"/>
    </row>
    <row r="323" spans="1:3" ht="12.75" x14ac:dyDescent="0.2">
      <c r="A323" s="3"/>
      <c r="B323" s="3"/>
      <c r="C323" s="28"/>
    </row>
    <row r="324" spans="1:3" ht="12.75" x14ac:dyDescent="0.2">
      <c r="A324" s="3"/>
      <c r="B324" s="3"/>
      <c r="C324" s="28"/>
    </row>
    <row r="325" spans="1:3" ht="12.75" x14ac:dyDescent="0.2">
      <c r="A325" s="3"/>
      <c r="B325" s="3"/>
      <c r="C325" s="28"/>
    </row>
    <row r="326" spans="1:3" ht="12.75" x14ac:dyDescent="0.2">
      <c r="A326" s="3"/>
      <c r="B326" s="3"/>
      <c r="C326" s="28"/>
    </row>
    <row r="327" spans="1:3" ht="12.75" x14ac:dyDescent="0.2">
      <c r="A327" s="3"/>
      <c r="B327" s="3"/>
      <c r="C327" s="28"/>
    </row>
    <row r="328" spans="1:3" ht="12.75" x14ac:dyDescent="0.2">
      <c r="A328" s="3"/>
      <c r="B328" s="3"/>
      <c r="C328" s="28"/>
    </row>
    <row r="329" spans="1:3" ht="12.75" x14ac:dyDescent="0.2">
      <c r="A329" s="3"/>
      <c r="B329" s="3"/>
      <c r="C329" s="28"/>
    </row>
    <row r="330" spans="1:3" ht="12.75" x14ac:dyDescent="0.2">
      <c r="A330" s="3"/>
      <c r="B330" s="3"/>
      <c r="C330" s="28"/>
    </row>
    <row r="331" spans="1:3" ht="12.75" x14ac:dyDescent="0.2">
      <c r="A331" s="3"/>
      <c r="B331" s="3"/>
      <c r="C331" s="28"/>
    </row>
    <row r="332" spans="1:3" ht="12.75" x14ac:dyDescent="0.2">
      <c r="A332" s="3"/>
      <c r="B332" s="3"/>
      <c r="C332" s="28"/>
    </row>
    <row r="333" spans="1:3" ht="12.75" x14ac:dyDescent="0.2">
      <c r="A333" s="3"/>
      <c r="B333" s="3"/>
      <c r="C333" s="28"/>
    </row>
    <row r="334" spans="1:3" ht="12.75" x14ac:dyDescent="0.2">
      <c r="A334" s="3"/>
      <c r="B334" s="3"/>
      <c r="C334" s="28"/>
    </row>
    <row r="335" spans="1:3" ht="12.75" x14ac:dyDescent="0.2">
      <c r="A335" s="3"/>
      <c r="B335" s="3"/>
      <c r="C335" s="28"/>
    </row>
    <row r="336" spans="1:3" ht="12.75" x14ac:dyDescent="0.2">
      <c r="A336" s="3"/>
      <c r="B336" s="3"/>
      <c r="C336" s="28"/>
    </row>
    <row r="337" spans="1:3" ht="12.75" x14ac:dyDescent="0.2">
      <c r="A337" s="3"/>
      <c r="B337" s="3"/>
      <c r="C337" s="28"/>
    </row>
    <row r="338" spans="1:3" ht="12.75" x14ac:dyDescent="0.2">
      <c r="A338" s="3"/>
      <c r="B338" s="3"/>
      <c r="C338" s="28"/>
    </row>
    <row r="339" spans="1:3" ht="12.75" x14ac:dyDescent="0.2">
      <c r="A339" s="3"/>
      <c r="B339" s="3"/>
      <c r="C339" s="28"/>
    </row>
    <row r="340" spans="1:3" ht="12.75" x14ac:dyDescent="0.2">
      <c r="A340" s="3"/>
      <c r="B340" s="3"/>
      <c r="C340" s="28"/>
    </row>
    <row r="341" spans="1:3" ht="12.75" x14ac:dyDescent="0.2">
      <c r="A341" s="3"/>
      <c r="B341" s="3"/>
      <c r="C341" s="28"/>
    </row>
    <row r="342" spans="1:3" ht="12.75" x14ac:dyDescent="0.2">
      <c r="A342" s="3"/>
      <c r="B342" s="3"/>
      <c r="C342" s="28"/>
    </row>
    <row r="343" spans="1:3" ht="12.75" x14ac:dyDescent="0.2">
      <c r="A343" s="3"/>
      <c r="B343" s="3"/>
      <c r="C343" s="28"/>
    </row>
    <row r="344" spans="1:3" ht="12.75" x14ac:dyDescent="0.2">
      <c r="A344" s="3"/>
      <c r="B344" s="3"/>
      <c r="C344" s="28"/>
    </row>
    <row r="345" spans="1:3" ht="12.75" x14ac:dyDescent="0.2">
      <c r="A345" s="3"/>
      <c r="B345" s="3"/>
      <c r="C345" s="28"/>
    </row>
    <row r="346" spans="1:3" ht="12.75" x14ac:dyDescent="0.2">
      <c r="A346" s="3"/>
      <c r="B346" s="3"/>
      <c r="C346" s="28"/>
    </row>
    <row r="347" spans="1:3" ht="12.75" x14ac:dyDescent="0.2">
      <c r="A347" s="3"/>
      <c r="B347" s="3"/>
      <c r="C347" s="28"/>
    </row>
    <row r="348" spans="1:3" ht="12.75" x14ac:dyDescent="0.2">
      <c r="A348" s="3"/>
      <c r="B348" s="3"/>
      <c r="C348" s="28"/>
    </row>
    <row r="349" spans="1:3" ht="12.75" x14ac:dyDescent="0.2">
      <c r="A349" s="3"/>
      <c r="B349" s="3"/>
      <c r="C349" s="28"/>
    </row>
    <row r="350" spans="1:3" ht="12.75" x14ac:dyDescent="0.2">
      <c r="A350" s="3"/>
      <c r="B350" s="3"/>
      <c r="C350" s="28"/>
    </row>
    <row r="351" spans="1:3" ht="12.75" x14ac:dyDescent="0.2">
      <c r="A351" s="3"/>
      <c r="B351" s="3"/>
      <c r="C351" s="28"/>
    </row>
    <row r="352" spans="1:3" ht="12.75" x14ac:dyDescent="0.2">
      <c r="A352" s="3"/>
      <c r="B352" s="3"/>
      <c r="C352" s="28"/>
    </row>
    <row r="353" spans="1:3" ht="12.75" x14ac:dyDescent="0.2">
      <c r="A353" s="3"/>
      <c r="B353" s="3"/>
      <c r="C353" s="28"/>
    </row>
    <row r="354" spans="1:3" ht="12.75" x14ac:dyDescent="0.2">
      <c r="A354" s="3"/>
      <c r="B354" s="3"/>
      <c r="C354" s="28"/>
    </row>
    <row r="355" spans="1:3" ht="12.75" x14ac:dyDescent="0.2">
      <c r="A355" s="3"/>
      <c r="B355" s="3"/>
      <c r="C355" s="28"/>
    </row>
    <row r="356" spans="1:3" ht="12.75" x14ac:dyDescent="0.2">
      <c r="A356" s="3"/>
      <c r="B356" s="3"/>
      <c r="C356" s="28"/>
    </row>
    <row r="357" spans="1:3" ht="12.75" x14ac:dyDescent="0.2">
      <c r="A357" s="3"/>
      <c r="B357" s="3"/>
      <c r="C357" s="28"/>
    </row>
    <row r="358" spans="1:3" ht="12.75" x14ac:dyDescent="0.2">
      <c r="A358" s="3"/>
      <c r="B358" s="3"/>
      <c r="C358" s="28"/>
    </row>
    <row r="359" spans="1:3" ht="12.75" x14ac:dyDescent="0.2">
      <c r="A359" s="3"/>
      <c r="B359" s="3"/>
      <c r="C359" s="28"/>
    </row>
    <row r="360" spans="1:3" ht="12.75" x14ac:dyDescent="0.2">
      <c r="A360" s="3"/>
      <c r="B360" s="3"/>
      <c r="C360" s="28"/>
    </row>
    <row r="361" spans="1:3" ht="12.75" x14ac:dyDescent="0.2">
      <c r="A361" s="3"/>
      <c r="B361" s="3"/>
      <c r="C361" s="28"/>
    </row>
    <row r="362" spans="1:3" ht="12.75" x14ac:dyDescent="0.2">
      <c r="A362" s="3"/>
      <c r="B362" s="3"/>
      <c r="C362" s="28"/>
    </row>
    <row r="363" spans="1:3" ht="12.75" x14ac:dyDescent="0.2">
      <c r="A363" s="3"/>
      <c r="B363" s="3"/>
      <c r="C363" s="28"/>
    </row>
    <row r="364" spans="1:3" ht="12.75" x14ac:dyDescent="0.2">
      <c r="A364" s="3"/>
      <c r="B364" s="3"/>
      <c r="C364" s="28"/>
    </row>
    <row r="365" spans="1:3" ht="12.75" x14ac:dyDescent="0.2">
      <c r="A365" s="3"/>
      <c r="B365" s="3"/>
      <c r="C365" s="28"/>
    </row>
    <row r="366" spans="1:3" ht="12.75" x14ac:dyDescent="0.2">
      <c r="A366" s="3"/>
      <c r="B366" s="3"/>
      <c r="C366" s="28"/>
    </row>
    <row r="367" spans="1:3" ht="12.75" x14ac:dyDescent="0.2">
      <c r="A367" s="3"/>
      <c r="B367" s="3"/>
      <c r="C367" s="28"/>
    </row>
    <row r="368" spans="1:3" ht="12.75" x14ac:dyDescent="0.2">
      <c r="A368" s="3"/>
      <c r="B368" s="3"/>
      <c r="C368" s="28"/>
    </row>
    <row r="369" spans="1:3" ht="12.75" x14ac:dyDescent="0.2">
      <c r="A369" s="3"/>
      <c r="B369" s="3"/>
      <c r="C369" s="28"/>
    </row>
    <row r="370" spans="1:3" ht="12.75" x14ac:dyDescent="0.2">
      <c r="A370" s="3"/>
      <c r="B370" s="3"/>
      <c r="C370" s="28"/>
    </row>
    <row r="371" spans="1:3" ht="12.75" x14ac:dyDescent="0.2">
      <c r="A371" s="3"/>
      <c r="B371" s="3"/>
      <c r="C371" s="28"/>
    </row>
    <row r="372" spans="1:3" ht="12.75" x14ac:dyDescent="0.2">
      <c r="A372" s="3"/>
      <c r="B372" s="3"/>
      <c r="C372" s="28"/>
    </row>
    <row r="373" spans="1:3" ht="12.75" x14ac:dyDescent="0.2">
      <c r="A373" s="3"/>
      <c r="B373" s="3"/>
      <c r="C373" s="28"/>
    </row>
    <row r="374" spans="1:3" ht="12.75" x14ac:dyDescent="0.2">
      <c r="A374" s="3"/>
      <c r="B374" s="3"/>
      <c r="C374" s="28"/>
    </row>
    <row r="375" spans="1:3" ht="12.75" x14ac:dyDescent="0.2">
      <c r="A375" s="3"/>
      <c r="B375" s="3"/>
      <c r="C375" s="28"/>
    </row>
    <row r="376" spans="1:3" ht="12.75" x14ac:dyDescent="0.2">
      <c r="A376" s="3"/>
      <c r="B376" s="3"/>
      <c r="C376" s="28"/>
    </row>
    <row r="377" spans="1:3" ht="12.75" x14ac:dyDescent="0.2">
      <c r="A377" s="3"/>
      <c r="B377" s="3"/>
      <c r="C377" s="28"/>
    </row>
    <row r="378" spans="1:3" ht="12.75" x14ac:dyDescent="0.2">
      <c r="A378" s="3"/>
      <c r="B378" s="3"/>
      <c r="C378" s="28"/>
    </row>
    <row r="379" spans="1:3" ht="12.75" x14ac:dyDescent="0.2">
      <c r="A379" s="3"/>
      <c r="B379" s="3"/>
      <c r="C379" s="28"/>
    </row>
    <row r="380" spans="1:3" ht="12.75" x14ac:dyDescent="0.2">
      <c r="A380" s="3"/>
      <c r="B380" s="3"/>
      <c r="C380" s="28"/>
    </row>
    <row r="381" spans="1:3" ht="12.75" x14ac:dyDescent="0.2">
      <c r="A381" s="3"/>
      <c r="B381" s="3"/>
      <c r="C381" s="28"/>
    </row>
    <row r="382" spans="1:3" ht="12.75" x14ac:dyDescent="0.2">
      <c r="A382" s="3"/>
      <c r="B382" s="3"/>
      <c r="C382" s="28"/>
    </row>
    <row r="383" spans="1:3" ht="12.75" x14ac:dyDescent="0.2">
      <c r="A383" s="3"/>
      <c r="B383" s="3"/>
      <c r="C383" s="28"/>
    </row>
    <row r="384" spans="1:3" ht="12.75" x14ac:dyDescent="0.2">
      <c r="A384" s="3"/>
      <c r="B384" s="3"/>
      <c r="C384" s="28"/>
    </row>
    <row r="385" spans="1:3" ht="12.75" x14ac:dyDescent="0.2">
      <c r="A385" s="3"/>
      <c r="B385" s="3"/>
      <c r="C385" s="28"/>
    </row>
    <row r="386" spans="1:3" ht="12.75" x14ac:dyDescent="0.2">
      <c r="A386" s="3"/>
      <c r="B386" s="3"/>
      <c r="C386" s="28"/>
    </row>
    <row r="387" spans="1:3" ht="12.75" x14ac:dyDescent="0.2">
      <c r="A387" s="3"/>
      <c r="B387" s="3"/>
      <c r="C387" s="28"/>
    </row>
    <row r="388" spans="1:3" ht="12.75" x14ac:dyDescent="0.2">
      <c r="A388" s="3"/>
      <c r="B388" s="3"/>
      <c r="C388" s="28"/>
    </row>
    <row r="389" spans="1:3" ht="12.75" x14ac:dyDescent="0.2">
      <c r="A389" s="3"/>
      <c r="B389" s="3"/>
      <c r="C389" s="28"/>
    </row>
    <row r="390" spans="1:3" ht="12.75" x14ac:dyDescent="0.2">
      <c r="A390" s="3"/>
      <c r="B390" s="3"/>
      <c r="C390" s="28"/>
    </row>
    <row r="391" spans="1:3" ht="12.75" x14ac:dyDescent="0.2">
      <c r="A391" s="3"/>
      <c r="B391" s="3"/>
      <c r="C391" s="28"/>
    </row>
    <row r="392" spans="1:3" ht="12.75" x14ac:dyDescent="0.2">
      <c r="A392" s="3"/>
      <c r="B392" s="3"/>
      <c r="C392" s="28"/>
    </row>
    <row r="393" spans="1:3" ht="12.75" x14ac:dyDescent="0.2">
      <c r="A393" s="3"/>
      <c r="B393" s="3"/>
      <c r="C393" s="28"/>
    </row>
    <row r="394" spans="1:3" ht="12.75" x14ac:dyDescent="0.2">
      <c r="A394" s="3"/>
      <c r="B394" s="3"/>
      <c r="C394" s="28"/>
    </row>
    <row r="395" spans="1:3" ht="12.75" x14ac:dyDescent="0.2">
      <c r="A395" s="3"/>
      <c r="B395" s="3"/>
      <c r="C395" s="28"/>
    </row>
    <row r="396" spans="1:3" ht="12.75" x14ac:dyDescent="0.2">
      <c r="A396" s="3"/>
      <c r="B396" s="3"/>
      <c r="C396" s="28"/>
    </row>
    <row r="397" spans="1:3" ht="12.75" x14ac:dyDescent="0.2">
      <c r="A397" s="3"/>
      <c r="B397" s="3"/>
      <c r="C397" s="28"/>
    </row>
    <row r="398" spans="1:3" ht="12.75" x14ac:dyDescent="0.2">
      <c r="A398" s="3"/>
      <c r="B398" s="3"/>
      <c r="C398" s="28"/>
    </row>
    <row r="399" spans="1:3" ht="12.75" x14ac:dyDescent="0.2">
      <c r="A399" s="3"/>
      <c r="B399" s="3"/>
      <c r="C399" s="28"/>
    </row>
    <row r="400" spans="1:3" ht="12.75" x14ac:dyDescent="0.2">
      <c r="A400" s="3"/>
      <c r="B400" s="3"/>
      <c r="C400" s="28"/>
    </row>
    <row r="401" spans="1:3" ht="12.75" x14ac:dyDescent="0.2">
      <c r="A401" s="3"/>
      <c r="B401" s="3"/>
      <c r="C401" s="28"/>
    </row>
    <row r="402" spans="1:3" ht="12.75" x14ac:dyDescent="0.2">
      <c r="A402" s="3"/>
      <c r="B402" s="3"/>
      <c r="C402" s="28"/>
    </row>
    <row r="403" spans="1:3" ht="12.75" x14ac:dyDescent="0.2">
      <c r="A403" s="3"/>
      <c r="B403" s="3"/>
      <c r="C403" s="28"/>
    </row>
    <row r="404" spans="1:3" ht="12.75" x14ac:dyDescent="0.2">
      <c r="A404" s="3"/>
      <c r="B404" s="3"/>
      <c r="C404" s="28"/>
    </row>
    <row r="405" spans="1:3" ht="12.75" x14ac:dyDescent="0.2">
      <c r="A405" s="3"/>
      <c r="B405" s="3"/>
      <c r="C405" s="28"/>
    </row>
    <row r="406" spans="1:3" ht="12.75" x14ac:dyDescent="0.2">
      <c r="A406" s="3"/>
      <c r="B406" s="3"/>
      <c r="C406" s="28"/>
    </row>
    <row r="407" spans="1:3" ht="12.75" x14ac:dyDescent="0.2">
      <c r="A407" s="3"/>
      <c r="B407" s="3"/>
      <c r="C407" s="28"/>
    </row>
    <row r="408" spans="1:3" ht="12.75" x14ac:dyDescent="0.2">
      <c r="A408" s="3"/>
      <c r="B408" s="3"/>
      <c r="C408" s="28"/>
    </row>
    <row r="409" spans="1:3" ht="12.75" x14ac:dyDescent="0.2">
      <c r="A409" s="3"/>
      <c r="B409" s="3"/>
      <c r="C409" s="28"/>
    </row>
    <row r="410" spans="1:3" ht="12.75" x14ac:dyDescent="0.2">
      <c r="A410" s="3"/>
      <c r="B410" s="3"/>
      <c r="C410" s="28"/>
    </row>
    <row r="411" spans="1:3" ht="12.75" x14ac:dyDescent="0.2">
      <c r="A411" s="3"/>
      <c r="B411" s="3"/>
      <c r="C411" s="28"/>
    </row>
    <row r="412" spans="1:3" ht="12.75" x14ac:dyDescent="0.2">
      <c r="A412" s="3"/>
      <c r="B412" s="3"/>
      <c r="C412" s="28"/>
    </row>
    <row r="413" spans="1:3" ht="12.75" x14ac:dyDescent="0.2">
      <c r="A413" s="3"/>
      <c r="B413" s="3"/>
      <c r="C413" s="28"/>
    </row>
    <row r="414" spans="1:3" ht="12.75" x14ac:dyDescent="0.2">
      <c r="A414" s="3"/>
      <c r="B414" s="3"/>
      <c r="C414" s="28"/>
    </row>
    <row r="415" spans="1:3" ht="12.75" x14ac:dyDescent="0.2">
      <c r="A415" s="3"/>
      <c r="B415" s="3"/>
      <c r="C415" s="28"/>
    </row>
    <row r="416" spans="1:3" ht="12.75" x14ac:dyDescent="0.2">
      <c r="A416" s="3"/>
      <c r="B416" s="3"/>
      <c r="C416" s="28"/>
    </row>
    <row r="417" spans="1:3" ht="12.75" x14ac:dyDescent="0.2">
      <c r="A417" s="3"/>
      <c r="B417" s="3"/>
      <c r="C417" s="28"/>
    </row>
    <row r="418" spans="1:3" ht="12.75" x14ac:dyDescent="0.2">
      <c r="A418" s="3"/>
      <c r="B418" s="3"/>
      <c r="C418" s="28"/>
    </row>
    <row r="419" spans="1:3" ht="12.75" x14ac:dyDescent="0.2">
      <c r="A419" s="3"/>
      <c r="B419" s="3"/>
      <c r="C419" s="28"/>
    </row>
    <row r="420" spans="1:3" ht="12.75" x14ac:dyDescent="0.2">
      <c r="A420" s="3"/>
      <c r="B420" s="3"/>
      <c r="C420" s="28"/>
    </row>
    <row r="421" spans="1:3" ht="12.75" x14ac:dyDescent="0.2">
      <c r="A421" s="3"/>
      <c r="B421" s="3"/>
      <c r="C421" s="28"/>
    </row>
    <row r="422" spans="1:3" ht="12.75" x14ac:dyDescent="0.2">
      <c r="A422" s="3"/>
      <c r="B422" s="3"/>
      <c r="C422" s="28"/>
    </row>
    <row r="423" spans="1:3" ht="12.75" x14ac:dyDescent="0.2">
      <c r="A423" s="3"/>
      <c r="B423" s="3"/>
      <c r="C423" s="28"/>
    </row>
    <row r="424" spans="1:3" ht="12.75" x14ac:dyDescent="0.2">
      <c r="A424" s="3"/>
      <c r="B424" s="3"/>
      <c r="C424" s="28"/>
    </row>
    <row r="425" spans="1:3" ht="12.75" x14ac:dyDescent="0.2">
      <c r="A425" s="3"/>
      <c r="B425" s="3"/>
      <c r="C425" s="28"/>
    </row>
    <row r="426" spans="1:3" ht="12.75" x14ac:dyDescent="0.2">
      <c r="A426" s="3"/>
      <c r="B426" s="3"/>
      <c r="C426" s="28"/>
    </row>
    <row r="427" spans="1:3" ht="12.75" x14ac:dyDescent="0.2">
      <c r="A427" s="3"/>
      <c r="B427" s="3"/>
      <c r="C427" s="28"/>
    </row>
    <row r="428" spans="1:3" ht="12.75" x14ac:dyDescent="0.2">
      <c r="A428" s="3"/>
      <c r="B428" s="3"/>
      <c r="C428" s="28"/>
    </row>
    <row r="429" spans="1:3" ht="12.75" x14ac:dyDescent="0.2">
      <c r="A429" s="3"/>
      <c r="B429" s="3"/>
      <c r="C429" s="28"/>
    </row>
    <row r="430" spans="1:3" ht="12.75" x14ac:dyDescent="0.2">
      <c r="A430" s="3"/>
      <c r="B430" s="3"/>
      <c r="C430" s="28"/>
    </row>
    <row r="431" spans="1:3" ht="12.75" x14ac:dyDescent="0.2">
      <c r="A431" s="3"/>
      <c r="B431" s="3"/>
      <c r="C431" s="28"/>
    </row>
    <row r="432" spans="1:3" ht="12.75" x14ac:dyDescent="0.2">
      <c r="A432" s="3"/>
      <c r="B432" s="3"/>
      <c r="C432" s="28"/>
    </row>
    <row r="433" spans="1:3" ht="12.75" x14ac:dyDescent="0.2">
      <c r="A433" s="3"/>
      <c r="B433" s="3"/>
      <c r="C433" s="28"/>
    </row>
    <row r="434" spans="1:3" ht="12.75" x14ac:dyDescent="0.2">
      <c r="A434" s="3"/>
      <c r="B434" s="3"/>
      <c r="C434" s="28"/>
    </row>
    <row r="435" spans="1:3" ht="12.75" x14ac:dyDescent="0.2">
      <c r="A435" s="3"/>
      <c r="B435" s="3"/>
      <c r="C435" s="28"/>
    </row>
    <row r="436" spans="1:3" ht="12.75" x14ac:dyDescent="0.2">
      <c r="A436" s="3"/>
      <c r="B436" s="3"/>
      <c r="C436" s="28"/>
    </row>
    <row r="437" spans="1:3" ht="12.75" x14ac:dyDescent="0.2">
      <c r="A437" s="3"/>
      <c r="B437" s="3"/>
      <c r="C437" s="28"/>
    </row>
    <row r="438" spans="1:3" ht="12.75" x14ac:dyDescent="0.2">
      <c r="A438" s="3"/>
      <c r="B438" s="3"/>
      <c r="C438" s="28"/>
    </row>
    <row r="439" spans="1:3" ht="12.75" x14ac:dyDescent="0.2">
      <c r="A439" s="3"/>
      <c r="B439" s="3"/>
      <c r="C439" s="28"/>
    </row>
    <row r="440" spans="1:3" ht="12.75" x14ac:dyDescent="0.2">
      <c r="A440" s="3"/>
      <c r="B440" s="3"/>
      <c r="C440" s="28"/>
    </row>
    <row r="441" spans="1:3" ht="12.75" x14ac:dyDescent="0.2">
      <c r="A441" s="3"/>
      <c r="B441" s="3"/>
      <c r="C441" s="28"/>
    </row>
    <row r="442" spans="1:3" ht="12.75" x14ac:dyDescent="0.2">
      <c r="A442" s="3"/>
      <c r="B442" s="3"/>
      <c r="C442" s="28"/>
    </row>
    <row r="443" spans="1:3" ht="12.75" x14ac:dyDescent="0.2">
      <c r="A443" s="3"/>
      <c r="B443" s="3"/>
      <c r="C443" s="28"/>
    </row>
    <row r="444" spans="1:3" ht="12.75" x14ac:dyDescent="0.2">
      <c r="A444" s="3"/>
      <c r="B444" s="3"/>
      <c r="C444" s="28"/>
    </row>
    <row r="445" spans="1:3" ht="12.75" x14ac:dyDescent="0.2">
      <c r="A445" s="3"/>
      <c r="B445" s="3"/>
      <c r="C445" s="28"/>
    </row>
    <row r="446" spans="1:3" ht="12.75" x14ac:dyDescent="0.2">
      <c r="A446" s="3"/>
      <c r="B446" s="3"/>
      <c r="C446" s="28"/>
    </row>
    <row r="447" spans="1:3" ht="12.75" x14ac:dyDescent="0.2">
      <c r="A447" s="3"/>
      <c r="B447" s="3"/>
      <c r="C447" s="28"/>
    </row>
    <row r="448" spans="1:3" ht="12.75" x14ac:dyDescent="0.2">
      <c r="A448" s="3"/>
      <c r="B448" s="3"/>
      <c r="C448" s="28"/>
    </row>
    <row r="449" spans="1:3" ht="12.75" x14ac:dyDescent="0.2">
      <c r="A449" s="3"/>
      <c r="B449" s="3"/>
      <c r="C449" s="28"/>
    </row>
    <row r="450" spans="1:3" ht="12.75" x14ac:dyDescent="0.2">
      <c r="A450" s="3"/>
      <c r="B450" s="3"/>
      <c r="C450" s="28"/>
    </row>
    <row r="451" spans="1:3" ht="12.75" x14ac:dyDescent="0.2">
      <c r="A451" s="3"/>
      <c r="B451" s="3"/>
      <c r="C451" s="28"/>
    </row>
    <row r="452" spans="1:3" ht="12.75" x14ac:dyDescent="0.2">
      <c r="A452" s="3"/>
      <c r="B452" s="3"/>
      <c r="C452" s="28"/>
    </row>
    <row r="453" spans="1:3" ht="12.75" x14ac:dyDescent="0.2">
      <c r="A453" s="3"/>
      <c r="B453" s="3"/>
      <c r="C453" s="28"/>
    </row>
    <row r="454" spans="1:3" ht="12.75" x14ac:dyDescent="0.2">
      <c r="A454" s="3"/>
      <c r="B454" s="3"/>
      <c r="C454" s="28"/>
    </row>
    <row r="455" spans="1:3" ht="12.75" x14ac:dyDescent="0.2">
      <c r="A455" s="3"/>
      <c r="B455" s="3"/>
      <c r="C455" s="28"/>
    </row>
    <row r="456" spans="1:3" ht="12.75" x14ac:dyDescent="0.2">
      <c r="A456" s="3"/>
      <c r="B456" s="3"/>
      <c r="C456" s="28"/>
    </row>
    <row r="457" spans="1:3" ht="12.75" x14ac:dyDescent="0.2">
      <c r="A457" s="3"/>
      <c r="B457" s="3"/>
      <c r="C457" s="28"/>
    </row>
    <row r="458" spans="1:3" ht="12.75" x14ac:dyDescent="0.2">
      <c r="A458" s="3"/>
      <c r="B458" s="3"/>
      <c r="C458" s="28"/>
    </row>
    <row r="459" spans="1:3" ht="12.75" x14ac:dyDescent="0.2">
      <c r="A459" s="3"/>
      <c r="B459" s="3"/>
      <c r="C459" s="28"/>
    </row>
    <row r="460" spans="1:3" ht="12.75" x14ac:dyDescent="0.2">
      <c r="A460" s="3"/>
      <c r="B460" s="3"/>
      <c r="C460" s="28"/>
    </row>
    <row r="461" spans="1:3" ht="12.75" x14ac:dyDescent="0.2">
      <c r="A461" s="3"/>
      <c r="B461" s="3"/>
      <c r="C461" s="28"/>
    </row>
    <row r="462" spans="1:3" ht="12.75" x14ac:dyDescent="0.2">
      <c r="A462" s="3"/>
      <c r="B462" s="3"/>
      <c r="C462" s="28"/>
    </row>
    <row r="463" spans="1:3" ht="12.75" x14ac:dyDescent="0.2">
      <c r="A463" s="3"/>
      <c r="B463" s="3"/>
      <c r="C463" s="28"/>
    </row>
    <row r="464" spans="1:3" ht="12.75" x14ac:dyDescent="0.2">
      <c r="A464" s="3"/>
      <c r="B464" s="3"/>
      <c r="C464" s="28"/>
    </row>
    <row r="465" spans="1:3" ht="12.75" x14ac:dyDescent="0.2">
      <c r="A465" s="3"/>
      <c r="B465" s="3"/>
      <c r="C465" s="28"/>
    </row>
    <row r="466" spans="1:3" ht="12.75" x14ac:dyDescent="0.2">
      <c r="A466" s="3"/>
      <c r="B466" s="3"/>
      <c r="C466" s="28"/>
    </row>
    <row r="467" spans="1:3" ht="12.75" x14ac:dyDescent="0.2">
      <c r="A467" s="3"/>
      <c r="B467" s="3"/>
      <c r="C467" s="28"/>
    </row>
    <row r="468" spans="1:3" ht="12.75" x14ac:dyDescent="0.2">
      <c r="A468" s="3"/>
      <c r="B468" s="3"/>
      <c r="C468" s="28"/>
    </row>
    <row r="469" spans="1:3" ht="12.75" x14ac:dyDescent="0.2">
      <c r="A469" s="3"/>
      <c r="B469" s="3"/>
      <c r="C469" s="28"/>
    </row>
    <row r="470" spans="1:3" ht="12.75" x14ac:dyDescent="0.2">
      <c r="A470" s="3"/>
      <c r="B470" s="3"/>
      <c r="C470" s="28"/>
    </row>
    <row r="471" spans="1:3" ht="12.75" x14ac:dyDescent="0.2">
      <c r="A471" s="3"/>
      <c r="B471" s="3"/>
      <c r="C471" s="28"/>
    </row>
    <row r="472" spans="1:3" ht="12.75" x14ac:dyDescent="0.2">
      <c r="A472" s="3"/>
      <c r="B472" s="3"/>
      <c r="C472" s="28"/>
    </row>
    <row r="473" spans="1:3" ht="12.75" x14ac:dyDescent="0.2">
      <c r="A473" s="3"/>
      <c r="B473" s="3"/>
      <c r="C473" s="28"/>
    </row>
    <row r="474" spans="1:3" ht="12.75" x14ac:dyDescent="0.2">
      <c r="A474" s="3"/>
      <c r="B474" s="3"/>
      <c r="C474" s="28"/>
    </row>
    <row r="475" spans="1:3" ht="12.75" x14ac:dyDescent="0.2">
      <c r="A475" s="3"/>
      <c r="B475" s="3"/>
      <c r="C475" s="28"/>
    </row>
    <row r="476" spans="1:3" ht="12.75" x14ac:dyDescent="0.2">
      <c r="A476" s="3"/>
      <c r="B476" s="3"/>
      <c r="C476" s="28"/>
    </row>
    <row r="477" spans="1:3" ht="12.75" x14ac:dyDescent="0.2">
      <c r="A477" s="3"/>
      <c r="B477" s="3"/>
      <c r="C477" s="28"/>
    </row>
    <row r="478" spans="1:3" ht="12.75" x14ac:dyDescent="0.2">
      <c r="A478" s="3"/>
      <c r="B478" s="3"/>
      <c r="C478" s="28"/>
    </row>
    <row r="479" spans="1:3" ht="12.75" x14ac:dyDescent="0.2">
      <c r="A479" s="3"/>
      <c r="B479" s="3"/>
      <c r="C479" s="28"/>
    </row>
    <row r="480" spans="1:3" ht="12.75" x14ac:dyDescent="0.2">
      <c r="A480" s="3"/>
      <c r="B480" s="3"/>
      <c r="C480" s="28"/>
    </row>
    <row r="481" spans="1:3" ht="12.75" x14ac:dyDescent="0.2">
      <c r="A481" s="3"/>
      <c r="B481" s="3"/>
      <c r="C481" s="28"/>
    </row>
    <row r="482" spans="1:3" ht="12.75" x14ac:dyDescent="0.2">
      <c r="A482" s="3"/>
      <c r="B482" s="3"/>
      <c r="C482" s="28"/>
    </row>
    <row r="483" spans="1:3" ht="12.75" x14ac:dyDescent="0.2">
      <c r="A483" s="3"/>
      <c r="B483" s="3"/>
      <c r="C483" s="28"/>
    </row>
    <row r="484" spans="1:3" ht="12.75" x14ac:dyDescent="0.2">
      <c r="A484" s="3"/>
      <c r="B484" s="3"/>
      <c r="C484" s="28"/>
    </row>
    <row r="485" spans="1:3" ht="12.75" x14ac:dyDescent="0.2">
      <c r="A485" s="3"/>
      <c r="B485" s="3"/>
      <c r="C485" s="28"/>
    </row>
    <row r="486" spans="1:3" ht="12.75" x14ac:dyDescent="0.2">
      <c r="A486" s="3"/>
      <c r="B486" s="3"/>
      <c r="C486" s="28"/>
    </row>
    <row r="487" spans="1:3" ht="12.75" x14ac:dyDescent="0.2">
      <c r="A487" s="3"/>
      <c r="B487" s="3"/>
      <c r="C487" s="28"/>
    </row>
    <row r="488" spans="1:3" ht="12.75" x14ac:dyDescent="0.2">
      <c r="A488" s="3"/>
      <c r="B488" s="3"/>
      <c r="C488" s="28"/>
    </row>
    <row r="489" spans="1:3" ht="12.75" x14ac:dyDescent="0.2">
      <c r="A489" s="3"/>
      <c r="B489" s="3"/>
      <c r="C489" s="28"/>
    </row>
    <row r="490" spans="1:3" ht="12.75" x14ac:dyDescent="0.2">
      <c r="A490" s="3"/>
      <c r="B490" s="3"/>
      <c r="C490" s="28"/>
    </row>
    <row r="491" spans="1:3" ht="12.75" x14ac:dyDescent="0.2">
      <c r="A491" s="3"/>
      <c r="B491" s="3"/>
      <c r="C491" s="28"/>
    </row>
    <row r="492" spans="1:3" ht="12.75" x14ac:dyDescent="0.2">
      <c r="A492" s="3"/>
      <c r="B492" s="3"/>
      <c r="C492" s="28"/>
    </row>
    <row r="493" spans="1:3" ht="12.75" x14ac:dyDescent="0.2">
      <c r="A493" s="3"/>
      <c r="B493" s="3"/>
      <c r="C493" s="28"/>
    </row>
    <row r="494" spans="1:3" ht="12.75" x14ac:dyDescent="0.2">
      <c r="A494" s="3"/>
      <c r="B494" s="3"/>
      <c r="C494" s="28"/>
    </row>
    <row r="495" spans="1:3" ht="12.75" x14ac:dyDescent="0.2">
      <c r="A495" s="3"/>
      <c r="B495" s="3"/>
      <c r="C495" s="28"/>
    </row>
    <row r="496" spans="1:3" ht="12.75" x14ac:dyDescent="0.2">
      <c r="A496" s="3"/>
      <c r="B496" s="3"/>
      <c r="C496" s="28"/>
    </row>
    <row r="497" spans="1:3" ht="12.75" x14ac:dyDescent="0.2">
      <c r="A497" s="3"/>
      <c r="B497" s="3"/>
      <c r="C497" s="28"/>
    </row>
    <row r="498" spans="1:3" ht="12.75" x14ac:dyDescent="0.2">
      <c r="A498" s="3"/>
      <c r="B498" s="3"/>
      <c r="C498" s="28"/>
    </row>
    <row r="499" spans="1:3" ht="12.75" x14ac:dyDescent="0.2">
      <c r="A499" s="3"/>
      <c r="B499" s="3"/>
      <c r="C499" s="28"/>
    </row>
    <row r="500" spans="1:3" ht="12.75" x14ac:dyDescent="0.2">
      <c r="A500" s="3"/>
      <c r="B500" s="3"/>
      <c r="C500" s="28"/>
    </row>
    <row r="501" spans="1:3" ht="12.75" x14ac:dyDescent="0.2">
      <c r="A501" s="3"/>
      <c r="B501" s="3"/>
      <c r="C501" s="28"/>
    </row>
    <row r="502" spans="1:3" ht="12.75" x14ac:dyDescent="0.2">
      <c r="A502" s="3"/>
      <c r="B502" s="3"/>
      <c r="C502" s="28"/>
    </row>
    <row r="503" spans="1:3" ht="12.75" x14ac:dyDescent="0.2">
      <c r="A503" s="3"/>
      <c r="B503" s="3"/>
      <c r="C503" s="28"/>
    </row>
    <row r="504" spans="1:3" ht="12.75" x14ac:dyDescent="0.2">
      <c r="A504" s="3"/>
      <c r="B504" s="3"/>
      <c r="C504" s="28"/>
    </row>
    <row r="505" spans="1:3" ht="12.75" x14ac:dyDescent="0.2">
      <c r="A505" s="3"/>
      <c r="B505" s="3"/>
      <c r="C505" s="28"/>
    </row>
    <row r="506" spans="1:3" ht="12.75" x14ac:dyDescent="0.2">
      <c r="A506" s="3"/>
      <c r="B506" s="3"/>
      <c r="C506" s="28"/>
    </row>
    <row r="507" spans="1:3" ht="12.75" x14ac:dyDescent="0.2">
      <c r="A507" s="3"/>
      <c r="B507" s="3"/>
      <c r="C507" s="28"/>
    </row>
    <row r="508" spans="1:3" ht="12.75" x14ac:dyDescent="0.2">
      <c r="A508" s="3"/>
      <c r="B508" s="3"/>
      <c r="C508" s="28"/>
    </row>
    <row r="509" spans="1:3" ht="12.75" x14ac:dyDescent="0.2">
      <c r="A509" s="3"/>
      <c r="B509" s="3"/>
      <c r="C509" s="28"/>
    </row>
    <row r="510" spans="1:3" ht="12.75" x14ac:dyDescent="0.2">
      <c r="A510" s="3"/>
      <c r="B510" s="3"/>
      <c r="C510" s="28"/>
    </row>
    <row r="511" spans="1:3" ht="12.75" x14ac:dyDescent="0.2">
      <c r="A511" s="3"/>
      <c r="B511" s="3"/>
      <c r="C511" s="28"/>
    </row>
    <row r="512" spans="1:3" ht="12.75" x14ac:dyDescent="0.2">
      <c r="A512" s="3"/>
      <c r="B512" s="3"/>
      <c r="C512" s="28"/>
    </row>
    <row r="513" spans="1:3" ht="12.75" x14ac:dyDescent="0.2">
      <c r="A513" s="3"/>
      <c r="B513" s="3"/>
      <c r="C513" s="28"/>
    </row>
    <row r="514" spans="1:3" ht="12.75" x14ac:dyDescent="0.2">
      <c r="A514" s="3"/>
      <c r="B514" s="3"/>
      <c r="C514" s="28"/>
    </row>
    <row r="515" spans="1:3" ht="12.75" x14ac:dyDescent="0.2">
      <c r="A515" s="3"/>
      <c r="B515" s="3"/>
      <c r="C515" s="28"/>
    </row>
    <row r="516" spans="1:3" ht="12.75" x14ac:dyDescent="0.2">
      <c r="A516" s="3"/>
      <c r="B516" s="3"/>
      <c r="C516" s="28"/>
    </row>
    <row r="517" spans="1:3" ht="12.75" x14ac:dyDescent="0.2">
      <c r="A517" s="3"/>
      <c r="B517" s="3"/>
      <c r="C517" s="28"/>
    </row>
    <row r="518" spans="1:3" ht="12.75" x14ac:dyDescent="0.2">
      <c r="A518" s="3"/>
      <c r="B518" s="3"/>
      <c r="C518" s="28"/>
    </row>
    <row r="519" spans="1:3" ht="12.75" x14ac:dyDescent="0.2">
      <c r="A519" s="3"/>
      <c r="B519" s="3"/>
      <c r="C519" s="28"/>
    </row>
    <row r="520" spans="1:3" ht="12.75" x14ac:dyDescent="0.2">
      <c r="A520" s="3"/>
      <c r="B520" s="3"/>
      <c r="C520" s="28"/>
    </row>
    <row r="521" spans="1:3" ht="12.75" x14ac:dyDescent="0.2">
      <c r="A521" s="3"/>
      <c r="B521" s="3"/>
      <c r="C521" s="28"/>
    </row>
    <row r="522" spans="1:3" ht="12.75" x14ac:dyDescent="0.2">
      <c r="A522" s="3"/>
      <c r="B522" s="3"/>
      <c r="C522" s="28"/>
    </row>
    <row r="523" spans="1:3" ht="12.75" x14ac:dyDescent="0.2">
      <c r="A523" s="3"/>
      <c r="B523" s="3"/>
      <c r="C523" s="28"/>
    </row>
    <row r="524" spans="1:3" ht="12.75" x14ac:dyDescent="0.2">
      <c r="A524" s="3"/>
      <c r="B524" s="3"/>
      <c r="C524" s="28"/>
    </row>
    <row r="525" spans="1:3" ht="12.75" x14ac:dyDescent="0.2">
      <c r="A525" s="3"/>
      <c r="B525" s="3"/>
      <c r="C525" s="28"/>
    </row>
    <row r="526" spans="1:3" ht="12.75" x14ac:dyDescent="0.2">
      <c r="A526" s="3"/>
      <c r="B526" s="3"/>
      <c r="C526" s="28"/>
    </row>
    <row r="527" spans="1:3" ht="12.75" x14ac:dyDescent="0.2">
      <c r="A527" s="3"/>
      <c r="B527" s="3"/>
      <c r="C527" s="28"/>
    </row>
    <row r="528" spans="1:3" ht="12.75" x14ac:dyDescent="0.2">
      <c r="A528" s="3"/>
      <c r="B528" s="3"/>
      <c r="C528" s="28"/>
    </row>
    <row r="529" spans="1:3" ht="12.75" x14ac:dyDescent="0.2">
      <c r="A529" s="3"/>
      <c r="B529" s="3"/>
      <c r="C529" s="28"/>
    </row>
    <row r="530" spans="1:3" ht="12.75" x14ac:dyDescent="0.2">
      <c r="A530" s="3"/>
      <c r="B530" s="3"/>
      <c r="C530" s="28"/>
    </row>
    <row r="531" spans="1:3" ht="12.75" x14ac:dyDescent="0.2">
      <c r="A531" s="3"/>
      <c r="B531" s="3"/>
      <c r="C531" s="28"/>
    </row>
    <row r="532" spans="1:3" ht="12.75" x14ac:dyDescent="0.2">
      <c r="A532" s="3"/>
      <c r="B532" s="3"/>
      <c r="C532" s="28"/>
    </row>
    <row r="533" spans="1:3" ht="12.75" x14ac:dyDescent="0.2">
      <c r="A533" s="3"/>
      <c r="B533" s="3"/>
      <c r="C533" s="28"/>
    </row>
    <row r="534" spans="1:3" ht="12.75" x14ac:dyDescent="0.2">
      <c r="A534" s="3"/>
      <c r="B534" s="3"/>
      <c r="C534" s="28"/>
    </row>
    <row r="535" spans="1:3" ht="12.75" x14ac:dyDescent="0.2">
      <c r="A535" s="3"/>
      <c r="B535" s="3"/>
      <c r="C535" s="28"/>
    </row>
    <row r="536" spans="1:3" ht="12.75" x14ac:dyDescent="0.2">
      <c r="A536" s="3"/>
      <c r="B536" s="3"/>
      <c r="C536" s="28"/>
    </row>
    <row r="537" spans="1:3" ht="12.75" x14ac:dyDescent="0.2">
      <c r="A537" s="3"/>
      <c r="B537" s="3"/>
      <c r="C537" s="28"/>
    </row>
    <row r="538" spans="1:3" ht="12.75" x14ac:dyDescent="0.2">
      <c r="A538" s="3"/>
      <c r="B538" s="3"/>
      <c r="C538" s="28"/>
    </row>
    <row r="539" spans="1:3" ht="12.75" x14ac:dyDescent="0.2">
      <c r="A539" s="3"/>
      <c r="B539" s="3"/>
      <c r="C539" s="28"/>
    </row>
    <row r="540" spans="1:3" ht="12.75" x14ac:dyDescent="0.2">
      <c r="A540" s="3"/>
      <c r="B540" s="3"/>
      <c r="C540" s="28"/>
    </row>
    <row r="541" spans="1:3" ht="12.75" x14ac:dyDescent="0.2">
      <c r="A541" s="3"/>
      <c r="B541" s="3"/>
      <c r="C541" s="28"/>
    </row>
    <row r="542" spans="1:3" ht="12.75" x14ac:dyDescent="0.2">
      <c r="A542" s="3"/>
      <c r="B542" s="3"/>
      <c r="C542" s="28"/>
    </row>
    <row r="543" spans="1:3" ht="12.75" x14ac:dyDescent="0.2">
      <c r="A543" s="3"/>
      <c r="B543" s="3"/>
      <c r="C543" s="28"/>
    </row>
    <row r="544" spans="1:3" ht="12.75" x14ac:dyDescent="0.2">
      <c r="A544" s="3"/>
      <c r="B544" s="3"/>
      <c r="C544" s="28"/>
    </row>
    <row r="545" spans="1:3" ht="12.75" x14ac:dyDescent="0.2">
      <c r="A545" s="3"/>
      <c r="B545" s="3"/>
      <c r="C545" s="28"/>
    </row>
    <row r="546" spans="1:3" ht="12.75" x14ac:dyDescent="0.2">
      <c r="A546" s="3"/>
      <c r="B546" s="3"/>
      <c r="C546" s="28"/>
    </row>
    <row r="547" spans="1:3" ht="12.75" x14ac:dyDescent="0.2">
      <c r="A547" s="3"/>
      <c r="B547" s="3"/>
      <c r="C547" s="28"/>
    </row>
    <row r="548" spans="1:3" ht="12.75" x14ac:dyDescent="0.2">
      <c r="A548" s="3"/>
      <c r="B548" s="3"/>
      <c r="C548" s="28"/>
    </row>
    <row r="549" spans="1:3" ht="12.75" x14ac:dyDescent="0.2">
      <c r="A549" s="3"/>
      <c r="B549" s="3"/>
      <c r="C549" s="28"/>
    </row>
    <row r="550" spans="1:3" ht="12.75" x14ac:dyDescent="0.2">
      <c r="A550" s="3"/>
      <c r="B550" s="3"/>
      <c r="C550" s="28"/>
    </row>
    <row r="551" spans="1:3" ht="12.75" x14ac:dyDescent="0.2">
      <c r="A551" s="3"/>
      <c r="B551" s="3"/>
      <c r="C551" s="28"/>
    </row>
    <row r="552" spans="1:3" ht="12.75" x14ac:dyDescent="0.2">
      <c r="A552" s="3"/>
      <c r="B552" s="3"/>
      <c r="C552" s="28"/>
    </row>
    <row r="553" spans="1:3" ht="12.75" x14ac:dyDescent="0.2">
      <c r="A553" s="3"/>
      <c r="B553" s="3"/>
      <c r="C553" s="28"/>
    </row>
    <row r="554" spans="1:3" ht="12.75" x14ac:dyDescent="0.2">
      <c r="A554" s="3"/>
      <c r="B554" s="3"/>
      <c r="C554" s="28"/>
    </row>
    <row r="555" spans="1:3" ht="12.75" x14ac:dyDescent="0.2">
      <c r="A555" s="3"/>
      <c r="B555" s="3"/>
      <c r="C555" s="28"/>
    </row>
    <row r="556" spans="1:3" ht="12.75" x14ac:dyDescent="0.2">
      <c r="A556" s="3"/>
      <c r="B556" s="3"/>
      <c r="C556" s="28"/>
    </row>
    <row r="557" spans="1:3" ht="12.75" x14ac:dyDescent="0.2">
      <c r="A557" s="3"/>
      <c r="B557" s="3"/>
      <c r="C557" s="28"/>
    </row>
    <row r="558" spans="1:3" ht="12.75" x14ac:dyDescent="0.2">
      <c r="A558" s="3"/>
      <c r="B558" s="3"/>
      <c r="C558" s="28"/>
    </row>
    <row r="559" spans="1:3" ht="12.75" x14ac:dyDescent="0.2">
      <c r="A559" s="3"/>
      <c r="B559" s="3"/>
      <c r="C559" s="28"/>
    </row>
    <row r="560" spans="1:3" ht="12.75" x14ac:dyDescent="0.2">
      <c r="A560" s="3"/>
      <c r="B560" s="3"/>
      <c r="C560" s="28"/>
    </row>
    <row r="561" spans="1:3" ht="12.75" x14ac:dyDescent="0.2">
      <c r="A561" s="3"/>
      <c r="B561" s="3"/>
      <c r="C561" s="28"/>
    </row>
    <row r="562" spans="1:3" ht="12.75" x14ac:dyDescent="0.2">
      <c r="A562" s="3"/>
      <c r="B562" s="3"/>
      <c r="C562" s="28"/>
    </row>
    <row r="563" spans="1:3" ht="12.75" x14ac:dyDescent="0.2">
      <c r="A563" s="3"/>
      <c r="B563" s="3"/>
      <c r="C563" s="28"/>
    </row>
    <row r="564" spans="1:3" ht="12.75" x14ac:dyDescent="0.2">
      <c r="A564" s="3"/>
      <c r="B564" s="3"/>
      <c r="C564" s="28"/>
    </row>
    <row r="565" spans="1:3" ht="12.75" x14ac:dyDescent="0.2">
      <c r="A565" s="3"/>
      <c r="B565" s="3"/>
      <c r="C565" s="28"/>
    </row>
    <row r="566" spans="1:3" ht="12.75" x14ac:dyDescent="0.2">
      <c r="A566" s="3"/>
      <c r="B566" s="3"/>
      <c r="C566" s="28"/>
    </row>
    <row r="567" spans="1:3" ht="12.75" x14ac:dyDescent="0.2">
      <c r="A567" s="3"/>
      <c r="B567" s="3"/>
      <c r="C567" s="28"/>
    </row>
    <row r="568" spans="1:3" ht="12.75" x14ac:dyDescent="0.2">
      <c r="A568" s="3"/>
      <c r="B568" s="3"/>
      <c r="C568" s="28"/>
    </row>
    <row r="569" spans="1:3" ht="12.75" x14ac:dyDescent="0.2">
      <c r="A569" s="3"/>
      <c r="B569" s="3"/>
      <c r="C569" s="28"/>
    </row>
    <row r="570" spans="1:3" ht="12.75" x14ac:dyDescent="0.2">
      <c r="A570" s="3"/>
      <c r="B570" s="3"/>
      <c r="C570" s="28"/>
    </row>
    <row r="571" spans="1:3" ht="12.75" x14ac:dyDescent="0.2">
      <c r="A571" s="3"/>
      <c r="B571" s="3"/>
      <c r="C571" s="28"/>
    </row>
    <row r="572" spans="1:3" ht="12.75" x14ac:dyDescent="0.2">
      <c r="A572" s="3"/>
      <c r="B572" s="3"/>
      <c r="C572" s="28"/>
    </row>
    <row r="573" spans="1:3" ht="12.75" x14ac:dyDescent="0.2">
      <c r="A573" s="3"/>
      <c r="B573" s="3"/>
      <c r="C573" s="28"/>
    </row>
    <row r="574" spans="1:3" ht="12.75" x14ac:dyDescent="0.2">
      <c r="A574" s="3"/>
      <c r="B574" s="3"/>
      <c r="C574" s="28"/>
    </row>
    <row r="575" spans="1:3" ht="12.75" x14ac:dyDescent="0.2">
      <c r="A575" s="3"/>
      <c r="B575" s="3"/>
      <c r="C575" s="28"/>
    </row>
    <row r="576" spans="1:3" ht="12.75" x14ac:dyDescent="0.2">
      <c r="A576" s="3"/>
      <c r="B576" s="3"/>
      <c r="C576" s="28"/>
    </row>
    <row r="577" spans="1:3" ht="12.75" x14ac:dyDescent="0.2">
      <c r="A577" s="3"/>
      <c r="B577" s="3"/>
      <c r="C577" s="28"/>
    </row>
    <row r="578" spans="1:3" ht="12.75" x14ac:dyDescent="0.2">
      <c r="A578" s="3"/>
      <c r="B578" s="3"/>
      <c r="C578" s="28"/>
    </row>
    <row r="579" spans="1:3" ht="12.75" x14ac:dyDescent="0.2">
      <c r="A579" s="3"/>
      <c r="B579" s="3"/>
      <c r="C579" s="28"/>
    </row>
    <row r="580" spans="1:3" ht="12.75" x14ac:dyDescent="0.2">
      <c r="A580" s="3"/>
      <c r="B580" s="3"/>
      <c r="C580" s="28"/>
    </row>
    <row r="581" spans="1:3" ht="12.75" x14ac:dyDescent="0.2">
      <c r="A581" s="3"/>
      <c r="B581" s="3"/>
      <c r="C581" s="28"/>
    </row>
    <row r="582" spans="1:3" ht="12.75" x14ac:dyDescent="0.2">
      <c r="A582" s="3"/>
      <c r="B582" s="3"/>
      <c r="C582" s="28"/>
    </row>
    <row r="583" spans="1:3" ht="12.75" x14ac:dyDescent="0.2">
      <c r="A583" s="3"/>
      <c r="B583" s="3"/>
      <c r="C583" s="28"/>
    </row>
    <row r="584" spans="1:3" ht="12.75" x14ac:dyDescent="0.2">
      <c r="A584" s="3"/>
      <c r="B584" s="3"/>
      <c r="C584" s="28"/>
    </row>
    <row r="585" spans="1:3" ht="12.75" x14ac:dyDescent="0.2">
      <c r="A585" s="3"/>
      <c r="B585" s="3"/>
      <c r="C585" s="28"/>
    </row>
    <row r="586" spans="1:3" ht="12.75" x14ac:dyDescent="0.2">
      <c r="A586" s="3"/>
      <c r="B586" s="3"/>
      <c r="C586" s="28"/>
    </row>
    <row r="587" spans="1:3" ht="12.75" x14ac:dyDescent="0.2">
      <c r="A587" s="3"/>
      <c r="B587" s="3"/>
      <c r="C587" s="28"/>
    </row>
    <row r="588" spans="1:3" ht="12.75" x14ac:dyDescent="0.2">
      <c r="A588" s="3"/>
      <c r="B588" s="3"/>
      <c r="C588" s="28"/>
    </row>
    <row r="589" spans="1:3" ht="12.75" x14ac:dyDescent="0.2">
      <c r="A589" s="3"/>
      <c r="B589" s="3"/>
      <c r="C589" s="28"/>
    </row>
    <row r="590" spans="1:3" ht="12.75" x14ac:dyDescent="0.2">
      <c r="A590" s="3"/>
      <c r="B590" s="3"/>
      <c r="C590" s="28"/>
    </row>
    <row r="591" spans="1:3" ht="12.75" x14ac:dyDescent="0.2">
      <c r="A591" s="3"/>
      <c r="B591" s="3"/>
      <c r="C591" s="28"/>
    </row>
    <row r="592" spans="1:3" ht="12.75" x14ac:dyDescent="0.2">
      <c r="A592" s="3"/>
      <c r="B592" s="3"/>
      <c r="C592" s="28"/>
    </row>
    <row r="593" spans="1:3" ht="12.75" x14ac:dyDescent="0.2">
      <c r="A593" s="3"/>
      <c r="B593" s="3"/>
      <c r="C593" s="28"/>
    </row>
    <row r="594" spans="1:3" ht="12.75" x14ac:dyDescent="0.2">
      <c r="A594" s="3"/>
      <c r="B594" s="3"/>
      <c r="C594" s="28"/>
    </row>
    <row r="595" spans="1:3" ht="12.75" x14ac:dyDescent="0.2">
      <c r="A595" s="3"/>
      <c r="B595" s="3"/>
      <c r="C595" s="28"/>
    </row>
    <row r="596" spans="1:3" ht="12.75" x14ac:dyDescent="0.2">
      <c r="A596" s="3"/>
      <c r="B596" s="3"/>
      <c r="C596" s="28"/>
    </row>
    <row r="597" spans="1:3" ht="12.75" x14ac:dyDescent="0.2">
      <c r="A597" s="3"/>
      <c r="B597" s="3"/>
      <c r="C597" s="28"/>
    </row>
    <row r="598" spans="1:3" ht="12.75" x14ac:dyDescent="0.2">
      <c r="A598" s="3"/>
      <c r="B598" s="3"/>
      <c r="C598" s="28"/>
    </row>
    <row r="599" spans="1:3" ht="12.75" x14ac:dyDescent="0.2">
      <c r="A599" s="3"/>
      <c r="B599" s="3"/>
      <c r="C599" s="28"/>
    </row>
    <row r="600" spans="1:3" ht="12.75" x14ac:dyDescent="0.2">
      <c r="A600" s="3"/>
      <c r="B600" s="3"/>
      <c r="C600" s="28"/>
    </row>
    <row r="601" spans="1:3" ht="12.75" x14ac:dyDescent="0.2">
      <c r="A601" s="3"/>
      <c r="B601" s="3"/>
      <c r="C601" s="28"/>
    </row>
    <row r="602" spans="1:3" ht="12.75" x14ac:dyDescent="0.2">
      <c r="A602" s="3"/>
      <c r="B602" s="3"/>
      <c r="C602" s="28"/>
    </row>
    <row r="603" spans="1:3" ht="12.75" x14ac:dyDescent="0.2">
      <c r="A603" s="3"/>
      <c r="B603" s="3"/>
      <c r="C603" s="28"/>
    </row>
    <row r="604" spans="1:3" ht="12.75" x14ac:dyDescent="0.2">
      <c r="A604" s="3"/>
      <c r="B604" s="3"/>
      <c r="C604" s="28"/>
    </row>
    <row r="605" spans="1:3" ht="12.75" x14ac:dyDescent="0.2">
      <c r="A605" s="3"/>
      <c r="B605" s="3"/>
      <c r="C605" s="28"/>
    </row>
    <row r="606" spans="1:3" ht="12.75" x14ac:dyDescent="0.2">
      <c r="A606" s="3"/>
      <c r="B606" s="3"/>
      <c r="C606" s="28"/>
    </row>
    <row r="607" spans="1:3" ht="12.75" x14ac:dyDescent="0.2">
      <c r="A607" s="3"/>
      <c r="B607" s="3"/>
      <c r="C607" s="28"/>
    </row>
    <row r="608" spans="1:3" ht="12.75" x14ac:dyDescent="0.2">
      <c r="A608" s="3"/>
      <c r="B608" s="3"/>
      <c r="C608" s="28"/>
    </row>
    <row r="609" spans="1:3" ht="12.75" x14ac:dyDescent="0.2">
      <c r="A609" s="3"/>
      <c r="B609" s="3"/>
      <c r="C609" s="28"/>
    </row>
    <row r="610" spans="1:3" ht="12.75" x14ac:dyDescent="0.2">
      <c r="A610" s="3"/>
      <c r="B610" s="3"/>
      <c r="C610" s="28"/>
    </row>
    <row r="611" spans="1:3" ht="12.75" x14ac:dyDescent="0.2">
      <c r="A611" s="3"/>
      <c r="B611" s="3"/>
      <c r="C611" s="28"/>
    </row>
    <row r="612" spans="1:3" ht="12.75" x14ac:dyDescent="0.2">
      <c r="A612" s="3"/>
      <c r="B612" s="3"/>
      <c r="C612" s="28"/>
    </row>
    <row r="613" spans="1:3" ht="12.75" x14ac:dyDescent="0.2">
      <c r="A613" s="3"/>
      <c r="B613" s="3"/>
      <c r="C613" s="28"/>
    </row>
    <row r="614" spans="1:3" ht="12.75" x14ac:dyDescent="0.2">
      <c r="A614" s="3"/>
      <c r="B614" s="3"/>
      <c r="C614" s="28"/>
    </row>
    <row r="615" spans="1:3" ht="12.75" x14ac:dyDescent="0.2">
      <c r="A615" s="3"/>
      <c r="B615" s="3"/>
      <c r="C615" s="28"/>
    </row>
    <row r="616" spans="1:3" ht="12.75" x14ac:dyDescent="0.2">
      <c r="A616" s="3"/>
      <c r="B616" s="3"/>
      <c r="C616" s="28"/>
    </row>
    <row r="617" spans="1:3" ht="12.75" x14ac:dyDescent="0.2">
      <c r="A617" s="3"/>
      <c r="B617" s="3"/>
      <c r="C617" s="28"/>
    </row>
    <row r="618" spans="1:3" ht="12.75" x14ac:dyDescent="0.2">
      <c r="A618" s="3"/>
      <c r="B618" s="3"/>
      <c r="C618" s="28"/>
    </row>
    <row r="619" spans="1:3" ht="12.75" x14ac:dyDescent="0.2">
      <c r="A619" s="3"/>
      <c r="B619" s="3"/>
      <c r="C619" s="28"/>
    </row>
    <row r="620" spans="1:3" ht="12.75" x14ac:dyDescent="0.2">
      <c r="A620" s="3"/>
      <c r="B620" s="3"/>
      <c r="C620" s="28"/>
    </row>
    <row r="621" spans="1:3" ht="12.75" x14ac:dyDescent="0.2">
      <c r="A621" s="3"/>
      <c r="B621" s="3"/>
      <c r="C621" s="28"/>
    </row>
    <row r="622" spans="1:3" ht="12.75" x14ac:dyDescent="0.2">
      <c r="A622" s="3"/>
      <c r="B622" s="3"/>
      <c r="C622" s="28"/>
    </row>
    <row r="623" spans="1:3" ht="12.75" x14ac:dyDescent="0.2">
      <c r="A623" s="3"/>
      <c r="B623" s="3"/>
      <c r="C623" s="28"/>
    </row>
    <row r="624" spans="1:3" ht="12.75" x14ac:dyDescent="0.2">
      <c r="A624" s="3"/>
      <c r="B624" s="3"/>
      <c r="C624" s="28"/>
    </row>
    <row r="625" spans="1:3" ht="12.75" x14ac:dyDescent="0.2">
      <c r="A625" s="3"/>
      <c r="B625" s="3"/>
      <c r="C625" s="28"/>
    </row>
    <row r="626" spans="1:3" ht="12.75" x14ac:dyDescent="0.2">
      <c r="A626" s="3"/>
      <c r="B626" s="3"/>
      <c r="C626" s="28"/>
    </row>
    <row r="627" spans="1:3" ht="12.75" x14ac:dyDescent="0.2">
      <c r="A627" s="3"/>
      <c r="B627" s="3"/>
      <c r="C627" s="28"/>
    </row>
    <row r="628" spans="1:3" ht="12.75" x14ac:dyDescent="0.2">
      <c r="A628" s="3"/>
      <c r="B628" s="3"/>
      <c r="C628" s="28"/>
    </row>
    <row r="629" spans="1:3" ht="12.75" x14ac:dyDescent="0.2">
      <c r="A629" s="3"/>
      <c r="B629" s="3"/>
      <c r="C629" s="28"/>
    </row>
    <row r="630" spans="1:3" ht="12.75" x14ac:dyDescent="0.2">
      <c r="A630" s="3"/>
      <c r="B630" s="3"/>
      <c r="C630" s="28"/>
    </row>
    <row r="631" spans="1:3" ht="12.75" x14ac:dyDescent="0.2">
      <c r="A631" s="3"/>
      <c r="B631" s="3"/>
      <c r="C631" s="28"/>
    </row>
    <row r="632" spans="1:3" ht="12.75" x14ac:dyDescent="0.2">
      <c r="A632" s="3"/>
      <c r="B632" s="3"/>
      <c r="C632" s="28"/>
    </row>
    <row r="633" spans="1:3" ht="12.75" x14ac:dyDescent="0.2">
      <c r="A633" s="3"/>
      <c r="B633" s="3"/>
      <c r="C633" s="28"/>
    </row>
    <row r="634" spans="1:3" ht="12.75" x14ac:dyDescent="0.2">
      <c r="A634" s="3"/>
      <c r="B634" s="3"/>
      <c r="C634" s="28"/>
    </row>
    <row r="635" spans="1:3" ht="12.75" x14ac:dyDescent="0.2">
      <c r="A635" s="3"/>
      <c r="B635" s="3"/>
      <c r="C635" s="28"/>
    </row>
    <row r="636" spans="1:3" ht="12.75" x14ac:dyDescent="0.2">
      <c r="A636" s="3"/>
      <c r="B636" s="3"/>
      <c r="C636" s="28"/>
    </row>
    <row r="637" spans="1:3" ht="12.75" x14ac:dyDescent="0.2">
      <c r="A637" s="3"/>
      <c r="B637" s="3"/>
      <c r="C637" s="28"/>
    </row>
    <row r="638" spans="1:3" ht="12.75" x14ac:dyDescent="0.2">
      <c r="A638" s="3"/>
      <c r="B638" s="3"/>
      <c r="C638" s="28"/>
    </row>
    <row r="639" spans="1:3" ht="12.75" x14ac:dyDescent="0.2">
      <c r="A639" s="3"/>
      <c r="B639" s="3"/>
      <c r="C639" s="28"/>
    </row>
    <row r="640" spans="1:3" ht="12.75" x14ac:dyDescent="0.2">
      <c r="A640" s="3"/>
      <c r="B640" s="3"/>
      <c r="C640" s="28"/>
    </row>
    <row r="641" spans="1:3" ht="12.75" x14ac:dyDescent="0.2">
      <c r="A641" s="3"/>
      <c r="B641" s="3"/>
      <c r="C641" s="28"/>
    </row>
    <row r="642" spans="1:3" ht="12.75" x14ac:dyDescent="0.2">
      <c r="A642" s="3"/>
      <c r="B642" s="3"/>
      <c r="C642" s="28"/>
    </row>
    <row r="643" spans="1:3" ht="12.75" x14ac:dyDescent="0.2">
      <c r="A643" s="3"/>
      <c r="B643" s="3"/>
      <c r="C643" s="28"/>
    </row>
    <row r="644" spans="1:3" ht="12.75" x14ac:dyDescent="0.2">
      <c r="A644" s="3"/>
      <c r="B644" s="3"/>
      <c r="C644" s="28"/>
    </row>
    <row r="645" spans="1:3" ht="12.75" x14ac:dyDescent="0.2">
      <c r="A645" s="3"/>
      <c r="B645" s="3"/>
      <c r="C645" s="28"/>
    </row>
    <row r="646" spans="1:3" ht="12.75" x14ac:dyDescent="0.2">
      <c r="A646" s="3"/>
      <c r="B646" s="3"/>
      <c r="C646" s="28"/>
    </row>
    <row r="647" spans="1:3" ht="12.75" x14ac:dyDescent="0.2">
      <c r="A647" s="3"/>
      <c r="B647" s="3"/>
      <c r="C647" s="28"/>
    </row>
    <row r="648" spans="1:3" ht="12.75" x14ac:dyDescent="0.2">
      <c r="A648" s="3"/>
      <c r="B648" s="3"/>
      <c r="C648" s="28"/>
    </row>
    <row r="649" spans="1:3" ht="12.75" x14ac:dyDescent="0.2">
      <c r="A649" s="3"/>
      <c r="B649" s="3"/>
      <c r="C649" s="28"/>
    </row>
    <row r="650" spans="1:3" ht="12.75" x14ac:dyDescent="0.2">
      <c r="A650" s="3"/>
      <c r="B650" s="3"/>
      <c r="C650" s="28"/>
    </row>
    <row r="651" spans="1:3" ht="12.75" x14ac:dyDescent="0.2">
      <c r="A651" s="3"/>
      <c r="B651" s="3"/>
      <c r="C651" s="28"/>
    </row>
    <row r="652" spans="1:3" ht="12.75" x14ac:dyDescent="0.2">
      <c r="A652" s="3"/>
      <c r="B652" s="3"/>
      <c r="C652" s="28"/>
    </row>
    <row r="653" spans="1:3" ht="12.75" x14ac:dyDescent="0.2">
      <c r="A653" s="3"/>
      <c r="B653" s="3"/>
      <c r="C653" s="28"/>
    </row>
    <row r="654" spans="1:3" ht="12.75" x14ac:dyDescent="0.2">
      <c r="A654" s="3"/>
      <c r="B654" s="3"/>
      <c r="C654" s="28"/>
    </row>
    <row r="655" spans="1:3" ht="12.75" x14ac:dyDescent="0.2">
      <c r="A655" s="3"/>
      <c r="B655" s="3"/>
      <c r="C655" s="28"/>
    </row>
    <row r="656" spans="1:3" ht="12.75" x14ac:dyDescent="0.2">
      <c r="A656" s="3"/>
      <c r="B656" s="3"/>
      <c r="C656" s="28"/>
    </row>
    <row r="657" spans="1:3" ht="12.75" x14ac:dyDescent="0.2">
      <c r="A657" s="3"/>
      <c r="B657" s="3"/>
      <c r="C657" s="28"/>
    </row>
    <row r="658" spans="1:3" ht="12.75" x14ac:dyDescent="0.2">
      <c r="A658" s="3"/>
      <c r="B658" s="3"/>
      <c r="C658" s="28"/>
    </row>
    <row r="659" spans="1:3" ht="12.75" x14ac:dyDescent="0.2">
      <c r="A659" s="3"/>
      <c r="B659" s="3"/>
      <c r="C659" s="28"/>
    </row>
    <row r="660" spans="1:3" ht="12.75" x14ac:dyDescent="0.2">
      <c r="A660" s="3"/>
      <c r="B660" s="3"/>
      <c r="C660" s="28"/>
    </row>
    <row r="661" spans="1:3" ht="12.75" x14ac:dyDescent="0.2">
      <c r="A661" s="3"/>
      <c r="B661" s="3"/>
      <c r="C661" s="28"/>
    </row>
    <row r="662" spans="1:3" ht="12.75" x14ac:dyDescent="0.2">
      <c r="A662" s="3"/>
      <c r="B662" s="3"/>
      <c r="C662" s="28"/>
    </row>
    <row r="663" spans="1:3" ht="12.75" x14ac:dyDescent="0.2">
      <c r="A663" s="3"/>
      <c r="B663" s="3"/>
      <c r="C663" s="28"/>
    </row>
    <row r="664" spans="1:3" ht="12.75" x14ac:dyDescent="0.2">
      <c r="A664" s="3"/>
      <c r="B664" s="3"/>
      <c r="C664" s="28"/>
    </row>
    <row r="665" spans="1:3" ht="12.75" x14ac:dyDescent="0.2">
      <c r="A665" s="3"/>
      <c r="B665" s="3"/>
      <c r="C665" s="28"/>
    </row>
    <row r="666" spans="1:3" ht="12.75" x14ac:dyDescent="0.2">
      <c r="A666" s="3"/>
      <c r="B666" s="3"/>
      <c r="C666" s="28"/>
    </row>
    <row r="667" spans="1:3" ht="12.75" x14ac:dyDescent="0.2">
      <c r="A667" s="3"/>
      <c r="B667" s="3"/>
      <c r="C667" s="28"/>
    </row>
    <row r="668" spans="1:3" ht="12.75" x14ac:dyDescent="0.2">
      <c r="A668" s="3"/>
      <c r="B668" s="3"/>
      <c r="C668" s="28"/>
    </row>
    <row r="669" spans="1:3" ht="12.75" x14ac:dyDescent="0.2">
      <c r="A669" s="3"/>
      <c r="B669" s="3"/>
      <c r="C669" s="28"/>
    </row>
    <row r="670" spans="1:3" ht="12.75" x14ac:dyDescent="0.2">
      <c r="A670" s="3"/>
      <c r="B670" s="3"/>
      <c r="C670" s="28"/>
    </row>
    <row r="671" spans="1:3" ht="12.75" x14ac:dyDescent="0.2">
      <c r="A671" s="3"/>
      <c r="B671" s="3"/>
      <c r="C671" s="28"/>
    </row>
    <row r="672" spans="1:3" ht="12.75" x14ac:dyDescent="0.2">
      <c r="A672" s="3"/>
      <c r="B672" s="3"/>
      <c r="C672" s="28"/>
    </row>
    <row r="673" spans="1:3" ht="12.75" x14ac:dyDescent="0.2">
      <c r="A673" s="3"/>
      <c r="B673" s="3"/>
      <c r="C673" s="28"/>
    </row>
    <row r="674" spans="1:3" ht="12.75" x14ac:dyDescent="0.2">
      <c r="A674" s="3"/>
      <c r="B674" s="3"/>
      <c r="C674" s="28"/>
    </row>
    <row r="675" spans="1:3" ht="12.75" x14ac:dyDescent="0.2">
      <c r="A675" s="3"/>
      <c r="B675" s="3"/>
      <c r="C675" s="28"/>
    </row>
    <row r="676" spans="1:3" ht="12.75" x14ac:dyDescent="0.2">
      <c r="A676" s="3"/>
      <c r="B676" s="3"/>
      <c r="C676" s="28"/>
    </row>
    <row r="677" spans="1:3" ht="12.75" x14ac:dyDescent="0.2">
      <c r="A677" s="3"/>
      <c r="B677" s="3"/>
      <c r="C677" s="28"/>
    </row>
    <row r="678" spans="1:3" ht="12.75" x14ac:dyDescent="0.2">
      <c r="A678" s="3"/>
      <c r="B678" s="3"/>
      <c r="C678" s="28"/>
    </row>
    <row r="679" spans="1:3" ht="12.75" x14ac:dyDescent="0.2">
      <c r="A679" s="3"/>
      <c r="B679" s="3"/>
      <c r="C679" s="28"/>
    </row>
    <row r="680" spans="1:3" ht="12.75" x14ac:dyDescent="0.2">
      <c r="A680" s="3"/>
      <c r="B680" s="3"/>
      <c r="C680" s="28"/>
    </row>
    <row r="681" spans="1:3" ht="12.75" x14ac:dyDescent="0.2">
      <c r="A681" s="3"/>
      <c r="B681" s="3"/>
      <c r="C681" s="28"/>
    </row>
    <row r="682" spans="1:3" ht="12.75" x14ac:dyDescent="0.2">
      <c r="A682" s="3"/>
      <c r="B682" s="3"/>
      <c r="C682" s="28"/>
    </row>
    <row r="683" spans="1:3" ht="12.75" x14ac:dyDescent="0.2">
      <c r="A683" s="3"/>
      <c r="B683" s="3"/>
      <c r="C683" s="28"/>
    </row>
    <row r="684" spans="1:3" ht="12.75" x14ac:dyDescent="0.2">
      <c r="A684" s="3"/>
      <c r="B684" s="3"/>
      <c r="C684" s="28"/>
    </row>
    <row r="685" spans="1:3" ht="12.75" x14ac:dyDescent="0.2">
      <c r="A685" s="3"/>
      <c r="B685" s="3"/>
      <c r="C685" s="28"/>
    </row>
    <row r="686" spans="1:3" ht="12.75" x14ac:dyDescent="0.2">
      <c r="A686" s="3"/>
      <c r="B686" s="3"/>
      <c r="C686" s="28"/>
    </row>
    <row r="687" spans="1:3" ht="12.75" x14ac:dyDescent="0.2">
      <c r="A687" s="3"/>
      <c r="B687" s="3"/>
      <c r="C687" s="28"/>
    </row>
    <row r="688" spans="1:3" ht="12.75" x14ac:dyDescent="0.2">
      <c r="A688" s="3"/>
      <c r="B688" s="3"/>
      <c r="C688" s="28"/>
    </row>
    <row r="689" spans="1:3" ht="12.75" x14ac:dyDescent="0.2">
      <c r="A689" s="3"/>
      <c r="B689" s="3"/>
      <c r="C689" s="28"/>
    </row>
    <row r="690" spans="1:3" ht="12.75" x14ac:dyDescent="0.2">
      <c r="A690" s="3"/>
      <c r="B690" s="3"/>
      <c r="C690" s="28"/>
    </row>
    <row r="691" spans="1:3" ht="12.75" x14ac:dyDescent="0.2">
      <c r="A691" s="3"/>
      <c r="B691" s="3"/>
      <c r="C691" s="28"/>
    </row>
    <row r="692" spans="1:3" ht="12.75" x14ac:dyDescent="0.2">
      <c r="A692" s="3"/>
      <c r="B692" s="3"/>
      <c r="C692" s="28"/>
    </row>
    <row r="693" spans="1:3" ht="12.75" x14ac:dyDescent="0.2">
      <c r="A693" s="3"/>
      <c r="B693" s="3"/>
      <c r="C693" s="28"/>
    </row>
    <row r="694" spans="1:3" ht="12.75" x14ac:dyDescent="0.2">
      <c r="A694" s="3"/>
      <c r="B694" s="3"/>
      <c r="C694" s="28"/>
    </row>
    <row r="695" spans="1:3" ht="12.75" x14ac:dyDescent="0.2">
      <c r="A695" s="3"/>
      <c r="B695" s="3"/>
      <c r="C695" s="28"/>
    </row>
    <row r="696" spans="1:3" ht="12.75" x14ac:dyDescent="0.2">
      <c r="A696" s="3"/>
      <c r="B696" s="3"/>
      <c r="C696" s="28"/>
    </row>
    <row r="697" spans="1:3" ht="12.75" x14ac:dyDescent="0.2">
      <c r="A697" s="3"/>
      <c r="B697" s="3"/>
      <c r="C697" s="28"/>
    </row>
    <row r="698" spans="1:3" ht="12.75" x14ac:dyDescent="0.2">
      <c r="A698" s="3"/>
      <c r="B698" s="3"/>
      <c r="C698" s="28"/>
    </row>
    <row r="699" spans="1:3" ht="12.75" x14ac:dyDescent="0.2">
      <c r="A699" s="3"/>
      <c r="B699" s="3"/>
      <c r="C699" s="28"/>
    </row>
    <row r="700" spans="1:3" ht="12.75" x14ac:dyDescent="0.2">
      <c r="A700" s="3"/>
      <c r="B700" s="3"/>
      <c r="C700" s="28"/>
    </row>
    <row r="701" spans="1:3" ht="12.75" x14ac:dyDescent="0.2">
      <c r="A701" s="3"/>
      <c r="B701" s="3"/>
      <c r="C701" s="28"/>
    </row>
    <row r="702" spans="1:3" ht="12.75" x14ac:dyDescent="0.2">
      <c r="A702" s="3"/>
      <c r="B702" s="3"/>
      <c r="C702" s="28"/>
    </row>
    <row r="703" spans="1:3" ht="12.75" x14ac:dyDescent="0.2">
      <c r="A703" s="3"/>
      <c r="B703" s="3"/>
      <c r="C703" s="28"/>
    </row>
    <row r="704" spans="1:3" ht="12.75" x14ac:dyDescent="0.2">
      <c r="A704" s="3"/>
      <c r="B704" s="3"/>
      <c r="C704" s="28"/>
    </row>
    <row r="705" spans="1:3" ht="12.75" x14ac:dyDescent="0.2">
      <c r="A705" s="3"/>
      <c r="B705" s="3"/>
      <c r="C705" s="28"/>
    </row>
    <row r="706" spans="1:3" ht="12.75" x14ac:dyDescent="0.2">
      <c r="A706" s="3"/>
      <c r="B706" s="3"/>
      <c r="C706" s="28"/>
    </row>
    <row r="707" spans="1:3" ht="12.75" x14ac:dyDescent="0.2">
      <c r="A707" s="3"/>
      <c r="B707" s="3"/>
      <c r="C707" s="28"/>
    </row>
    <row r="708" spans="1:3" ht="12.75" x14ac:dyDescent="0.2">
      <c r="A708" s="3"/>
      <c r="B708" s="3"/>
      <c r="C708" s="28"/>
    </row>
    <row r="709" spans="1:3" ht="12.75" x14ac:dyDescent="0.2">
      <c r="A709" s="3"/>
      <c r="B709" s="3"/>
      <c r="C709" s="28"/>
    </row>
    <row r="710" spans="1:3" ht="12.75" x14ac:dyDescent="0.2">
      <c r="A710" s="3"/>
      <c r="B710" s="3"/>
      <c r="C710" s="28"/>
    </row>
    <row r="711" spans="1:3" ht="12.75" x14ac:dyDescent="0.2">
      <c r="A711" s="3"/>
      <c r="B711" s="3"/>
      <c r="C711" s="28"/>
    </row>
    <row r="712" spans="1:3" ht="12.75" x14ac:dyDescent="0.2">
      <c r="A712" s="3"/>
      <c r="B712" s="3"/>
      <c r="C712" s="28"/>
    </row>
    <row r="713" spans="1:3" ht="12.75" x14ac:dyDescent="0.2">
      <c r="A713" s="3"/>
      <c r="B713" s="3"/>
      <c r="C713" s="28"/>
    </row>
    <row r="714" spans="1:3" ht="12.75" x14ac:dyDescent="0.2">
      <c r="A714" s="3"/>
      <c r="B714" s="3"/>
      <c r="C714" s="28"/>
    </row>
    <row r="715" spans="1:3" ht="12.75" x14ac:dyDescent="0.2">
      <c r="A715" s="3"/>
      <c r="B715" s="3"/>
      <c r="C715" s="28"/>
    </row>
    <row r="716" spans="1:3" ht="12.75" x14ac:dyDescent="0.2">
      <c r="A716" s="3"/>
      <c r="B716" s="3"/>
      <c r="C716" s="28"/>
    </row>
    <row r="717" spans="1:3" ht="12.75" x14ac:dyDescent="0.2">
      <c r="A717" s="3"/>
      <c r="B717" s="3"/>
      <c r="C717" s="28"/>
    </row>
    <row r="718" spans="1:3" ht="12.75" x14ac:dyDescent="0.2">
      <c r="A718" s="3"/>
      <c r="B718" s="3"/>
      <c r="C718" s="28"/>
    </row>
    <row r="719" spans="1:3" ht="12.75" x14ac:dyDescent="0.2">
      <c r="A719" s="3"/>
      <c r="B719" s="3"/>
      <c r="C719" s="28"/>
    </row>
    <row r="720" spans="1:3" ht="12.75" x14ac:dyDescent="0.2">
      <c r="A720" s="3"/>
      <c r="B720" s="3"/>
      <c r="C720" s="28"/>
    </row>
    <row r="721" spans="1:3" ht="12.75" x14ac:dyDescent="0.2">
      <c r="A721" s="3"/>
      <c r="B721" s="3"/>
      <c r="C721" s="28"/>
    </row>
    <row r="722" spans="1:3" ht="12.75" x14ac:dyDescent="0.2">
      <c r="A722" s="3"/>
      <c r="B722" s="3"/>
      <c r="C722" s="28"/>
    </row>
    <row r="723" spans="1:3" ht="12.75" x14ac:dyDescent="0.2">
      <c r="A723" s="3"/>
      <c r="B723" s="3"/>
      <c r="C723" s="28"/>
    </row>
    <row r="724" spans="1:3" ht="12.75" x14ac:dyDescent="0.2">
      <c r="A724" s="3"/>
      <c r="B724" s="3"/>
      <c r="C724" s="28"/>
    </row>
    <row r="725" spans="1:3" ht="12.75" x14ac:dyDescent="0.2">
      <c r="A725" s="3"/>
      <c r="B725" s="3"/>
      <c r="C725" s="28"/>
    </row>
    <row r="726" spans="1:3" ht="12.75" x14ac:dyDescent="0.2">
      <c r="A726" s="3"/>
      <c r="B726" s="3"/>
      <c r="C726" s="28"/>
    </row>
    <row r="727" spans="1:3" ht="12.75" x14ac:dyDescent="0.2">
      <c r="A727" s="3"/>
      <c r="B727" s="3"/>
      <c r="C727" s="28"/>
    </row>
    <row r="728" spans="1:3" ht="12.75" x14ac:dyDescent="0.2">
      <c r="A728" s="3"/>
      <c r="B728" s="3"/>
      <c r="C728" s="28"/>
    </row>
    <row r="729" spans="1:3" ht="12.75" x14ac:dyDescent="0.2">
      <c r="A729" s="3"/>
      <c r="B729" s="3"/>
      <c r="C729" s="28"/>
    </row>
    <row r="730" spans="1:3" ht="12.75" x14ac:dyDescent="0.2">
      <c r="A730" s="3"/>
      <c r="B730" s="3"/>
      <c r="C730" s="28"/>
    </row>
    <row r="731" spans="1:3" ht="12.75" x14ac:dyDescent="0.2">
      <c r="A731" s="3"/>
      <c r="B731" s="3"/>
      <c r="C731" s="28"/>
    </row>
    <row r="732" spans="1:3" ht="12.75" x14ac:dyDescent="0.2">
      <c r="A732" s="3"/>
      <c r="B732" s="3"/>
      <c r="C732" s="28"/>
    </row>
    <row r="733" spans="1:3" ht="12.75" x14ac:dyDescent="0.2">
      <c r="A733" s="3"/>
      <c r="B733" s="3"/>
      <c r="C733" s="28"/>
    </row>
    <row r="734" spans="1:3" ht="12.75" x14ac:dyDescent="0.2">
      <c r="A734" s="3"/>
      <c r="B734" s="3"/>
      <c r="C734" s="28"/>
    </row>
    <row r="735" spans="1:3" ht="12.75" x14ac:dyDescent="0.2">
      <c r="A735" s="3"/>
      <c r="B735" s="3"/>
      <c r="C735" s="28"/>
    </row>
    <row r="736" spans="1:3" ht="12.75" x14ac:dyDescent="0.2">
      <c r="A736" s="3"/>
      <c r="B736" s="3"/>
      <c r="C736" s="28"/>
    </row>
    <row r="737" spans="1:3" ht="12.75" x14ac:dyDescent="0.2">
      <c r="A737" s="3"/>
      <c r="B737" s="3"/>
      <c r="C737" s="28"/>
    </row>
    <row r="738" spans="1:3" ht="12.75" x14ac:dyDescent="0.2">
      <c r="A738" s="3"/>
      <c r="B738" s="3"/>
      <c r="C738" s="28"/>
    </row>
    <row r="739" spans="1:3" ht="12.75" x14ac:dyDescent="0.2">
      <c r="A739" s="3"/>
      <c r="B739" s="3"/>
      <c r="C739" s="28"/>
    </row>
    <row r="740" spans="1:3" ht="12.75" x14ac:dyDescent="0.2">
      <c r="A740" s="3"/>
      <c r="B740" s="3"/>
      <c r="C740" s="28"/>
    </row>
    <row r="741" spans="1:3" ht="12.75" x14ac:dyDescent="0.2">
      <c r="A741" s="3"/>
      <c r="B741" s="3"/>
      <c r="C741" s="28"/>
    </row>
    <row r="742" spans="1:3" ht="12.75" x14ac:dyDescent="0.2">
      <c r="A742" s="3"/>
      <c r="B742" s="3"/>
      <c r="C742" s="28"/>
    </row>
    <row r="743" spans="1:3" ht="12.75" x14ac:dyDescent="0.2">
      <c r="A743" s="3"/>
      <c r="B743" s="3"/>
      <c r="C743" s="28"/>
    </row>
    <row r="744" spans="1:3" ht="12.75" x14ac:dyDescent="0.2">
      <c r="A744" s="3"/>
      <c r="B744" s="3"/>
      <c r="C744" s="28"/>
    </row>
    <row r="745" spans="1:3" ht="12.75" x14ac:dyDescent="0.2">
      <c r="A745" s="3"/>
      <c r="B745" s="3"/>
      <c r="C745" s="28"/>
    </row>
    <row r="746" spans="1:3" ht="12.75" x14ac:dyDescent="0.2">
      <c r="A746" s="3"/>
      <c r="B746" s="3"/>
      <c r="C746" s="28"/>
    </row>
    <row r="747" spans="1:3" ht="12.75" x14ac:dyDescent="0.2">
      <c r="A747" s="3"/>
      <c r="B747" s="3"/>
      <c r="C747" s="28"/>
    </row>
    <row r="748" spans="1:3" ht="12.75" x14ac:dyDescent="0.2">
      <c r="A748" s="3"/>
      <c r="B748" s="3"/>
      <c r="C748" s="28"/>
    </row>
    <row r="749" spans="1:3" ht="12.75" x14ac:dyDescent="0.2">
      <c r="A749" s="3"/>
      <c r="B749" s="3"/>
      <c r="C749" s="28"/>
    </row>
    <row r="750" spans="1:3" ht="12.75" x14ac:dyDescent="0.2">
      <c r="A750" s="3"/>
      <c r="B750" s="3"/>
      <c r="C750" s="28"/>
    </row>
    <row r="751" spans="1:3" ht="12.75" x14ac:dyDescent="0.2">
      <c r="A751" s="3"/>
      <c r="B751" s="3"/>
      <c r="C751" s="28"/>
    </row>
    <row r="752" spans="1:3" ht="12.75" x14ac:dyDescent="0.2">
      <c r="A752" s="3"/>
      <c r="B752" s="3"/>
      <c r="C752" s="28"/>
    </row>
    <row r="753" spans="1:3" ht="12.75" x14ac:dyDescent="0.2">
      <c r="A753" s="3"/>
      <c r="B753" s="3"/>
      <c r="C753" s="28"/>
    </row>
    <row r="754" spans="1:3" ht="12.75" x14ac:dyDescent="0.2">
      <c r="A754" s="3"/>
      <c r="B754" s="3"/>
      <c r="C754" s="28"/>
    </row>
    <row r="755" spans="1:3" ht="12.75" x14ac:dyDescent="0.2">
      <c r="A755" s="3"/>
      <c r="B755" s="3"/>
      <c r="C755" s="28"/>
    </row>
    <row r="756" spans="1:3" ht="12.75" x14ac:dyDescent="0.2">
      <c r="A756" s="3"/>
      <c r="B756" s="3"/>
      <c r="C756" s="28"/>
    </row>
    <row r="757" spans="1:3" ht="12.75" x14ac:dyDescent="0.2">
      <c r="A757" s="3"/>
      <c r="B757" s="3"/>
      <c r="C757" s="28"/>
    </row>
    <row r="758" spans="1:3" ht="12.75" x14ac:dyDescent="0.2">
      <c r="A758" s="3"/>
      <c r="B758" s="3"/>
      <c r="C758" s="28"/>
    </row>
    <row r="759" spans="1:3" ht="12.75" x14ac:dyDescent="0.2">
      <c r="A759" s="3"/>
      <c r="B759" s="3"/>
      <c r="C759" s="28"/>
    </row>
    <row r="760" spans="1:3" ht="12.75" x14ac:dyDescent="0.2">
      <c r="A760" s="3"/>
      <c r="B760" s="3"/>
      <c r="C760" s="28"/>
    </row>
    <row r="761" spans="1:3" ht="12.75" x14ac:dyDescent="0.2">
      <c r="A761" s="3"/>
      <c r="B761" s="3"/>
      <c r="C761" s="28"/>
    </row>
    <row r="762" spans="1:3" ht="12.75" x14ac:dyDescent="0.2">
      <c r="A762" s="3"/>
      <c r="B762" s="3"/>
      <c r="C762" s="28"/>
    </row>
    <row r="763" spans="1:3" ht="12.75" x14ac:dyDescent="0.2">
      <c r="A763" s="3"/>
      <c r="B763" s="3"/>
      <c r="C763" s="28"/>
    </row>
    <row r="764" spans="1:3" ht="12.75" x14ac:dyDescent="0.2">
      <c r="A764" s="3"/>
      <c r="B764" s="3"/>
      <c r="C764" s="28"/>
    </row>
    <row r="765" spans="1:3" ht="12.75" x14ac:dyDescent="0.2">
      <c r="A765" s="3"/>
      <c r="B765" s="3"/>
      <c r="C765" s="28"/>
    </row>
    <row r="766" spans="1:3" ht="12.75" x14ac:dyDescent="0.2">
      <c r="A766" s="3"/>
      <c r="B766" s="3"/>
      <c r="C766" s="28"/>
    </row>
    <row r="767" spans="1:3" ht="12.75" x14ac:dyDescent="0.2">
      <c r="A767" s="3"/>
      <c r="B767" s="3"/>
      <c r="C767" s="28"/>
    </row>
    <row r="768" spans="1:3" ht="12.75" x14ac:dyDescent="0.2">
      <c r="A768" s="3"/>
      <c r="B768" s="3"/>
      <c r="C768" s="28"/>
    </row>
    <row r="769" spans="1:3" ht="12.75" x14ac:dyDescent="0.2">
      <c r="A769" s="3"/>
      <c r="B769" s="3"/>
      <c r="C769" s="28"/>
    </row>
    <row r="770" spans="1:3" ht="12.75" x14ac:dyDescent="0.2">
      <c r="A770" s="3"/>
      <c r="B770" s="3"/>
      <c r="C770" s="28"/>
    </row>
    <row r="771" spans="1:3" ht="12.75" x14ac:dyDescent="0.2">
      <c r="A771" s="3"/>
      <c r="B771" s="3"/>
      <c r="C771" s="28"/>
    </row>
    <row r="772" spans="1:3" ht="12.75" x14ac:dyDescent="0.2">
      <c r="A772" s="3"/>
      <c r="B772" s="3"/>
      <c r="C772" s="28"/>
    </row>
    <row r="773" spans="1:3" ht="12.75" x14ac:dyDescent="0.2">
      <c r="A773" s="3"/>
      <c r="B773" s="3"/>
      <c r="C773" s="28"/>
    </row>
    <row r="774" spans="1:3" ht="12.75" x14ac:dyDescent="0.2">
      <c r="A774" s="3"/>
      <c r="B774" s="3"/>
      <c r="C774" s="28"/>
    </row>
    <row r="775" spans="1:3" ht="12.75" x14ac:dyDescent="0.2">
      <c r="A775" s="3"/>
      <c r="B775" s="3"/>
      <c r="C775" s="28"/>
    </row>
    <row r="776" spans="1:3" ht="12.75" x14ac:dyDescent="0.2">
      <c r="A776" s="3"/>
      <c r="B776" s="3"/>
      <c r="C776" s="28"/>
    </row>
    <row r="777" spans="1:3" ht="12.75" x14ac:dyDescent="0.2">
      <c r="A777" s="3"/>
      <c r="B777" s="3"/>
      <c r="C777" s="28"/>
    </row>
    <row r="778" spans="1:3" ht="12.75" x14ac:dyDescent="0.2">
      <c r="A778" s="3"/>
      <c r="B778" s="3"/>
      <c r="C778" s="28"/>
    </row>
    <row r="779" spans="1:3" ht="12.75" x14ac:dyDescent="0.2">
      <c r="A779" s="3"/>
      <c r="B779" s="3"/>
      <c r="C779" s="28"/>
    </row>
    <row r="780" spans="1:3" ht="12.75" x14ac:dyDescent="0.2">
      <c r="A780" s="3"/>
      <c r="B780" s="3"/>
      <c r="C780" s="28"/>
    </row>
    <row r="781" spans="1:3" ht="12.75" x14ac:dyDescent="0.2">
      <c r="A781" s="3"/>
      <c r="B781" s="3"/>
      <c r="C781" s="28"/>
    </row>
    <row r="782" spans="1:3" ht="12.75" x14ac:dyDescent="0.2">
      <c r="A782" s="3"/>
      <c r="B782" s="3"/>
      <c r="C782" s="28"/>
    </row>
    <row r="783" spans="1:3" ht="12.75" x14ac:dyDescent="0.2">
      <c r="A783" s="3"/>
      <c r="B783" s="3"/>
      <c r="C783" s="28"/>
    </row>
    <row r="784" spans="1:3" ht="12.75" x14ac:dyDescent="0.2">
      <c r="A784" s="3"/>
      <c r="B784" s="3"/>
      <c r="C784" s="28"/>
    </row>
    <row r="785" spans="1:3" ht="12.75" x14ac:dyDescent="0.2">
      <c r="A785" s="3"/>
      <c r="B785" s="3"/>
      <c r="C785" s="28"/>
    </row>
    <row r="786" spans="1:3" ht="12.75" x14ac:dyDescent="0.2">
      <c r="A786" s="3"/>
      <c r="B786" s="3"/>
      <c r="C786" s="28"/>
    </row>
    <row r="787" spans="1:3" ht="12.75" x14ac:dyDescent="0.2">
      <c r="A787" s="3"/>
      <c r="B787" s="3"/>
      <c r="C787" s="28"/>
    </row>
    <row r="788" spans="1:3" ht="12.75" x14ac:dyDescent="0.2">
      <c r="A788" s="3"/>
      <c r="B788" s="3"/>
      <c r="C788" s="28"/>
    </row>
    <row r="789" spans="1:3" ht="12.75" x14ac:dyDescent="0.2">
      <c r="A789" s="3"/>
      <c r="B789" s="3"/>
      <c r="C789" s="28"/>
    </row>
    <row r="790" spans="1:3" ht="12.75" x14ac:dyDescent="0.2">
      <c r="A790" s="3"/>
      <c r="B790" s="3"/>
      <c r="C790" s="28"/>
    </row>
    <row r="791" spans="1:3" ht="12.75" x14ac:dyDescent="0.2">
      <c r="A791" s="3"/>
      <c r="B791" s="3"/>
      <c r="C791" s="28"/>
    </row>
    <row r="792" spans="1:3" ht="12.75" x14ac:dyDescent="0.2">
      <c r="A792" s="3"/>
      <c r="B792" s="3"/>
      <c r="C792" s="28"/>
    </row>
    <row r="793" spans="1:3" ht="12.75" x14ac:dyDescent="0.2">
      <c r="A793" s="3"/>
      <c r="B793" s="3"/>
      <c r="C793" s="28"/>
    </row>
    <row r="794" spans="1:3" ht="12.75" x14ac:dyDescent="0.2">
      <c r="A794" s="3"/>
      <c r="B794" s="3"/>
      <c r="C794" s="28"/>
    </row>
    <row r="795" spans="1:3" ht="12.75" x14ac:dyDescent="0.2">
      <c r="A795" s="3"/>
      <c r="B795" s="3"/>
      <c r="C795" s="28"/>
    </row>
    <row r="796" spans="1:3" ht="12.75" x14ac:dyDescent="0.2">
      <c r="A796" s="3"/>
      <c r="B796" s="3"/>
      <c r="C796" s="28"/>
    </row>
    <row r="797" spans="1:3" ht="12.75" x14ac:dyDescent="0.2">
      <c r="A797" s="3"/>
      <c r="B797" s="3"/>
      <c r="C797" s="28"/>
    </row>
    <row r="798" spans="1:3" ht="12.75" x14ac:dyDescent="0.2">
      <c r="A798" s="3"/>
      <c r="B798" s="3"/>
      <c r="C798" s="28"/>
    </row>
    <row r="799" spans="1:3" ht="12.75" x14ac:dyDescent="0.2">
      <c r="A799" s="3"/>
      <c r="B799" s="3"/>
      <c r="C799" s="28"/>
    </row>
    <row r="800" spans="1:3" ht="12.75" x14ac:dyDescent="0.2">
      <c r="A800" s="3"/>
      <c r="B800" s="3"/>
      <c r="C800" s="28"/>
    </row>
    <row r="801" spans="1:3" ht="12.75" x14ac:dyDescent="0.2">
      <c r="A801" s="3"/>
      <c r="B801" s="3"/>
      <c r="C801" s="28"/>
    </row>
    <row r="802" spans="1:3" ht="12.75" x14ac:dyDescent="0.2">
      <c r="A802" s="3"/>
      <c r="B802" s="3"/>
      <c r="C802" s="28"/>
    </row>
    <row r="803" spans="1:3" ht="12.75" x14ac:dyDescent="0.2">
      <c r="A803" s="3"/>
      <c r="B803" s="3"/>
      <c r="C803" s="28"/>
    </row>
    <row r="804" spans="1:3" ht="12.75" x14ac:dyDescent="0.2">
      <c r="A804" s="3"/>
      <c r="B804" s="3"/>
      <c r="C804" s="28"/>
    </row>
    <row r="805" spans="1:3" ht="12.75" x14ac:dyDescent="0.2">
      <c r="A805" s="3"/>
      <c r="B805" s="3"/>
      <c r="C805" s="28"/>
    </row>
    <row r="806" spans="1:3" ht="12.75" x14ac:dyDescent="0.2">
      <c r="A806" s="3"/>
      <c r="B806" s="3"/>
      <c r="C806" s="28"/>
    </row>
    <row r="807" spans="1:3" ht="12.75" x14ac:dyDescent="0.2">
      <c r="A807" s="3"/>
      <c r="B807" s="3"/>
      <c r="C807" s="28"/>
    </row>
    <row r="808" spans="1:3" ht="12.75" x14ac:dyDescent="0.2">
      <c r="A808" s="3"/>
      <c r="B808" s="3"/>
      <c r="C808" s="28"/>
    </row>
    <row r="809" spans="1:3" ht="12.75" x14ac:dyDescent="0.2">
      <c r="A809" s="3"/>
      <c r="B809" s="3"/>
      <c r="C809" s="28"/>
    </row>
    <row r="810" spans="1:3" ht="12.75" x14ac:dyDescent="0.2">
      <c r="A810" s="3"/>
      <c r="B810" s="3"/>
      <c r="C810" s="28"/>
    </row>
    <row r="811" spans="1:3" ht="12.75" x14ac:dyDescent="0.2">
      <c r="A811" s="3"/>
      <c r="B811" s="3"/>
      <c r="C811" s="28"/>
    </row>
    <row r="812" spans="1:3" ht="12.75" x14ac:dyDescent="0.2">
      <c r="A812" s="3"/>
      <c r="B812" s="3"/>
      <c r="C812" s="28"/>
    </row>
    <row r="813" spans="1:3" ht="12.75" x14ac:dyDescent="0.2">
      <c r="A813" s="3"/>
      <c r="B813" s="3"/>
      <c r="C813" s="28"/>
    </row>
    <row r="814" spans="1:3" ht="12.75" x14ac:dyDescent="0.2">
      <c r="A814" s="3"/>
      <c r="B814" s="3"/>
      <c r="C814" s="28"/>
    </row>
    <row r="815" spans="1:3" ht="12.75" x14ac:dyDescent="0.2">
      <c r="A815" s="3"/>
      <c r="B815" s="3"/>
      <c r="C815" s="28"/>
    </row>
    <row r="816" spans="1:3" ht="12.75" x14ac:dyDescent="0.2">
      <c r="A816" s="3"/>
      <c r="B816" s="3"/>
      <c r="C816" s="28"/>
    </row>
    <row r="817" spans="1:3" ht="12.75" x14ac:dyDescent="0.2">
      <c r="A817" s="3"/>
      <c r="B817" s="3"/>
      <c r="C817" s="28"/>
    </row>
    <row r="818" spans="1:3" ht="12.75" x14ac:dyDescent="0.2">
      <c r="A818" s="3"/>
      <c r="B818" s="3"/>
      <c r="C818" s="28"/>
    </row>
    <row r="819" spans="1:3" ht="12.75" x14ac:dyDescent="0.2">
      <c r="A819" s="3"/>
      <c r="B819" s="3"/>
      <c r="C819" s="28"/>
    </row>
    <row r="820" spans="1:3" ht="12.75" x14ac:dyDescent="0.2">
      <c r="A820" s="3"/>
      <c r="B820" s="3"/>
      <c r="C820" s="28"/>
    </row>
    <row r="821" spans="1:3" ht="12.75" x14ac:dyDescent="0.2">
      <c r="A821" s="3"/>
      <c r="B821" s="3"/>
      <c r="C821" s="28"/>
    </row>
    <row r="822" spans="1:3" ht="12.75" x14ac:dyDescent="0.2">
      <c r="A822" s="3"/>
      <c r="B822" s="3"/>
      <c r="C822" s="28"/>
    </row>
    <row r="823" spans="1:3" ht="12.75" x14ac:dyDescent="0.2">
      <c r="A823" s="3"/>
      <c r="B823" s="3"/>
      <c r="C823" s="28"/>
    </row>
    <row r="824" spans="1:3" ht="12.75" x14ac:dyDescent="0.2">
      <c r="A824" s="3"/>
      <c r="B824" s="3"/>
      <c r="C824" s="28"/>
    </row>
    <row r="825" spans="1:3" ht="12.75" x14ac:dyDescent="0.2">
      <c r="A825" s="3"/>
      <c r="B825" s="3"/>
      <c r="C825" s="28"/>
    </row>
    <row r="826" spans="1:3" ht="12.75" x14ac:dyDescent="0.2">
      <c r="A826" s="3"/>
      <c r="B826" s="3"/>
      <c r="C826" s="28"/>
    </row>
    <row r="827" spans="1:3" ht="12.75" x14ac:dyDescent="0.2">
      <c r="A827" s="3"/>
      <c r="B827" s="3"/>
      <c r="C827" s="28"/>
    </row>
    <row r="828" spans="1:3" ht="12.75" x14ac:dyDescent="0.2">
      <c r="A828" s="3"/>
      <c r="B828" s="3"/>
      <c r="C828" s="28"/>
    </row>
    <row r="829" spans="1:3" ht="12.75" x14ac:dyDescent="0.2">
      <c r="A829" s="3"/>
      <c r="B829" s="3"/>
      <c r="C829" s="28"/>
    </row>
    <row r="830" spans="1:3" ht="12.75" x14ac:dyDescent="0.2">
      <c r="A830" s="3"/>
      <c r="B830" s="3"/>
      <c r="C830" s="28"/>
    </row>
    <row r="831" spans="1:3" ht="12.75" x14ac:dyDescent="0.2">
      <c r="A831" s="3"/>
      <c r="B831" s="3"/>
      <c r="C831" s="28"/>
    </row>
    <row r="832" spans="1:3" ht="12.75" x14ac:dyDescent="0.2">
      <c r="A832" s="3"/>
      <c r="B832" s="3"/>
      <c r="C832" s="28"/>
    </row>
    <row r="833" spans="1:3" ht="12.75" x14ac:dyDescent="0.2">
      <c r="A833" s="3"/>
      <c r="B833" s="3"/>
      <c r="C833" s="28"/>
    </row>
    <row r="834" spans="1:3" ht="12.75" x14ac:dyDescent="0.2">
      <c r="A834" s="3"/>
      <c r="B834" s="3"/>
      <c r="C834" s="28"/>
    </row>
    <row r="835" spans="1:3" ht="12.75" x14ac:dyDescent="0.2">
      <c r="A835" s="3"/>
      <c r="B835" s="3"/>
      <c r="C835" s="28"/>
    </row>
    <row r="836" spans="1:3" ht="12.75" x14ac:dyDescent="0.2">
      <c r="A836" s="3"/>
      <c r="B836" s="3"/>
      <c r="C836" s="28"/>
    </row>
    <row r="837" spans="1:3" ht="12.75" x14ac:dyDescent="0.2">
      <c r="A837" s="3"/>
      <c r="B837" s="3"/>
      <c r="C837" s="28"/>
    </row>
    <row r="838" spans="1:3" ht="12.75" x14ac:dyDescent="0.2">
      <c r="A838" s="3"/>
      <c r="B838" s="3"/>
      <c r="C838" s="28"/>
    </row>
    <row r="839" spans="1:3" ht="12.75" x14ac:dyDescent="0.2">
      <c r="A839" s="3"/>
      <c r="B839" s="3"/>
      <c r="C839" s="28"/>
    </row>
    <row r="840" spans="1:3" ht="12.75" x14ac:dyDescent="0.2">
      <c r="A840" s="3"/>
      <c r="B840" s="3"/>
      <c r="C840" s="28"/>
    </row>
    <row r="841" spans="1:3" ht="12.75" x14ac:dyDescent="0.2">
      <c r="A841" s="3"/>
      <c r="B841" s="3"/>
      <c r="C841" s="28"/>
    </row>
    <row r="842" spans="1:3" ht="12.75" x14ac:dyDescent="0.2">
      <c r="A842" s="3"/>
      <c r="B842" s="3"/>
      <c r="C842" s="28"/>
    </row>
    <row r="843" spans="1:3" ht="12.75" x14ac:dyDescent="0.2">
      <c r="A843" s="3"/>
      <c r="B843" s="3"/>
      <c r="C843" s="28"/>
    </row>
    <row r="844" spans="1:3" ht="12.75" x14ac:dyDescent="0.2">
      <c r="A844" s="3"/>
      <c r="B844" s="3"/>
      <c r="C844" s="28"/>
    </row>
    <row r="845" spans="1:3" ht="12.75" x14ac:dyDescent="0.2">
      <c r="A845" s="3"/>
      <c r="B845" s="3"/>
      <c r="C845" s="28"/>
    </row>
    <row r="846" spans="1:3" ht="12.75" x14ac:dyDescent="0.2">
      <c r="A846" s="3"/>
      <c r="B846" s="3"/>
      <c r="C846" s="28"/>
    </row>
    <row r="847" spans="1:3" ht="12.75" x14ac:dyDescent="0.2">
      <c r="A847" s="3"/>
      <c r="B847" s="3"/>
      <c r="C847" s="28"/>
    </row>
    <row r="848" spans="1:3" ht="12.75" x14ac:dyDescent="0.2">
      <c r="A848" s="3"/>
      <c r="B848" s="3"/>
      <c r="C848" s="28"/>
    </row>
    <row r="849" spans="1:3" ht="12.75" x14ac:dyDescent="0.2">
      <c r="A849" s="3"/>
      <c r="B849" s="3"/>
      <c r="C849" s="28"/>
    </row>
    <row r="850" spans="1:3" ht="12.75" x14ac:dyDescent="0.2">
      <c r="A850" s="3"/>
      <c r="B850" s="3"/>
      <c r="C850" s="28"/>
    </row>
    <row r="851" spans="1:3" ht="12.75" x14ac:dyDescent="0.2">
      <c r="A851" s="3"/>
      <c r="B851" s="3"/>
      <c r="C851" s="28"/>
    </row>
    <row r="852" spans="1:3" ht="12.75" x14ac:dyDescent="0.2">
      <c r="A852" s="3"/>
      <c r="B852" s="3"/>
      <c r="C852" s="28"/>
    </row>
    <row r="853" spans="1:3" ht="12.75" x14ac:dyDescent="0.2">
      <c r="A853" s="3"/>
      <c r="B853" s="3"/>
      <c r="C853" s="28"/>
    </row>
    <row r="854" spans="1:3" ht="12.75" x14ac:dyDescent="0.2">
      <c r="A854" s="3"/>
      <c r="B854" s="3"/>
      <c r="C854" s="28"/>
    </row>
    <row r="855" spans="1:3" ht="12.75" x14ac:dyDescent="0.2">
      <c r="A855" s="3"/>
      <c r="B855" s="3"/>
      <c r="C855" s="28"/>
    </row>
    <row r="856" spans="1:3" ht="12.75" x14ac:dyDescent="0.2">
      <c r="A856" s="3"/>
      <c r="B856" s="3"/>
      <c r="C856" s="28"/>
    </row>
    <row r="857" spans="1:3" ht="12.75" x14ac:dyDescent="0.2">
      <c r="A857" s="3"/>
      <c r="B857" s="3"/>
      <c r="C857" s="28"/>
    </row>
    <row r="858" spans="1:3" ht="12.75" x14ac:dyDescent="0.2">
      <c r="A858" s="3"/>
      <c r="B858" s="3"/>
      <c r="C858" s="28"/>
    </row>
    <row r="859" spans="1:3" ht="12.75" x14ac:dyDescent="0.2">
      <c r="A859" s="3"/>
      <c r="B859" s="3"/>
      <c r="C859" s="28"/>
    </row>
    <row r="860" spans="1:3" ht="12.75" x14ac:dyDescent="0.2">
      <c r="A860" s="3"/>
      <c r="B860" s="3"/>
      <c r="C860" s="28"/>
    </row>
    <row r="861" spans="1:3" ht="12.75" x14ac:dyDescent="0.2">
      <c r="A861" s="3"/>
      <c r="B861" s="3"/>
      <c r="C861" s="28"/>
    </row>
    <row r="862" spans="1:3" ht="12.75" x14ac:dyDescent="0.2">
      <c r="A862" s="3"/>
      <c r="B862" s="3"/>
      <c r="C862" s="28"/>
    </row>
    <row r="863" spans="1:3" ht="12.75" x14ac:dyDescent="0.2">
      <c r="A863" s="3"/>
      <c r="B863" s="3"/>
      <c r="C863" s="28"/>
    </row>
    <row r="864" spans="1:3" ht="12.75" x14ac:dyDescent="0.2">
      <c r="A864" s="3"/>
      <c r="B864" s="3"/>
      <c r="C864" s="28"/>
    </row>
    <row r="865" spans="1:3" ht="12.75" x14ac:dyDescent="0.2">
      <c r="A865" s="3"/>
      <c r="B865" s="3"/>
      <c r="C865" s="28"/>
    </row>
    <row r="866" spans="1:3" ht="12.75" x14ac:dyDescent="0.2">
      <c r="A866" s="3"/>
      <c r="B866" s="3"/>
      <c r="C866" s="28"/>
    </row>
    <row r="867" spans="1:3" ht="12.75" x14ac:dyDescent="0.2">
      <c r="A867" s="3"/>
      <c r="B867" s="3"/>
      <c r="C867" s="28"/>
    </row>
    <row r="868" spans="1:3" ht="12.75" x14ac:dyDescent="0.2">
      <c r="A868" s="3"/>
      <c r="B868" s="3"/>
      <c r="C868" s="28"/>
    </row>
    <row r="869" spans="1:3" ht="12.75" x14ac:dyDescent="0.2">
      <c r="A869" s="3"/>
      <c r="B869" s="3"/>
      <c r="C869" s="28"/>
    </row>
    <row r="870" spans="1:3" ht="12.75" x14ac:dyDescent="0.2">
      <c r="A870" s="3"/>
      <c r="B870" s="3"/>
      <c r="C870" s="28"/>
    </row>
    <row r="871" spans="1:3" ht="12.75" x14ac:dyDescent="0.2">
      <c r="A871" s="3"/>
      <c r="B871" s="3"/>
      <c r="C871" s="28"/>
    </row>
    <row r="872" spans="1:3" ht="12.75" x14ac:dyDescent="0.2">
      <c r="A872" s="3"/>
      <c r="B872" s="3"/>
      <c r="C872" s="28"/>
    </row>
    <row r="873" spans="1:3" ht="12.75" x14ac:dyDescent="0.2">
      <c r="A873" s="3"/>
      <c r="B873" s="3"/>
      <c r="C873" s="28"/>
    </row>
    <row r="874" spans="1:3" ht="12.75" x14ac:dyDescent="0.2">
      <c r="A874" s="3"/>
      <c r="B874" s="3"/>
      <c r="C874" s="28"/>
    </row>
    <row r="875" spans="1:3" ht="12.75" x14ac:dyDescent="0.2">
      <c r="A875" s="3"/>
      <c r="B875" s="3"/>
      <c r="C875" s="28"/>
    </row>
    <row r="876" spans="1:3" ht="12.75" x14ac:dyDescent="0.2">
      <c r="A876" s="3"/>
      <c r="B876" s="3"/>
      <c r="C876" s="28"/>
    </row>
    <row r="877" spans="1:3" ht="12.75" x14ac:dyDescent="0.2">
      <c r="A877" s="3"/>
      <c r="B877" s="3"/>
      <c r="C877" s="28"/>
    </row>
    <row r="878" spans="1:3" ht="12.75" x14ac:dyDescent="0.2">
      <c r="A878" s="3"/>
      <c r="B878" s="3"/>
      <c r="C878" s="28"/>
    </row>
    <row r="879" spans="1:3" ht="12.75" x14ac:dyDescent="0.2">
      <c r="A879" s="3"/>
      <c r="B879" s="3"/>
      <c r="C879" s="28"/>
    </row>
    <row r="880" spans="1:3" ht="12.75" x14ac:dyDescent="0.2">
      <c r="A880" s="3"/>
      <c r="B880" s="3"/>
      <c r="C880" s="28"/>
    </row>
    <row r="881" spans="1:3" ht="12.75" x14ac:dyDescent="0.2">
      <c r="A881" s="3"/>
      <c r="B881" s="3"/>
      <c r="C881" s="28"/>
    </row>
    <row r="882" spans="1:3" ht="12.75" x14ac:dyDescent="0.2">
      <c r="A882" s="3"/>
      <c r="B882" s="3"/>
      <c r="C882" s="28"/>
    </row>
    <row r="883" spans="1:3" ht="12.75" x14ac:dyDescent="0.2">
      <c r="A883" s="3"/>
      <c r="B883" s="3"/>
      <c r="C883" s="28"/>
    </row>
    <row r="884" spans="1:3" ht="12.75" x14ac:dyDescent="0.2">
      <c r="A884" s="3"/>
      <c r="B884" s="3"/>
      <c r="C884" s="28"/>
    </row>
    <row r="885" spans="1:3" ht="12.75" x14ac:dyDescent="0.2">
      <c r="A885" s="3"/>
      <c r="B885" s="3"/>
      <c r="C885" s="28"/>
    </row>
    <row r="886" spans="1:3" ht="12.75" x14ac:dyDescent="0.2">
      <c r="A886" s="3"/>
      <c r="B886" s="3"/>
      <c r="C886" s="28"/>
    </row>
    <row r="887" spans="1:3" ht="12.75" x14ac:dyDescent="0.2">
      <c r="A887" s="3"/>
      <c r="B887" s="3"/>
      <c r="C887" s="28"/>
    </row>
    <row r="888" spans="1:3" ht="12.75" x14ac:dyDescent="0.2">
      <c r="A888" s="3"/>
      <c r="B888" s="3"/>
      <c r="C888" s="28"/>
    </row>
    <row r="889" spans="1:3" ht="12.75" x14ac:dyDescent="0.2">
      <c r="A889" s="3"/>
      <c r="B889" s="3"/>
      <c r="C889" s="28"/>
    </row>
    <row r="890" spans="1:3" ht="12.75" x14ac:dyDescent="0.2">
      <c r="A890" s="3"/>
      <c r="B890" s="3"/>
      <c r="C890" s="28"/>
    </row>
    <row r="891" spans="1:3" ht="12.75" x14ac:dyDescent="0.2">
      <c r="A891" s="3"/>
      <c r="B891" s="3"/>
      <c r="C891" s="28"/>
    </row>
    <row r="892" spans="1:3" ht="12.75" x14ac:dyDescent="0.2">
      <c r="A892" s="3"/>
      <c r="B892" s="3"/>
      <c r="C892" s="28"/>
    </row>
    <row r="893" spans="1:3" ht="12.75" x14ac:dyDescent="0.2">
      <c r="A893" s="3"/>
      <c r="B893" s="3"/>
      <c r="C893" s="28"/>
    </row>
    <row r="894" spans="1:3" ht="12.75" x14ac:dyDescent="0.2">
      <c r="A894" s="3"/>
      <c r="B894" s="3"/>
      <c r="C894" s="28"/>
    </row>
    <row r="895" spans="1:3" ht="12.75" x14ac:dyDescent="0.2">
      <c r="A895" s="3"/>
      <c r="B895" s="3"/>
      <c r="C895" s="28"/>
    </row>
    <row r="896" spans="1:3" ht="12.75" x14ac:dyDescent="0.2">
      <c r="A896" s="3"/>
      <c r="B896" s="3"/>
      <c r="C896" s="28"/>
    </row>
    <row r="897" spans="1:3" ht="12.75" x14ac:dyDescent="0.2">
      <c r="A897" s="3"/>
      <c r="B897" s="3"/>
      <c r="C897" s="28"/>
    </row>
    <row r="898" spans="1:3" ht="12.75" x14ac:dyDescent="0.2">
      <c r="A898" s="3"/>
      <c r="B898" s="3"/>
      <c r="C898" s="28"/>
    </row>
    <row r="899" spans="1:3" ht="12.75" x14ac:dyDescent="0.2">
      <c r="A899" s="3"/>
      <c r="B899" s="3"/>
      <c r="C899" s="28"/>
    </row>
    <row r="900" spans="1:3" ht="12.75" x14ac:dyDescent="0.2">
      <c r="A900" s="3"/>
      <c r="B900" s="3"/>
      <c r="C900" s="28"/>
    </row>
    <row r="901" spans="1:3" ht="12.75" x14ac:dyDescent="0.2">
      <c r="A901" s="3"/>
      <c r="B901" s="3"/>
      <c r="C901" s="28"/>
    </row>
    <row r="902" spans="1:3" ht="12.75" x14ac:dyDescent="0.2">
      <c r="A902" s="3"/>
      <c r="B902" s="3"/>
      <c r="C902" s="28"/>
    </row>
    <row r="903" spans="1:3" ht="12.75" x14ac:dyDescent="0.2">
      <c r="A903" s="3"/>
      <c r="B903" s="3"/>
      <c r="C903" s="28"/>
    </row>
    <row r="904" spans="1:3" ht="12.75" x14ac:dyDescent="0.2">
      <c r="A904" s="3"/>
      <c r="B904" s="3"/>
      <c r="C904" s="28"/>
    </row>
    <row r="905" spans="1:3" ht="12.75" x14ac:dyDescent="0.2">
      <c r="A905" s="3"/>
      <c r="B905" s="3"/>
      <c r="C905" s="28"/>
    </row>
    <row r="906" spans="1:3" ht="12.75" x14ac:dyDescent="0.2">
      <c r="A906" s="3"/>
      <c r="B906" s="3"/>
      <c r="C906" s="28"/>
    </row>
    <row r="907" spans="1:3" ht="12.75" x14ac:dyDescent="0.2">
      <c r="A907" s="3"/>
      <c r="B907" s="3"/>
      <c r="C907" s="28"/>
    </row>
    <row r="908" spans="1:3" ht="12.75" x14ac:dyDescent="0.2">
      <c r="A908" s="3"/>
      <c r="B908" s="3"/>
      <c r="C908" s="28"/>
    </row>
    <row r="909" spans="1:3" ht="12.75" x14ac:dyDescent="0.2">
      <c r="A909" s="3"/>
      <c r="B909" s="3"/>
      <c r="C909" s="28"/>
    </row>
    <row r="910" spans="1:3" ht="12.75" x14ac:dyDescent="0.2">
      <c r="A910" s="3"/>
      <c r="B910" s="3"/>
      <c r="C910" s="28"/>
    </row>
    <row r="911" spans="1:3" ht="12.75" x14ac:dyDescent="0.2">
      <c r="A911" s="3"/>
      <c r="B911" s="3"/>
      <c r="C911" s="28"/>
    </row>
    <row r="912" spans="1:3" ht="12.75" x14ac:dyDescent="0.2">
      <c r="A912" s="3"/>
      <c r="B912" s="3"/>
      <c r="C912" s="28"/>
    </row>
    <row r="913" spans="1:3" ht="12.75" x14ac:dyDescent="0.2">
      <c r="A913" s="3"/>
      <c r="B913" s="3"/>
      <c r="C913" s="28"/>
    </row>
    <row r="914" spans="1:3" ht="12.75" x14ac:dyDescent="0.2">
      <c r="A914" s="3"/>
      <c r="B914" s="3"/>
      <c r="C914" s="28"/>
    </row>
    <row r="915" spans="1:3" ht="12.75" x14ac:dyDescent="0.2">
      <c r="A915" s="3"/>
      <c r="B915" s="3"/>
      <c r="C915" s="28"/>
    </row>
    <row r="916" spans="1:3" ht="12.75" x14ac:dyDescent="0.2">
      <c r="A916" s="3"/>
      <c r="B916" s="3"/>
      <c r="C916" s="28"/>
    </row>
    <row r="917" spans="1:3" ht="12.75" x14ac:dyDescent="0.2">
      <c r="A917" s="3"/>
      <c r="B917" s="3"/>
      <c r="C917" s="28"/>
    </row>
    <row r="918" spans="1:3" ht="12.75" x14ac:dyDescent="0.2">
      <c r="A918" s="3"/>
      <c r="B918" s="3"/>
      <c r="C918" s="28"/>
    </row>
    <row r="919" spans="1:3" ht="12.75" x14ac:dyDescent="0.2">
      <c r="A919" s="3"/>
      <c r="B919" s="3"/>
      <c r="C919" s="28"/>
    </row>
    <row r="920" spans="1:3" ht="12.75" x14ac:dyDescent="0.2">
      <c r="A920" s="3"/>
      <c r="B920" s="3"/>
      <c r="C920" s="28"/>
    </row>
    <row r="921" spans="1:3" ht="12.75" x14ac:dyDescent="0.2">
      <c r="A921" s="3"/>
      <c r="B921" s="3"/>
      <c r="C921" s="28"/>
    </row>
    <row r="922" spans="1:3" ht="12.75" x14ac:dyDescent="0.2">
      <c r="A922" s="3"/>
      <c r="B922" s="3"/>
      <c r="C922" s="28"/>
    </row>
    <row r="923" spans="1:3" ht="12.75" x14ac:dyDescent="0.2">
      <c r="A923" s="3"/>
      <c r="B923" s="3"/>
      <c r="C923" s="28"/>
    </row>
    <row r="924" spans="1:3" ht="12.75" x14ac:dyDescent="0.2">
      <c r="A924" s="3"/>
      <c r="B924" s="3"/>
      <c r="C924" s="28"/>
    </row>
    <row r="925" spans="1:3" ht="12.75" x14ac:dyDescent="0.2">
      <c r="A925" s="3"/>
      <c r="B925" s="3"/>
      <c r="C925" s="28"/>
    </row>
    <row r="926" spans="1:3" ht="12.75" x14ac:dyDescent="0.2">
      <c r="A926" s="3"/>
      <c r="B926" s="3"/>
      <c r="C926" s="28"/>
    </row>
    <row r="927" spans="1:3" ht="12.75" x14ac:dyDescent="0.2">
      <c r="A927" s="3"/>
      <c r="B927" s="3"/>
      <c r="C927" s="28"/>
    </row>
    <row r="928" spans="1:3" ht="12.75" x14ac:dyDescent="0.2">
      <c r="A928" s="3"/>
      <c r="B928" s="3"/>
      <c r="C928" s="28"/>
    </row>
    <row r="929" spans="1:3" ht="12.75" x14ac:dyDescent="0.2">
      <c r="A929" s="3"/>
      <c r="B929" s="3"/>
      <c r="C929" s="28"/>
    </row>
    <row r="930" spans="1:3" ht="12.75" x14ac:dyDescent="0.2">
      <c r="A930" s="3"/>
      <c r="B930" s="3"/>
      <c r="C930" s="28"/>
    </row>
    <row r="931" spans="1:3" ht="12.75" x14ac:dyDescent="0.2">
      <c r="A931" s="3"/>
      <c r="B931" s="3"/>
      <c r="C931" s="28"/>
    </row>
    <row r="932" spans="1:3" ht="12.75" x14ac:dyDescent="0.2">
      <c r="A932" s="3"/>
      <c r="B932" s="3"/>
      <c r="C932" s="28"/>
    </row>
    <row r="933" spans="1:3" ht="12.75" x14ac:dyDescent="0.2">
      <c r="A933" s="3"/>
      <c r="B933" s="3"/>
      <c r="C933" s="28"/>
    </row>
    <row r="934" spans="1:3" ht="12.75" x14ac:dyDescent="0.2">
      <c r="A934" s="3"/>
      <c r="B934" s="3"/>
      <c r="C934" s="28"/>
    </row>
    <row r="935" spans="1:3" ht="12.75" x14ac:dyDescent="0.2">
      <c r="A935" s="3"/>
      <c r="B935" s="3"/>
      <c r="C935" s="28"/>
    </row>
    <row r="936" spans="1:3" ht="12.75" x14ac:dyDescent="0.2">
      <c r="A936" s="3"/>
      <c r="B936" s="3"/>
      <c r="C936" s="28"/>
    </row>
    <row r="937" spans="1:3" ht="12.75" x14ac:dyDescent="0.2">
      <c r="A937" s="3"/>
      <c r="B937" s="3"/>
      <c r="C937" s="28"/>
    </row>
    <row r="938" spans="1:3" ht="12.75" x14ac:dyDescent="0.2">
      <c r="A938" s="3"/>
      <c r="B938" s="3"/>
      <c r="C938" s="28"/>
    </row>
    <row r="939" spans="1:3" ht="12.75" x14ac:dyDescent="0.2">
      <c r="A939" s="3"/>
      <c r="B939" s="3"/>
      <c r="C939" s="28"/>
    </row>
    <row r="940" spans="1:3" ht="12.75" x14ac:dyDescent="0.2">
      <c r="A940" s="3"/>
      <c r="B940" s="3"/>
      <c r="C940" s="28"/>
    </row>
    <row r="941" spans="1:3" ht="12.75" x14ac:dyDescent="0.2">
      <c r="A941" s="3"/>
      <c r="B941" s="3"/>
      <c r="C941" s="28"/>
    </row>
    <row r="942" spans="1:3" ht="12.75" x14ac:dyDescent="0.2">
      <c r="A942" s="3"/>
      <c r="B942" s="3"/>
      <c r="C942" s="28"/>
    </row>
    <row r="943" spans="1:3" ht="12.75" x14ac:dyDescent="0.2">
      <c r="A943" s="3"/>
      <c r="B943" s="3"/>
      <c r="C943" s="28"/>
    </row>
    <row r="944" spans="1:3" ht="12.75" x14ac:dyDescent="0.2">
      <c r="A944" s="3"/>
      <c r="B944" s="3"/>
      <c r="C944" s="28"/>
    </row>
    <row r="945" spans="1:3" ht="12.75" x14ac:dyDescent="0.2">
      <c r="A945" s="3"/>
      <c r="B945" s="3"/>
      <c r="C945" s="28"/>
    </row>
    <row r="946" spans="1:3" ht="12.75" x14ac:dyDescent="0.2">
      <c r="A946" s="3"/>
      <c r="B946" s="3"/>
      <c r="C946" s="28"/>
    </row>
    <row r="947" spans="1:3" ht="12.75" x14ac:dyDescent="0.2">
      <c r="A947" s="3"/>
      <c r="B947" s="3"/>
      <c r="C947" s="28"/>
    </row>
    <row r="948" spans="1:3" ht="12.75" x14ac:dyDescent="0.2">
      <c r="A948" s="3"/>
      <c r="B948" s="3"/>
      <c r="C948" s="28"/>
    </row>
    <row r="949" spans="1:3" ht="12.75" x14ac:dyDescent="0.2">
      <c r="A949" s="3"/>
      <c r="B949" s="3"/>
      <c r="C949" s="28"/>
    </row>
    <row r="950" spans="1:3" ht="12.75" x14ac:dyDescent="0.2">
      <c r="A950" s="3"/>
      <c r="B950" s="3"/>
      <c r="C950" s="28"/>
    </row>
    <row r="951" spans="1:3" ht="12.75" x14ac:dyDescent="0.2">
      <c r="A951" s="3"/>
      <c r="B951" s="3"/>
      <c r="C951" s="28"/>
    </row>
    <row r="952" spans="1:3" ht="12.75" x14ac:dyDescent="0.2">
      <c r="A952" s="3"/>
      <c r="B952" s="3"/>
      <c r="C952" s="28"/>
    </row>
    <row r="953" spans="1:3" ht="12.75" x14ac:dyDescent="0.2">
      <c r="A953" s="3"/>
      <c r="B953" s="3"/>
      <c r="C953" s="28"/>
    </row>
    <row r="954" spans="1:3" ht="12.75" x14ac:dyDescent="0.2">
      <c r="A954" s="3"/>
      <c r="B954" s="3"/>
      <c r="C954" s="28"/>
    </row>
    <row r="955" spans="1:3" ht="12.75" x14ac:dyDescent="0.2">
      <c r="A955" s="3"/>
      <c r="B955" s="3"/>
      <c r="C955" s="28"/>
    </row>
    <row r="956" spans="1:3" ht="12.75" x14ac:dyDescent="0.2">
      <c r="A956" s="3"/>
      <c r="B956" s="3"/>
      <c r="C956" s="28"/>
    </row>
    <row r="957" spans="1:3" ht="12.75" x14ac:dyDescent="0.2">
      <c r="A957" s="3"/>
      <c r="B957" s="3"/>
      <c r="C957" s="28"/>
    </row>
    <row r="958" spans="1:3" ht="12.75" x14ac:dyDescent="0.2">
      <c r="A958" s="3"/>
      <c r="B958" s="3"/>
      <c r="C958" s="28"/>
    </row>
    <row r="959" spans="1:3" ht="12.75" x14ac:dyDescent="0.2">
      <c r="A959" s="3"/>
      <c r="B959" s="3"/>
      <c r="C959" s="28"/>
    </row>
    <row r="960" spans="1:3" ht="12.75" x14ac:dyDescent="0.2">
      <c r="A960" s="3"/>
      <c r="B960" s="3"/>
      <c r="C960" s="28"/>
    </row>
    <row r="961" spans="1:3" ht="12.75" x14ac:dyDescent="0.2">
      <c r="A961" s="3"/>
      <c r="B961" s="3"/>
      <c r="C961" s="28"/>
    </row>
    <row r="962" spans="1:3" ht="12.75" x14ac:dyDescent="0.2">
      <c r="A962" s="3"/>
      <c r="B962" s="3"/>
      <c r="C962" s="28"/>
    </row>
    <row r="963" spans="1:3" ht="12.75" x14ac:dyDescent="0.2">
      <c r="A963" s="3"/>
      <c r="B963" s="3"/>
      <c r="C963" s="28"/>
    </row>
    <row r="964" spans="1:3" ht="12.75" x14ac:dyDescent="0.2">
      <c r="A964" s="3"/>
      <c r="B964" s="3"/>
      <c r="C964" s="28"/>
    </row>
    <row r="965" spans="1:3" ht="12.75" x14ac:dyDescent="0.2">
      <c r="A965" s="3"/>
      <c r="B965" s="3"/>
      <c r="C965" s="28"/>
    </row>
    <row r="966" spans="1:3" ht="12.75" x14ac:dyDescent="0.2">
      <c r="A966" s="3"/>
      <c r="B966" s="3"/>
      <c r="C966" s="28"/>
    </row>
    <row r="967" spans="1:3" ht="12.75" x14ac:dyDescent="0.2">
      <c r="A967" s="3"/>
      <c r="B967" s="3"/>
      <c r="C967" s="28"/>
    </row>
    <row r="968" spans="1:3" ht="12.75" x14ac:dyDescent="0.2">
      <c r="A968" s="3"/>
      <c r="B968" s="3"/>
      <c r="C968" s="28"/>
    </row>
    <row r="969" spans="1:3" ht="12.75" x14ac:dyDescent="0.2">
      <c r="A969" s="3"/>
      <c r="B969" s="3"/>
      <c r="C969" s="28"/>
    </row>
    <row r="970" spans="1:3" ht="12.75" x14ac:dyDescent="0.2">
      <c r="A970" s="3"/>
      <c r="B970" s="3"/>
      <c r="C970" s="28"/>
    </row>
    <row r="971" spans="1:3" ht="12.75" x14ac:dyDescent="0.2">
      <c r="A971" s="3"/>
      <c r="B971" s="3"/>
      <c r="C971" s="28"/>
    </row>
    <row r="972" spans="1:3" ht="12.75" x14ac:dyDescent="0.2">
      <c r="A972" s="3"/>
      <c r="B972" s="3"/>
      <c r="C972" s="28"/>
    </row>
    <row r="973" spans="1:3" ht="12.75" x14ac:dyDescent="0.2">
      <c r="A973" s="3"/>
      <c r="B973" s="3"/>
      <c r="C973" s="28"/>
    </row>
    <row r="974" spans="1:3" ht="12.75" x14ac:dyDescent="0.2">
      <c r="A974" s="3"/>
      <c r="B974" s="3"/>
      <c r="C974" s="28"/>
    </row>
    <row r="975" spans="1:3" ht="12.75" x14ac:dyDescent="0.2">
      <c r="A975" s="3"/>
      <c r="B975" s="3"/>
      <c r="C975" s="28"/>
    </row>
    <row r="976" spans="1:3" ht="12.75" x14ac:dyDescent="0.2">
      <c r="A976" s="3"/>
      <c r="B976" s="3"/>
      <c r="C976" s="28"/>
    </row>
    <row r="977" spans="1:3" ht="12.75" x14ac:dyDescent="0.2">
      <c r="A977" s="3"/>
      <c r="B977" s="3"/>
      <c r="C977" s="2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Timing </vt:lpstr>
      <vt:lpstr>Attendance</vt:lpstr>
      <vt:lpstr>Sunday Working</vt:lpstr>
      <vt:lpstr>Cab Deductions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Dubey</cp:lastModifiedBy>
  <dcterms:modified xsi:type="dcterms:W3CDTF">2025-12-05T12:45:11Z</dcterms:modified>
</cp:coreProperties>
</file>